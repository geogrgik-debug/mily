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fs\share\Закупка1\Public2\Заказчики\Ледовая арена\"/>
    </mc:Choice>
  </mc:AlternateContent>
  <bookViews>
    <workbookView xWindow="0" yWindow="0" windowWidth="28800" windowHeight="12330" tabRatio="500"/>
  </bookViews>
  <sheets>
    <sheet name="Спецификация" sheetId="1" r:id="rId1"/>
    <sheet name="НЕТ В СО (из ВОРов)" sheetId="2" r:id="rId2"/>
    <sheet name="Сверка ТХ.2" sheetId="3" r:id="rId3"/>
    <sheet name="Правки" sheetId="4" r:id="rId4"/>
  </sheets>
  <definedNames>
    <definedName name="_xlnm._FilterDatabase" localSheetId="1" hidden="1">'НЕТ В СО (из ВОРов)'!$A$7:$L$333</definedName>
    <definedName name="_xlnm._FilterDatabase" localSheetId="3" hidden="1">Правки!$A$2:$E$2301</definedName>
    <definedName name="_xlnm._FilterDatabase" localSheetId="0" hidden="1">Спецификация!$A$1:$K$4339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923" i="1" l="1"/>
  <c r="I3921" i="1"/>
  <c r="I3868" i="1"/>
  <c r="I3869" i="1"/>
  <c r="I1330" i="1"/>
  <c r="I1323" i="1"/>
  <c r="I1305" i="1"/>
  <c r="I1233" i="1"/>
  <c r="I1246" i="1"/>
  <c r="I1265" i="1"/>
  <c r="I1281" i="1"/>
  <c r="H1167" i="1" l="1"/>
  <c r="H1166" i="1"/>
  <c r="H1161" i="1"/>
  <c r="H1162" i="1"/>
  <c r="H1184" i="1"/>
  <c r="H1183" i="1"/>
  <c r="H1182" i="1"/>
  <c r="H1181" i="1"/>
  <c r="H1180" i="1"/>
  <c r="H1177" i="1"/>
  <c r="H1176" i="1"/>
  <c r="H1175" i="1"/>
  <c r="H1173" i="1"/>
  <c r="H1172" i="1"/>
  <c r="H1171" i="1"/>
  <c r="H783" i="1" l="1"/>
  <c r="H782" i="1"/>
  <c r="H781" i="1"/>
  <c r="H779" i="1"/>
  <c r="H780" i="1"/>
  <c r="H3150" i="1"/>
  <c r="H3149" i="1"/>
  <c r="H3137" i="1"/>
  <c r="H3133" i="1"/>
  <c r="H3132" i="1"/>
  <c r="H3131" i="1"/>
  <c r="H3030" i="1"/>
  <c r="H3049" i="1"/>
  <c r="H3040" i="1"/>
  <c r="H3029" i="1"/>
  <c r="H3016" i="1"/>
  <c r="H3013" i="1"/>
  <c r="H3012" i="1"/>
  <c r="H3127" i="1"/>
  <c r="H3066" i="1"/>
  <c r="H3005" i="1"/>
  <c r="H2979" i="1"/>
  <c r="H3061" i="1"/>
  <c r="H4291" i="1" l="1"/>
  <c r="H2320" i="1"/>
  <c r="H2318" i="1"/>
  <c r="H2317" i="1"/>
  <c r="I1546" i="1"/>
  <c r="H1917" i="1"/>
  <c r="H1916" i="1"/>
  <c r="H1952" i="1"/>
  <c r="H1935" i="1"/>
  <c r="H1921" i="1"/>
  <c r="H1934" i="1"/>
  <c r="H1920" i="1"/>
  <c r="H1603" i="1"/>
  <c r="H1554" i="1"/>
  <c r="H1553" i="1"/>
  <c r="H1551" i="1"/>
  <c r="H1550" i="1"/>
  <c r="H1546" i="1"/>
  <c r="H1545" i="1"/>
  <c r="I1545" i="1" s="1"/>
  <c r="I88" i="1" l="1"/>
  <c r="I89" i="1"/>
  <c r="H330" i="2"/>
  <c r="K330" i="2" s="1"/>
  <c r="G330" i="2"/>
  <c r="H329" i="2"/>
  <c r="K329" i="2" s="1"/>
  <c r="G329" i="2"/>
  <c r="H328" i="2"/>
  <c r="K328" i="2" s="1"/>
  <c r="G328" i="2"/>
  <c r="H327" i="2"/>
  <c r="K327" i="2" s="1"/>
  <c r="G327" i="2"/>
  <c r="H326" i="2"/>
  <c r="K326" i="2" s="1"/>
  <c r="G326" i="2"/>
  <c r="H325" i="2"/>
  <c r="K325" i="2" s="1"/>
  <c r="G325" i="2"/>
  <c r="H324" i="2"/>
  <c r="K324" i="2" s="1"/>
  <c r="G324" i="2"/>
  <c r="H323" i="2"/>
  <c r="K323" i="2" s="1"/>
  <c r="G323" i="2"/>
  <c r="H322" i="2"/>
  <c r="K322" i="2" s="1"/>
  <c r="G322" i="2"/>
  <c r="H321" i="2"/>
  <c r="K321" i="2" s="1"/>
  <c r="G321" i="2"/>
  <c r="H320" i="2"/>
  <c r="K320" i="2" s="1"/>
  <c r="G320" i="2"/>
  <c r="H319" i="2"/>
  <c r="K319" i="2" s="1"/>
  <c r="G319" i="2"/>
  <c r="H318" i="2"/>
  <c r="K318" i="2" s="1"/>
  <c r="G318" i="2"/>
  <c r="H317" i="2"/>
  <c r="K317" i="2" s="1"/>
  <c r="G317" i="2"/>
  <c r="H316" i="2"/>
  <c r="K316" i="2" s="1"/>
  <c r="G316" i="2"/>
  <c r="H315" i="2"/>
  <c r="K315" i="2" s="1"/>
  <c r="G315" i="2"/>
  <c r="H314" i="2"/>
  <c r="K314" i="2" s="1"/>
  <c r="G314" i="2"/>
  <c r="H313" i="2"/>
  <c r="K313" i="2" s="1"/>
  <c r="G313" i="2"/>
  <c r="H312" i="2"/>
  <c r="K312" i="2" s="1"/>
  <c r="G312" i="2"/>
  <c r="H311" i="2"/>
  <c r="K311" i="2" s="1"/>
  <c r="G311" i="2"/>
  <c r="H310" i="2"/>
  <c r="K310" i="2" s="1"/>
  <c r="G310" i="2"/>
  <c r="H309" i="2"/>
  <c r="K309" i="2" s="1"/>
  <c r="G309" i="2"/>
  <c r="H308" i="2"/>
  <c r="K308" i="2" s="1"/>
  <c r="G308" i="2"/>
  <c r="H307" i="2"/>
  <c r="K307" i="2" s="1"/>
  <c r="G307" i="2"/>
  <c r="H306" i="2"/>
  <c r="K306" i="2" s="1"/>
  <c r="G306" i="2"/>
  <c r="H305" i="2"/>
  <c r="K305" i="2" s="1"/>
  <c r="G305" i="2"/>
  <c r="H304" i="2"/>
  <c r="K304" i="2" s="1"/>
  <c r="G304" i="2"/>
  <c r="H303" i="2"/>
  <c r="K303" i="2" s="1"/>
  <c r="G303" i="2"/>
  <c r="H302" i="2"/>
  <c r="K302" i="2" s="1"/>
  <c r="G302" i="2"/>
  <c r="H301" i="2"/>
  <c r="K301" i="2" s="1"/>
  <c r="G301" i="2"/>
  <c r="H300" i="2"/>
  <c r="K300" i="2" s="1"/>
  <c r="G300" i="2"/>
  <c r="H299" i="2"/>
  <c r="K299" i="2" s="1"/>
  <c r="G299" i="2"/>
  <c r="H298" i="2"/>
  <c r="K298" i="2" s="1"/>
  <c r="G298" i="2"/>
  <c r="H297" i="2"/>
  <c r="K297" i="2" s="1"/>
  <c r="G297" i="2"/>
  <c r="H296" i="2"/>
  <c r="K296" i="2" s="1"/>
  <c r="G296" i="2"/>
  <c r="H295" i="2"/>
  <c r="K295" i="2" s="1"/>
  <c r="G295" i="2"/>
  <c r="H294" i="2"/>
  <c r="K294" i="2" s="1"/>
  <c r="G294" i="2"/>
  <c r="H293" i="2"/>
  <c r="K293" i="2" s="1"/>
  <c r="G293" i="2"/>
  <c r="H292" i="2"/>
  <c r="K292" i="2" s="1"/>
  <c r="G292" i="2"/>
  <c r="H291" i="2"/>
  <c r="K291" i="2" s="1"/>
  <c r="G291" i="2"/>
  <c r="H290" i="2"/>
  <c r="K290" i="2" s="1"/>
  <c r="G290" i="2"/>
  <c r="H289" i="2"/>
  <c r="K289" i="2" s="1"/>
  <c r="G289" i="2"/>
  <c r="H288" i="2"/>
  <c r="K288" i="2" s="1"/>
  <c r="G288" i="2"/>
  <c r="H284" i="2"/>
  <c r="K284" i="2" s="1"/>
  <c r="G284" i="2"/>
  <c r="H283" i="2"/>
  <c r="K283" i="2" s="1"/>
  <c r="G283" i="2"/>
  <c r="H282" i="2"/>
  <c r="K282" i="2" s="1"/>
  <c r="G282" i="2"/>
  <c r="H281" i="2"/>
  <c r="K281" i="2" s="1"/>
  <c r="G281" i="2"/>
  <c r="H280" i="2"/>
  <c r="K280" i="2" s="1"/>
  <c r="G280" i="2"/>
  <c r="H279" i="2"/>
  <c r="K279" i="2" s="1"/>
  <c r="G279" i="2"/>
  <c r="H278" i="2"/>
  <c r="K278" i="2" s="1"/>
  <c r="G278" i="2"/>
  <c r="H277" i="2"/>
  <c r="K277" i="2" s="1"/>
  <c r="G277" i="2"/>
  <c r="H276" i="2"/>
  <c r="K276" i="2" s="1"/>
  <c r="G276" i="2"/>
  <c r="H275" i="2"/>
  <c r="K275" i="2" s="1"/>
  <c r="G275" i="2"/>
  <c r="H274" i="2"/>
  <c r="K274" i="2" s="1"/>
  <c r="G274" i="2"/>
  <c r="H273" i="2"/>
  <c r="K273" i="2" s="1"/>
  <c r="G273" i="2"/>
  <c r="H272" i="2"/>
  <c r="K272" i="2" s="1"/>
  <c r="G272" i="2"/>
  <c r="H271" i="2"/>
  <c r="K271" i="2" s="1"/>
  <c r="G271" i="2"/>
  <c r="H270" i="2"/>
  <c r="K270" i="2" s="1"/>
  <c r="G270" i="2"/>
  <c r="H269" i="2"/>
  <c r="K269" i="2" s="1"/>
  <c r="G269" i="2"/>
  <c r="H268" i="2"/>
  <c r="K268" i="2" s="1"/>
  <c r="G268" i="2"/>
  <c r="H267" i="2"/>
  <c r="K267" i="2" s="1"/>
  <c r="G267" i="2"/>
  <c r="H266" i="2"/>
  <c r="K266" i="2" s="1"/>
  <c r="G266" i="2"/>
  <c r="H265" i="2"/>
  <c r="K265" i="2" s="1"/>
  <c r="G265" i="2"/>
  <c r="H264" i="2"/>
  <c r="K264" i="2" s="1"/>
  <c r="G264" i="2"/>
  <c r="H263" i="2"/>
  <c r="K263" i="2" s="1"/>
  <c r="G263" i="2"/>
  <c r="H262" i="2"/>
  <c r="K262" i="2" s="1"/>
  <c r="G262" i="2"/>
  <c r="H261" i="2"/>
  <c r="K261" i="2" s="1"/>
  <c r="G261" i="2"/>
  <c r="H260" i="2"/>
  <c r="K260" i="2" s="1"/>
  <c r="G260" i="2"/>
  <c r="H259" i="2"/>
  <c r="K259" i="2" s="1"/>
  <c r="G259" i="2"/>
  <c r="H258" i="2"/>
  <c r="K258" i="2" s="1"/>
  <c r="G258" i="2"/>
  <c r="H257" i="2"/>
  <c r="K257" i="2" s="1"/>
  <c r="G257" i="2"/>
  <c r="H256" i="2"/>
  <c r="K256" i="2" s="1"/>
  <c r="G256" i="2"/>
  <c r="H255" i="2"/>
  <c r="K255" i="2" s="1"/>
  <c r="G255" i="2"/>
  <c r="H254" i="2"/>
  <c r="K254" i="2" s="1"/>
  <c r="G254" i="2"/>
  <c r="H253" i="2"/>
  <c r="K253" i="2" s="1"/>
  <c r="G253" i="2"/>
  <c r="H249" i="2"/>
  <c r="K249" i="2" s="1"/>
  <c r="G249" i="2"/>
  <c r="H248" i="2"/>
  <c r="K248" i="2" s="1"/>
  <c r="G248" i="2"/>
  <c r="H247" i="2"/>
  <c r="K247" i="2" s="1"/>
  <c r="G247" i="2"/>
  <c r="H246" i="2"/>
  <c r="K246" i="2" s="1"/>
  <c r="G246" i="2"/>
  <c r="H245" i="2"/>
  <c r="K245" i="2" s="1"/>
  <c r="G245" i="2"/>
  <c r="H244" i="2"/>
  <c r="K244" i="2" s="1"/>
  <c r="G244" i="2"/>
  <c r="H243" i="2"/>
  <c r="K243" i="2" s="1"/>
  <c r="G243" i="2"/>
  <c r="H242" i="2"/>
  <c r="K242" i="2" s="1"/>
  <c r="G242" i="2"/>
  <c r="H241" i="2"/>
  <c r="K241" i="2" s="1"/>
  <c r="G241" i="2"/>
  <c r="H240" i="2"/>
  <c r="K240" i="2" s="1"/>
  <c r="G240" i="2"/>
  <c r="H239" i="2"/>
  <c r="K239" i="2" s="1"/>
  <c r="G239" i="2"/>
  <c r="H238" i="2"/>
  <c r="K238" i="2" s="1"/>
  <c r="G238" i="2"/>
  <c r="H237" i="2"/>
  <c r="K237" i="2" s="1"/>
  <c r="G237" i="2"/>
  <c r="H236" i="2"/>
  <c r="K236" i="2" s="1"/>
  <c r="G236" i="2"/>
  <c r="H235" i="2"/>
  <c r="K235" i="2" s="1"/>
  <c r="G235" i="2"/>
  <c r="H234" i="2"/>
  <c r="K234" i="2" s="1"/>
  <c r="G234" i="2"/>
  <c r="H233" i="2"/>
  <c r="K233" i="2" s="1"/>
  <c r="G233" i="2"/>
  <c r="H232" i="2"/>
  <c r="K232" i="2" s="1"/>
  <c r="G232" i="2"/>
  <c r="H231" i="2"/>
  <c r="K231" i="2" s="1"/>
  <c r="G231" i="2"/>
  <c r="H230" i="2"/>
  <c r="K230" i="2" s="1"/>
  <c r="G230" i="2"/>
  <c r="H229" i="2"/>
  <c r="K229" i="2" s="1"/>
  <c r="G229" i="2"/>
  <c r="H228" i="2"/>
  <c r="K228" i="2" s="1"/>
  <c r="G228" i="2"/>
  <c r="H224" i="2"/>
  <c r="K224" i="2" s="1"/>
  <c r="G224" i="2"/>
  <c r="H223" i="2"/>
  <c r="K223" i="2" s="1"/>
  <c r="G223" i="2"/>
  <c r="H222" i="2"/>
  <c r="K222" i="2" s="1"/>
  <c r="G222" i="2"/>
  <c r="H221" i="2"/>
  <c r="K221" i="2" s="1"/>
  <c r="G221" i="2"/>
  <c r="H217" i="2"/>
  <c r="K217" i="2" s="1"/>
  <c r="G217" i="2"/>
  <c r="H216" i="2"/>
  <c r="K216" i="2" s="1"/>
  <c r="G216" i="2"/>
  <c r="H215" i="2"/>
  <c r="K215" i="2" s="1"/>
  <c r="G215" i="2"/>
  <c r="H211" i="2"/>
  <c r="K211" i="2" s="1"/>
  <c r="G211" i="2"/>
  <c r="H210" i="2"/>
  <c r="K210" i="2" s="1"/>
  <c r="G210" i="2"/>
  <c r="H209" i="2"/>
  <c r="K209" i="2" s="1"/>
  <c r="G209" i="2"/>
  <c r="H208" i="2"/>
  <c r="K208" i="2" s="1"/>
  <c r="G208" i="2"/>
  <c r="H207" i="2"/>
  <c r="K207" i="2" s="1"/>
  <c r="G207" i="2"/>
  <c r="H206" i="2"/>
  <c r="K206" i="2" s="1"/>
  <c r="G206" i="2"/>
  <c r="H205" i="2"/>
  <c r="K205" i="2" s="1"/>
  <c r="G205" i="2"/>
  <c r="H204" i="2"/>
  <c r="K204" i="2" s="1"/>
  <c r="G204" i="2"/>
  <c r="H203" i="2"/>
  <c r="K203" i="2" s="1"/>
  <c r="G203" i="2"/>
  <c r="H202" i="2"/>
  <c r="K202" i="2" s="1"/>
  <c r="G202" i="2"/>
  <c r="H201" i="2"/>
  <c r="K201" i="2" s="1"/>
  <c r="G201" i="2"/>
  <c r="H200" i="2"/>
  <c r="K200" i="2" s="1"/>
  <c r="G200" i="2"/>
  <c r="H199" i="2"/>
  <c r="K199" i="2" s="1"/>
  <c r="G199" i="2"/>
  <c r="H198" i="2"/>
  <c r="K198" i="2" s="1"/>
  <c r="G198" i="2"/>
  <c r="H197" i="2"/>
  <c r="K197" i="2" s="1"/>
  <c r="G197" i="2"/>
  <c r="H196" i="2"/>
  <c r="K196" i="2" s="1"/>
  <c r="G196" i="2"/>
  <c r="H195" i="2"/>
  <c r="K195" i="2" s="1"/>
  <c r="G195" i="2"/>
  <c r="H194" i="2"/>
  <c r="K194" i="2" s="1"/>
  <c r="G194" i="2"/>
  <c r="H193" i="2"/>
  <c r="K193" i="2" s="1"/>
  <c r="G193" i="2"/>
  <c r="H192" i="2"/>
  <c r="K192" i="2" s="1"/>
  <c r="G192" i="2"/>
  <c r="H191" i="2"/>
  <c r="K191" i="2" s="1"/>
  <c r="G191" i="2"/>
  <c r="H190" i="2"/>
  <c r="K190" i="2" s="1"/>
  <c r="G190" i="2"/>
  <c r="H189" i="2"/>
  <c r="K189" i="2" s="1"/>
  <c r="G189" i="2"/>
  <c r="H188" i="2"/>
  <c r="K188" i="2" s="1"/>
  <c r="G188" i="2"/>
  <c r="H187" i="2"/>
  <c r="K187" i="2" s="1"/>
  <c r="G187" i="2"/>
  <c r="H186" i="2"/>
  <c r="K186" i="2" s="1"/>
  <c r="G186" i="2"/>
  <c r="H185" i="2"/>
  <c r="K185" i="2" s="1"/>
  <c r="G185" i="2"/>
  <c r="H184" i="2"/>
  <c r="K184" i="2" s="1"/>
  <c r="G184" i="2"/>
  <c r="H183" i="2"/>
  <c r="K183" i="2" s="1"/>
  <c r="G183" i="2"/>
  <c r="H182" i="2"/>
  <c r="K182" i="2" s="1"/>
  <c r="G182" i="2"/>
  <c r="H181" i="2"/>
  <c r="K181" i="2" s="1"/>
  <c r="G181" i="2"/>
  <c r="H180" i="2"/>
  <c r="K180" i="2" s="1"/>
  <c r="G180" i="2"/>
  <c r="H179" i="2"/>
  <c r="K179" i="2" s="1"/>
  <c r="G179" i="2"/>
  <c r="H178" i="2"/>
  <c r="K178" i="2" s="1"/>
  <c r="G178" i="2"/>
  <c r="H177" i="2"/>
  <c r="K177" i="2" s="1"/>
  <c r="G177" i="2"/>
  <c r="H176" i="2"/>
  <c r="K176" i="2" s="1"/>
  <c r="G176" i="2"/>
  <c r="H175" i="2"/>
  <c r="K175" i="2" s="1"/>
  <c r="G175" i="2"/>
  <c r="H174" i="2"/>
  <c r="K174" i="2" s="1"/>
  <c r="G174" i="2"/>
  <c r="H173" i="2"/>
  <c r="K173" i="2" s="1"/>
  <c r="G173" i="2"/>
  <c r="H172" i="2"/>
  <c r="K172" i="2" s="1"/>
  <c r="G172" i="2"/>
  <c r="H171" i="2"/>
  <c r="K171" i="2" s="1"/>
  <c r="G171" i="2"/>
  <c r="H170" i="2"/>
  <c r="K170" i="2" s="1"/>
  <c r="G170" i="2"/>
  <c r="H169" i="2"/>
  <c r="K169" i="2" s="1"/>
  <c r="G169" i="2"/>
  <c r="H168" i="2"/>
  <c r="K168" i="2" s="1"/>
  <c r="G168" i="2"/>
  <c r="H167" i="2"/>
  <c r="K167" i="2" s="1"/>
  <c r="G167" i="2"/>
  <c r="H166" i="2"/>
  <c r="K166" i="2" s="1"/>
  <c r="G166" i="2"/>
  <c r="H165" i="2"/>
  <c r="K165" i="2" s="1"/>
  <c r="G165" i="2"/>
  <c r="H164" i="2"/>
  <c r="K164" i="2" s="1"/>
  <c r="G164" i="2"/>
  <c r="H163" i="2"/>
  <c r="K163" i="2" s="1"/>
  <c r="G163" i="2"/>
  <c r="H162" i="2"/>
  <c r="K162" i="2" s="1"/>
  <c r="G162" i="2"/>
  <c r="H161" i="2"/>
  <c r="K161" i="2" s="1"/>
  <c r="G161" i="2"/>
  <c r="H160" i="2"/>
  <c r="K160" i="2" s="1"/>
  <c r="G160" i="2"/>
  <c r="H159" i="2"/>
  <c r="K159" i="2" s="1"/>
  <c r="G159" i="2"/>
  <c r="H158" i="2"/>
  <c r="K158" i="2" s="1"/>
  <c r="G158" i="2"/>
  <c r="H157" i="2"/>
  <c r="K157" i="2" s="1"/>
  <c r="G157" i="2"/>
  <c r="H156" i="2"/>
  <c r="K156" i="2" s="1"/>
  <c r="G156" i="2"/>
  <c r="H155" i="2"/>
  <c r="K155" i="2" s="1"/>
  <c r="G155" i="2"/>
  <c r="H154" i="2"/>
  <c r="K154" i="2" s="1"/>
  <c r="G154" i="2"/>
  <c r="H153" i="2"/>
  <c r="K153" i="2" s="1"/>
  <c r="G153" i="2"/>
  <c r="H152" i="2"/>
  <c r="K152" i="2" s="1"/>
  <c r="G152" i="2"/>
  <c r="H151" i="2"/>
  <c r="K151" i="2" s="1"/>
  <c r="G151" i="2"/>
  <c r="H150" i="2"/>
  <c r="K150" i="2" s="1"/>
  <c r="G150" i="2"/>
  <c r="H149" i="2"/>
  <c r="K149" i="2" s="1"/>
  <c r="G149" i="2"/>
  <c r="H148" i="2"/>
  <c r="K148" i="2" s="1"/>
  <c r="G148" i="2"/>
  <c r="H147" i="2"/>
  <c r="K147" i="2" s="1"/>
  <c r="G147" i="2"/>
  <c r="H146" i="2"/>
  <c r="K146" i="2" s="1"/>
  <c r="G146" i="2"/>
  <c r="H145" i="2"/>
  <c r="K145" i="2" s="1"/>
  <c r="G145" i="2"/>
  <c r="H144" i="2"/>
  <c r="K144" i="2" s="1"/>
  <c r="G144" i="2"/>
  <c r="H143" i="2"/>
  <c r="K143" i="2" s="1"/>
  <c r="G143" i="2"/>
  <c r="H142" i="2"/>
  <c r="K142" i="2" s="1"/>
  <c r="G142" i="2"/>
  <c r="H141" i="2"/>
  <c r="K141" i="2" s="1"/>
  <c r="G141" i="2"/>
  <c r="H140" i="2"/>
  <c r="K140" i="2" s="1"/>
  <c r="G140" i="2"/>
  <c r="H139" i="2"/>
  <c r="K139" i="2" s="1"/>
  <c r="G139" i="2"/>
  <c r="H138" i="2"/>
  <c r="K138" i="2" s="1"/>
  <c r="G138" i="2"/>
  <c r="H137" i="2"/>
  <c r="K137" i="2" s="1"/>
  <c r="G137" i="2"/>
  <c r="H136" i="2"/>
  <c r="K136" i="2" s="1"/>
  <c r="G136" i="2"/>
  <c r="H135" i="2"/>
  <c r="K135" i="2" s="1"/>
  <c r="G135" i="2"/>
  <c r="H134" i="2"/>
  <c r="K134" i="2" s="1"/>
  <c r="G134" i="2"/>
  <c r="H133" i="2"/>
  <c r="K133" i="2" s="1"/>
  <c r="G133" i="2"/>
  <c r="H132" i="2"/>
  <c r="K132" i="2" s="1"/>
  <c r="G132" i="2"/>
  <c r="H131" i="2"/>
  <c r="K131" i="2" s="1"/>
  <c r="G131" i="2"/>
  <c r="H130" i="2"/>
  <c r="K130" i="2" s="1"/>
  <c r="G130" i="2"/>
  <c r="H129" i="2"/>
  <c r="K129" i="2" s="1"/>
  <c r="G129" i="2"/>
  <c r="H128" i="2"/>
  <c r="K128" i="2" s="1"/>
  <c r="G128" i="2"/>
  <c r="H127" i="2"/>
  <c r="K127" i="2" s="1"/>
  <c r="G127" i="2"/>
  <c r="H126" i="2"/>
  <c r="K126" i="2" s="1"/>
  <c r="G126" i="2"/>
  <c r="H125" i="2"/>
  <c r="K125" i="2" s="1"/>
  <c r="G125" i="2"/>
  <c r="H124" i="2"/>
  <c r="K124" i="2" s="1"/>
  <c r="G124" i="2"/>
  <c r="H123" i="2"/>
  <c r="K123" i="2" s="1"/>
  <c r="G123" i="2"/>
  <c r="H122" i="2"/>
  <c r="K122" i="2" s="1"/>
  <c r="G122" i="2"/>
  <c r="H121" i="2"/>
  <c r="K121" i="2" s="1"/>
  <c r="G121" i="2"/>
  <c r="H120" i="2"/>
  <c r="K120" i="2" s="1"/>
  <c r="G120" i="2"/>
  <c r="H119" i="2"/>
  <c r="K119" i="2" s="1"/>
  <c r="G119" i="2"/>
  <c r="H118" i="2"/>
  <c r="K118" i="2" s="1"/>
  <c r="G118" i="2"/>
  <c r="H117" i="2"/>
  <c r="K117" i="2" s="1"/>
  <c r="G117" i="2"/>
  <c r="H116" i="2"/>
  <c r="K116" i="2" s="1"/>
  <c r="G116" i="2"/>
  <c r="H115" i="2"/>
  <c r="K115" i="2" s="1"/>
  <c r="G115" i="2"/>
  <c r="H114" i="2"/>
  <c r="K114" i="2" s="1"/>
  <c r="G114" i="2"/>
  <c r="H113" i="2"/>
  <c r="K113" i="2" s="1"/>
  <c r="G113" i="2"/>
  <c r="H112" i="2"/>
  <c r="K112" i="2" s="1"/>
  <c r="G112" i="2"/>
  <c r="H111" i="2"/>
  <c r="K111" i="2" s="1"/>
  <c r="G111" i="2"/>
  <c r="H110" i="2"/>
  <c r="K110" i="2" s="1"/>
  <c r="G110" i="2"/>
  <c r="H106" i="2"/>
  <c r="K106" i="2" s="1"/>
  <c r="G106" i="2"/>
  <c r="H105" i="2"/>
  <c r="K105" i="2" s="1"/>
  <c r="G105" i="2"/>
  <c r="H104" i="2"/>
  <c r="K104" i="2" s="1"/>
  <c r="G104" i="2"/>
  <c r="H103" i="2"/>
  <c r="K103" i="2" s="1"/>
  <c r="G103" i="2"/>
  <c r="H102" i="2"/>
  <c r="K102" i="2" s="1"/>
  <c r="G102" i="2"/>
  <c r="H101" i="2"/>
  <c r="K101" i="2" s="1"/>
  <c r="G101" i="2"/>
  <c r="H100" i="2"/>
  <c r="K100" i="2" s="1"/>
  <c r="G100" i="2"/>
  <c r="H99" i="2"/>
  <c r="K99" i="2" s="1"/>
  <c r="G99" i="2"/>
  <c r="H98" i="2"/>
  <c r="K98" i="2" s="1"/>
  <c r="G98" i="2"/>
  <c r="H94" i="2"/>
  <c r="K94" i="2" s="1"/>
  <c r="G94" i="2"/>
  <c r="H93" i="2"/>
  <c r="K93" i="2" s="1"/>
  <c r="G93" i="2"/>
  <c r="H92" i="2"/>
  <c r="K92" i="2" s="1"/>
  <c r="G92" i="2"/>
  <c r="H91" i="2"/>
  <c r="K91" i="2" s="1"/>
  <c r="G91" i="2"/>
  <c r="H90" i="2"/>
  <c r="K90" i="2" s="1"/>
  <c r="G90" i="2"/>
  <c r="H89" i="2"/>
  <c r="K89" i="2" s="1"/>
  <c r="G89" i="2"/>
  <c r="H88" i="2"/>
  <c r="K88" i="2" s="1"/>
  <c r="G88" i="2"/>
  <c r="H87" i="2"/>
  <c r="K87" i="2" s="1"/>
  <c r="G87" i="2"/>
  <c r="H86" i="2"/>
  <c r="K86" i="2" s="1"/>
  <c r="G86" i="2"/>
  <c r="H85" i="2"/>
  <c r="K85" i="2" s="1"/>
  <c r="G85" i="2"/>
  <c r="H84" i="2"/>
  <c r="K84" i="2" s="1"/>
  <c r="G84" i="2"/>
  <c r="H83" i="2"/>
  <c r="K83" i="2" s="1"/>
  <c r="G83" i="2"/>
  <c r="H82" i="2"/>
  <c r="K82" i="2" s="1"/>
  <c r="G82" i="2"/>
  <c r="H81" i="2"/>
  <c r="K81" i="2" s="1"/>
  <c r="G81" i="2"/>
  <c r="H80" i="2"/>
  <c r="K80" i="2" s="1"/>
  <c r="G80" i="2"/>
  <c r="H79" i="2"/>
  <c r="K79" i="2" s="1"/>
  <c r="G79" i="2"/>
  <c r="H78" i="2"/>
  <c r="K78" i="2" s="1"/>
  <c r="G78" i="2"/>
  <c r="H77" i="2"/>
  <c r="K77" i="2" s="1"/>
  <c r="G77" i="2"/>
  <c r="H76" i="2"/>
  <c r="K76" i="2" s="1"/>
  <c r="G76" i="2"/>
  <c r="H72" i="2"/>
  <c r="K72" i="2" s="1"/>
  <c r="G72" i="2"/>
  <c r="H71" i="2"/>
  <c r="K71" i="2" s="1"/>
  <c r="G71" i="2"/>
  <c r="H70" i="2"/>
  <c r="K70" i="2" s="1"/>
  <c r="G70" i="2"/>
  <c r="H69" i="2"/>
  <c r="K69" i="2" s="1"/>
  <c r="G69" i="2"/>
  <c r="H68" i="2"/>
  <c r="K68" i="2" s="1"/>
  <c r="G68" i="2"/>
  <c r="H67" i="2"/>
  <c r="K67" i="2" s="1"/>
  <c r="G67" i="2"/>
  <c r="H66" i="2"/>
  <c r="K66" i="2" s="1"/>
  <c r="G66" i="2"/>
  <c r="H65" i="2"/>
  <c r="K65" i="2" s="1"/>
  <c r="G65" i="2"/>
  <c r="H64" i="2"/>
  <c r="K64" i="2" s="1"/>
  <c r="G64" i="2"/>
  <c r="H63" i="2"/>
  <c r="K63" i="2" s="1"/>
  <c r="G63" i="2"/>
  <c r="H62" i="2"/>
  <c r="K62" i="2" s="1"/>
  <c r="G62" i="2"/>
  <c r="H61" i="2"/>
  <c r="K61" i="2" s="1"/>
  <c r="G61" i="2"/>
  <c r="H60" i="2"/>
  <c r="K60" i="2" s="1"/>
  <c r="G60" i="2"/>
  <c r="H59" i="2"/>
  <c r="K59" i="2" s="1"/>
  <c r="G59" i="2"/>
  <c r="H58" i="2"/>
  <c r="K58" i="2" s="1"/>
  <c r="G58" i="2"/>
  <c r="H57" i="2"/>
  <c r="K57" i="2" s="1"/>
  <c r="G57" i="2"/>
  <c r="H56" i="2"/>
  <c r="K56" i="2" s="1"/>
  <c r="G56" i="2"/>
  <c r="H55" i="2"/>
  <c r="K55" i="2" s="1"/>
  <c r="G55" i="2"/>
  <c r="H54" i="2"/>
  <c r="K54" i="2" s="1"/>
  <c r="G54" i="2"/>
  <c r="H53" i="2"/>
  <c r="K53" i="2" s="1"/>
  <c r="G53" i="2"/>
  <c r="H52" i="2"/>
  <c r="K52" i="2" s="1"/>
  <c r="G52" i="2"/>
  <c r="H51" i="2"/>
  <c r="K51" i="2" s="1"/>
  <c r="G51" i="2"/>
  <c r="H50" i="2"/>
  <c r="K50" i="2" s="1"/>
  <c r="G50" i="2"/>
  <c r="H49" i="2"/>
  <c r="K49" i="2" s="1"/>
  <c r="G49" i="2"/>
  <c r="H48" i="2"/>
  <c r="K48" i="2" s="1"/>
  <c r="G48" i="2"/>
  <c r="H47" i="2"/>
  <c r="K47" i="2" s="1"/>
  <c r="G47" i="2"/>
  <c r="H46" i="2"/>
  <c r="K46" i="2" s="1"/>
  <c r="G46" i="2"/>
  <c r="H45" i="2"/>
  <c r="K45" i="2" s="1"/>
  <c r="G45" i="2"/>
  <c r="H44" i="2"/>
  <c r="K44" i="2" s="1"/>
  <c r="G44" i="2"/>
  <c r="H43" i="2"/>
  <c r="K43" i="2" s="1"/>
  <c r="G43" i="2"/>
  <c r="H42" i="2"/>
  <c r="K42" i="2" s="1"/>
  <c r="G42" i="2"/>
  <c r="H41" i="2"/>
  <c r="K41" i="2" s="1"/>
  <c r="G41" i="2"/>
  <c r="H40" i="2"/>
  <c r="K40" i="2" s="1"/>
  <c r="G40" i="2"/>
  <c r="H39" i="2"/>
  <c r="K39" i="2" s="1"/>
  <c r="G39" i="2"/>
  <c r="H38" i="2"/>
  <c r="K38" i="2" s="1"/>
  <c r="G38" i="2"/>
  <c r="H37" i="2"/>
  <c r="K37" i="2" s="1"/>
  <c r="G37" i="2"/>
  <c r="H36" i="2"/>
  <c r="K36" i="2" s="1"/>
  <c r="G36" i="2"/>
  <c r="H35" i="2"/>
  <c r="K35" i="2" s="1"/>
  <c r="G35" i="2"/>
  <c r="H34" i="2"/>
  <c r="K34" i="2" s="1"/>
  <c r="G34" i="2"/>
  <c r="H33" i="2"/>
  <c r="K33" i="2" s="1"/>
  <c r="G33" i="2"/>
  <c r="H32" i="2"/>
  <c r="K32" i="2" s="1"/>
  <c r="G32" i="2"/>
  <c r="H31" i="2"/>
  <c r="K31" i="2" s="1"/>
  <c r="G31" i="2"/>
  <c r="H30" i="2"/>
  <c r="K30" i="2" s="1"/>
  <c r="G30" i="2"/>
  <c r="H29" i="2"/>
  <c r="K29" i="2" s="1"/>
  <c r="G29" i="2"/>
  <c r="H28" i="2"/>
  <c r="K28" i="2" s="1"/>
  <c r="G28" i="2"/>
  <c r="H27" i="2"/>
  <c r="K27" i="2" s="1"/>
  <c r="G27" i="2"/>
  <c r="H23" i="2"/>
  <c r="K23" i="2" s="1"/>
  <c r="G23" i="2"/>
  <c r="H22" i="2"/>
  <c r="K22" i="2" s="1"/>
  <c r="G22" i="2"/>
  <c r="H21" i="2"/>
  <c r="K21" i="2" s="1"/>
  <c r="G21" i="2"/>
  <c r="H20" i="2"/>
  <c r="K20" i="2" s="1"/>
  <c r="G20" i="2"/>
  <c r="H19" i="2"/>
  <c r="K19" i="2" s="1"/>
  <c r="G19" i="2"/>
  <c r="H18" i="2"/>
  <c r="K18" i="2" s="1"/>
  <c r="G18" i="2"/>
  <c r="H17" i="2"/>
  <c r="K17" i="2" s="1"/>
  <c r="G17" i="2"/>
  <c r="H16" i="2"/>
  <c r="K16" i="2" s="1"/>
  <c r="G16" i="2"/>
  <c r="H15" i="2"/>
  <c r="K15" i="2" s="1"/>
  <c r="G15" i="2"/>
  <c r="H14" i="2"/>
  <c r="K14" i="2" s="1"/>
  <c r="G14" i="2"/>
  <c r="H13" i="2"/>
  <c r="K13" i="2" s="1"/>
  <c r="G13" i="2"/>
  <c r="H12" i="2"/>
  <c r="K12" i="2" s="1"/>
  <c r="G12" i="2"/>
  <c r="H11" i="2"/>
  <c r="K11" i="2" s="1"/>
  <c r="G11" i="2"/>
  <c r="H10" i="2"/>
  <c r="K10" i="2" s="1"/>
  <c r="G10" i="2"/>
  <c r="H9" i="2"/>
  <c r="K9" i="2" s="1"/>
  <c r="G9" i="2"/>
  <c r="I4337" i="1"/>
  <c r="I330" i="2" s="1"/>
  <c r="I4336" i="1"/>
  <c r="I329" i="2" s="1"/>
  <c r="I4335" i="1"/>
  <c r="I328" i="2" s="1"/>
  <c r="I4334" i="1"/>
  <c r="I327" i="2" s="1"/>
  <c r="I4333" i="1"/>
  <c r="I326" i="2" s="1"/>
  <c r="I4332" i="1"/>
  <c r="I325" i="2" s="1"/>
  <c r="I4331" i="1"/>
  <c r="I324" i="2" s="1"/>
  <c r="I4330" i="1"/>
  <c r="I323" i="2" s="1"/>
  <c r="I4329" i="1"/>
  <c r="I322" i="2" s="1"/>
  <c r="I4328" i="1"/>
  <c r="I321" i="2" s="1"/>
  <c r="I4327" i="1"/>
  <c r="I320" i="2" s="1"/>
  <c r="I4326" i="1"/>
  <c r="I319" i="2" s="1"/>
  <c r="I4325" i="1"/>
  <c r="I318" i="2" s="1"/>
  <c r="I4324" i="1"/>
  <c r="I317" i="2" s="1"/>
  <c r="I4323" i="1"/>
  <c r="I316" i="2" s="1"/>
  <c r="I4322" i="1"/>
  <c r="I315" i="2" s="1"/>
  <c r="I4321" i="1"/>
  <c r="I314" i="2" s="1"/>
  <c r="I4320" i="1"/>
  <c r="I313" i="2" s="1"/>
  <c r="I4319" i="1"/>
  <c r="I312" i="2" s="1"/>
  <c r="I4318" i="1"/>
  <c r="I311" i="2" s="1"/>
  <c r="I4317" i="1"/>
  <c r="I310" i="2" s="1"/>
  <c r="I4316" i="1"/>
  <c r="I309" i="2" s="1"/>
  <c r="I4315" i="1"/>
  <c r="I308" i="2" s="1"/>
  <c r="I4314" i="1"/>
  <c r="I307" i="2" s="1"/>
  <c r="I4313" i="1"/>
  <c r="I306" i="2" s="1"/>
  <c r="I4312" i="1"/>
  <c r="I305" i="2" s="1"/>
  <c r="I4311" i="1"/>
  <c r="I304" i="2" s="1"/>
  <c r="I4310" i="1"/>
  <c r="I303" i="2" s="1"/>
  <c r="I4309" i="1"/>
  <c r="I302" i="2" s="1"/>
  <c r="I4308" i="1"/>
  <c r="I301" i="2" s="1"/>
  <c r="I4307" i="1"/>
  <c r="I300" i="2" s="1"/>
  <c r="I4306" i="1"/>
  <c r="I299" i="2" s="1"/>
  <c r="I4305" i="1"/>
  <c r="I298" i="2" s="1"/>
  <c r="I4304" i="1"/>
  <c r="I297" i="2" s="1"/>
  <c r="I4303" i="1"/>
  <c r="I296" i="2" s="1"/>
  <c r="I4302" i="1"/>
  <c r="I295" i="2" s="1"/>
  <c r="I4301" i="1"/>
  <c r="I294" i="2" s="1"/>
  <c r="I4300" i="1"/>
  <c r="I293" i="2" s="1"/>
  <c r="I4299" i="1"/>
  <c r="I292" i="2" s="1"/>
  <c r="I4298" i="1"/>
  <c r="I291" i="2" s="1"/>
  <c r="I4297" i="1"/>
  <c r="I290" i="2" s="1"/>
  <c r="I4296" i="1"/>
  <c r="I289" i="2" s="1"/>
  <c r="I4295" i="1"/>
  <c r="I288" i="2" s="1"/>
  <c r="I4292" i="1"/>
  <c r="I284" i="2" s="1"/>
  <c r="I4291" i="1"/>
  <c r="I283" i="2" s="1"/>
  <c r="I4290" i="1"/>
  <c r="I282" i="2" s="1"/>
  <c r="I4289" i="1"/>
  <c r="I281" i="2" s="1"/>
  <c r="I4288" i="1"/>
  <c r="I280" i="2" s="1"/>
  <c r="I4287" i="1"/>
  <c r="I279" i="2" s="1"/>
  <c r="I4286" i="1"/>
  <c r="I278" i="2" s="1"/>
  <c r="I4285" i="1"/>
  <c r="I277" i="2" s="1"/>
  <c r="I4284" i="1"/>
  <c r="I276" i="2" s="1"/>
  <c r="I4283" i="1"/>
  <c r="I275" i="2" s="1"/>
  <c r="I4282" i="1"/>
  <c r="I274" i="2" s="1"/>
  <c r="I4281" i="1"/>
  <c r="I273" i="2" s="1"/>
  <c r="I4280" i="1"/>
  <c r="I272" i="2" s="1"/>
  <c r="I4279" i="1"/>
  <c r="I271" i="2" s="1"/>
  <c r="I4278" i="1"/>
  <c r="I270" i="2" s="1"/>
  <c r="I4277" i="1"/>
  <c r="I269" i="2" s="1"/>
  <c r="I4276" i="1"/>
  <c r="I268" i="2" s="1"/>
  <c r="I4275" i="1"/>
  <c r="I267" i="2" s="1"/>
  <c r="I4274" i="1"/>
  <c r="I266" i="2" s="1"/>
  <c r="I4273" i="1"/>
  <c r="I265" i="2" s="1"/>
  <c r="I4272" i="1"/>
  <c r="I264" i="2" s="1"/>
  <c r="I4271" i="1"/>
  <c r="I263" i="2" s="1"/>
  <c r="I4270" i="1"/>
  <c r="I262" i="2" s="1"/>
  <c r="I4269" i="1"/>
  <c r="I261" i="2" s="1"/>
  <c r="I4268" i="1"/>
  <c r="I260" i="2" s="1"/>
  <c r="I4267" i="1"/>
  <c r="I259" i="2" s="1"/>
  <c r="I4266" i="1"/>
  <c r="I258" i="2" s="1"/>
  <c r="I4265" i="1"/>
  <c r="I257" i="2" s="1"/>
  <c r="I4264" i="1"/>
  <c r="I256" i="2" s="1"/>
  <c r="I4263" i="1"/>
  <c r="I255" i="2" s="1"/>
  <c r="I4262" i="1"/>
  <c r="I254" i="2" s="1"/>
  <c r="I4261" i="1"/>
  <c r="I253" i="2" s="1"/>
  <c r="I4259" i="1"/>
  <c r="I249" i="2" s="1"/>
  <c r="I4258" i="1"/>
  <c r="I248" i="2" s="1"/>
  <c r="I4257" i="1"/>
  <c r="I247" i="2" s="1"/>
  <c r="I4256" i="1"/>
  <c r="I246" i="2" s="1"/>
  <c r="I4255" i="1"/>
  <c r="I245" i="2" s="1"/>
  <c r="I4254" i="1"/>
  <c r="I244" i="2" s="1"/>
  <c r="I4253" i="1"/>
  <c r="I243" i="2" s="1"/>
  <c r="I4252" i="1"/>
  <c r="I242" i="2" s="1"/>
  <c r="I4251" i="1"/>
  <c r="I241" i="2" s="1"/>
  <c r="I4250" i="1"/>
  <c r="I240" i="2" s="1"/>
  <c r="I4249" i="1"/>
  <c r="I239" i="2" s="1"/>
  <c r="I4248" i="1"/>
  <c r="I238" i="2" s="1"/>
  <c r="I4247" i="1"/>
  <c r="I237" i="2" s="1"/>
  <c r="I4246" i="1"/>
  <c r="I236" i="2" s="1"/>
  <c r="I4245" i="1"/>
  <c r="I235" i="2" s="1"/>
  <c r="I4244" i="1"/>
  <c r="I234" i="2" s="1"/>
  <c r="I4243" i="1"/>
  <c r="I233" i="2" s="1"/>
  <c r="I4242" i="1"/>
  <c r="I232" i="2" s="1"/>
  <c r="I4241" i="1"/>
  <c r="I231" i="2" s="1"/>
  <c r="I4240" i="1"/>
  <c r="I230" i="2" s="1"/>
  <c r="I4239" i="1"/>
  <c r="I229" i="2" s="1"/>
  <c r="I4238" i="1"/>
  <c r="I228" i="2" s="1"/>
  <c r="I4236" i="1"/>
  <c r="I224" i="2" s="1"/>
  <c r="I4235" i="1"/>
  <c r="I223" i="2" s="1"/>
  <c r="I4234" i="1"/>
  <c r="I222" i="2" s="1"/>
  <c r="I4233" i="1"/>
  <c r="I221" i="2" s="1"/>
  <c r="I4231" i="1"/>
  <c r="I217" i="2" s="1"/>
  <c r="I4230" i="1"/>
  <c r="I216" i="2" s="1"/>
  <c r="I4229" i="1"/>
  <c r="I215" i="2" s="1"/>
  <c r="I4227" i="1"/>
  <c r="I211" i="2" s="1"/>
  <c r="I4226" i="1"/>
  <c r="I210" i="2" s="1"/>
  <c r="I4225" i="1"/>
  <c r="I209" i="2" s="1"/>
  <c r="I4224" i="1"/>
  <c r="I208" i="2" s="1"/>
  <c r="I4223" i="1"/>
  <c r="I207" i="2" s="1"/>
  <c r="I4222" i="1"/>
  <c r="I206" i="2" s="1"/>
  <c r="I4221" i="1"/>
  <c r="I205" i="2" s="1"/>
  <c r="I4220" i="1"/>
  <c r="I204" i="2" s="1"/>
  <c r="I4219" i="1"/>
  <c r="I203" i="2" s="1"/>
  <c r="I4218" i="1"/>
  <c r="I202" i="2" s="1"/>
  <c r="I4217" i="1"/>
  <c r="I201" i="2" s="1"/>
  <c r="I4216" i="1"/>
  <c r="I200" i="2" s="1"/>
  <c r="I4215" i="1"/>
  <c r="I199" i="2" s="1"/>
  <c r="I4214" i="1"/>
  <c r="I198" i="2" s="1"/>
  <c r="I4213" i="1"/>
  <c r="I197" i="2" s="1"/>
  <c r="I4212" i="1"/>
  <c r="I196" i="2" s="1"/>
  <c r="I4211" i="1"/>
  <c r="I195" i="2" s="1"/>
  <c r="I4210" i="1"/>
  <c r="I194" i="2" s="1"/>
  <c r="I4209" i="1"/>
  <c r="I193" i="2" s="1"/>
  <c r="I4208" i="1"/>
  <c r="I192" i="2" s="1"/>
  <c r="I4207" i="1"/>
  <c r="I191" i="2" s="1"/>
  <c r="I4206" i="1"/>
  <c r="I190" i="2" s="1"/>
  <c r="I4205" i="1"/>
  <c r="I189" i="2" s="1"/>
  <c r="I4204" i="1"/>
  <c r="I188" i="2" s="1"/>
  <c r="I4203" i="1"/>
  <c r="I187" i="2" s="1"/>
  <c r="I4202" i="1"/>
  <c r="I186" i="2" s="1"/>
  <c r="I4201" i="1"/>
  <c r="I185" i="2" s="1"/>
  <c r="I4200" i="1"/>
  <c r="I184" i="2" s="1"/>
  <c r="I4199" i="1"/>
  <c r="I183" i="2" s="1"/>
  <c r="I4198" i="1"/>
  <c r="I182" i="2" s="1"/>
  <c r="I4197" i="1"/>
  <c r="I181" i="2" s="1"/>
  <c r="I4196" i="1"/>
  <c r="I180" i="2" s="1"/>
  <c r="I4195" i="1"/>
  <c r="I179" i="2" s="1"/>
  <c r="I4194" i="1"/>
  <c r="I178" i="2" s="1"/>
  <c r="I4193" i="1"/>
  <c r="I177" i="2" s="1"/>
  <c r="I4192" i="1"/>
  <c r="I176" i="2" s="1"/>
  <c r="I4191" i="1"/>
  <c r="I175" i="2" s="1"/>
  <c r="I4190" i="1"/>
  <c r="I174" i="2" s="1"/>
  <c r="I4189" i="1"/>
  <c r="I173" i="2" s="1"/>
  <c r="I4188" i="1"/>
  <c r="I172" i="2" s="1"/>
  <c r="I4187" i="1"/>
  <c r="I171" i="2" s="1"/>
  <c r="I4186" i="1"/>
  <c r="I170" i="2" s="1"/>
  <c r="I4185" i="1"/>
  <c r="I169" i="2" s="1"/>
  <c r="I4184" i="1"/>
  <c r="I168" i="2" s="1"/>
  <c r="I4183" i="1"/>
  <c r="I167" i="2" s="1"/>
  <c r="I4182" i="1"/>
  <c r="I166" i="2" s="1"/>
  <c r="I4181" i="1"/>
  <c r="I165" i="2" s="1"/>
  <c r="I4180" i="1"/>
  <c r="I164" i="2" s="1"/>
  <c r="I4179" i="1"/>
  <c r="I163" i="2" s="1"/>
  <c r="I4178" i="1"/>
  <c r="I162" i="2" s="1"/>
  <c r="I4177" i="1"/>
  <c r="I161" i="2" s="1"/>
  <c r="I4176" i="1"/>
  <c r="I160" i="2" s="1"/>
  <c r="I4175" i="1"/>
  <c r="I159" i="2" s="1"/>
  <c r="I4174" i="1"/>
  <c r="I158" i="2" s="1"/>
  <c r="I4173" i="1"/>
  <c r="I157" i="2" s="1"/>
  <c r="I4172" i="1"/>
  <c r="I156" i="2" s="1"/>
  <c r="I4171" i="1"/>
  <c r="I155" i="2" s="1"/>
  <c r="I4170" i="1"/>
  <c r="I154" i="2" s="1"/>
  <c r="I4169" i="1"/>
  <c r="I153" i="2" s="1"/>
  <c r="I4168" i="1"/>
  <c r="I152" i="2" s="1"/>
  <c r="I4167" i="1"/>
  <c r="I151" i="2" s="1"/>
  <c r="I4166" i="1"/>
  <c r="I150" i="2" s="1"/>
  <c r="I4165" i="1"/>
  <c r="I149" i="2" s="1"/>
  <c r="I4164" i="1"/>
  <c r="I148" i="2" s="1"/>
  <c r="I4163" i="1"/>
  <c r="I147" i="2" s="1"/>
  <c r="I4162" i="1"/>
  <c r="I146" i="2" s="1"/>
  <c r="I4161" i="1"/>
  <c r="I145" i="2" s="1"/>
  <c r="I4160" i="1"/>
  <c r="I144" i="2" s="1"/>
  <c r="I4159" i="1"/>
  <c r="I143" i="2" s="1"/>
  <c r="I4158" i="1"/>
  <c r="I142" i="2" s="1"/>
  <c r="I4157" i="1"/>
  <c r="I141" i="2" s="1"/>
  <c r="I4156" i="1"/>
  <c r="I140" i="2" s="1"/>
  <c r="I4155" i="1"/>
  <c r="I139" i="2" s="1"/>
  <c r="I4154" i="1"/>
  <c r="I138" i="2" s="1"/>
  <c r="I4153" i="1"/>
  <c r="I137" i="2" s="1"/>
  <c r="I4152" i="1"/>
  <c r="I136" i="2" s="1"/>
  <c r="I4151" i="1"/>
  <c r="I135" i="2" s="1"/>
  <c r="I4150" i="1"/>
  <c r="I134" i="2" s="1"/>
  <c r="I4149" i="1"/>
  <c r="I133" i="2" s="1"/>
  <c r="I4148" i="1"/>
  <c r="I132" i="2" s="1"/>
  <c r="I4147" i="1"/>
  <c r="I131" i="2" s="1"/>
  <c r="I4146" i="1"/>
  <c r="I130" i="2" s="1"/>
  <c r="I4145" i="1"/>
  <c r="I129" i="2" s="1"/>
  <c r="I4144" i="1"/>
  <c r="I128" i="2" s="1"/>
  <c r="I4143" i="1"/>
  <c r="I127" i="2" s="1"/>
  <c r="I4142" i="1"/>
  <c r="I126" i="2" s="1"/>
  <c r="I4141" i="1"/>
  <c r="I125" i="2" s="1"/>
  <c r="I4140" i="1"/>
  <c r="I124" i="2" s="1"/>
  <c r="I4139" i="1"/>
  <c r="I123" i="2" s="1"/>
  <c r="I4138" i="1"/>
  <c r="I122" i="2" s="1"/>
  <c r="I4137" i="1"/>
  <c r="I121" i="2" s="1"/>
  <c r="I4136" i="1"/>
  <c r="I120" i="2" s="1"/>
  <c r="I4135" i="1"/>
  <c r="I119" i="2" s="1"/>
  <c r="I4134" i="1"/>
  <c r="I118" i="2" s="1"/>
  <c r="I4133" i="1"/>
  <c r="I117" i="2" s="1"/>
  <c r="I4132" i="1"/>
  <c r="I116" i="2" s="1"/>
  <c r="I4131" i="1"/>
  <c r="I115" i="2" s="1"/>
  <c r="I4130" i="1"/>
  <c r="I114" i="2" s="1"/>
  <c r="I4129" i="1"/>
  <c r="I113" i="2" s="1"/>
  <c r="I4128" i="1"/>
  <c r="I112" i="2" s="1"/>
  <c r="I4127" i="1"/>
  <c r="I111" i="2" s="1"/>
  <c r="I4126" i="1"/>
  <c r="I110" i="2" s="1"/>
  <c r="I4124" i="1"/>
  <c r="I106" i="2" s="1"/>
  <c r="I4123" i="1"/>
  <c r="I105" i="2" s="1"/>
  <c r="I4122" i="1"/>
  <c r="I104" i="2" s="1"/>
  <c r="I4121" i="1"/>
  <c r="I103" i="2" s="1"/>
  <c r="I4120" i="1"/>
  <c r="I102" i="2" s="1"/>
  <c r="I4119" i="1"/>
  <c r="I101" i="2" s="1"/>
  <c r="I4118" i="1"/>
  <c r="I100" i="2" s="1"/>
  <c r="I4117" i="1"/>
  <c r="I99" i="2" s="1"/>
  <c r="I4116" i="1"/>
  <c r="I98" i="2" s="1"/>
  <c r="I4114" i="1"/>
  <c r="I94" i="2" s="1"/>
  <c r="I4113" i="1"/>
  <c r="I93" i="2" s="1"/>
  <c r="I4112" i="1"/>
  <c r="I92" i="2" s="1"/>
  <c r="I4111" i="1"/>
  <c r="I91" i="2" s="1"/>
  <c r="I4110" i="1"/>
  <c r="I90" i="2" s="1"/>
  <c r="I4109" i="1"/>
  <c r="I89" i="2" s="1"/>
  <c r="I4108" i="1"/>
  <c r="I88" i="2" s="1"/>
  <c r="I4107" i="1"/>
  <c r="I87" i="2" s="1"/>
  <c r="I4106" i="1"/>
  <c r="I86" i="2" s="1"/>
  <c r="I4105" i="1"/>
  <c r="I85" i="2" s="1"/>
  <c r="I4104" i="1"/>
  <c r="I84" i="2" s="1"/>
  <c r="I4103" i="1"/>
  <c r="I83" i="2" s="1"/>
  <c r="I4102" i="1"/>
  <c r="I82" i="2" s="1"/>
  <c r="I4101" i="1"/>
  <c r="I81" i="2" s="1"/>
  <c r="I4100" i="1"/>
  <c r="I80" i="2" s="1"/>
  <c r="I4099" i="1"/>
  <c r="I79" i="2" s="1"/>
  <c r="I4098" i="1"/>
  <c r="I78" i="2" s="1"/>
  <c r="I4097" i="1"/>
  <c r="I77" i="2" s="1"/>
  <c r="I4096" i="1"/>
  <c r="I76" i="2" s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5" i="1"/>
  <c r="I4054" i="1"/>
  <c r="I4051" i="1"/>
  <c r="I4050" i="1"/>
  <c r="I4049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3" i="1"/>
  <c r="I4012" i="1"/>
  <c r="I4011" i="1"/>
  <c r="I4010" i="1"/>
  <c r="I4009" i="1"/>
  <c r="I4008" i="1"/>
  <c r="I4007" i="1"/>
  <c r="I4006" i="1"/>
  <c r="I4005" i="1"/>
  <c r="I4003" i="1"/>
  <c r="I4002" i="1"/>
  <c r="I4001" i="1"/>
  <c r="I4000" i="1"/>
  <c r="I3999" i="1"/>
  <c r="I3998" i="1"/>
  <c r="I3997" i="1"/>
  <c r="I3996" i="1"/>
  <c r="I3995" i="1"/>
  <c r="I3994" i="1"/>
  <c r="I3992" i="1"/>
  <c r="I3991" i="1"/>
  <c r="I3990" i="1"/>
  <c r="I3989" i="1"/>
  <c r="I3988" i="1"/>
  <c r="I3987" i="1"/>
  <c r="I3986" i="1"/>
  <c r="I3985" i="1"/>
  <c r="I3984" i="1"/>
  <c r="I3982" i="1"/>
  <c r="I3981" i="1"/>
  <c r="I3980" i="1"/>
  <c r="I3979" i="1"/>
  <c r="I3978" i="1"/>
  <c r="I3977" i="1"/>
  <c r="I3976" i="1"/>
  <c r="I3975" i="1"/>
  <c r="I3974" i="1"/>
  <c r="I3973" i="1"/>
  <c r="I3971" i="1"/>
  <c r="I3970" i="1"/>
  <c r="I3969" i="1"/>
  <c r="I3968" i="1"/>
  <c r="I3967" i="1"/>
  <c r="I3966" i="1"/>
  <c r="I3965" i="1"/>
  <c r="I3964" i="1"/>
  <c r="I3963" i="1"/>
  <c r="I3961" i="1"/>
  <c r="I3960" i="1"/>
  <c r="I3959" i="1"/>
  <c r="I3958" i="1"/>
  <c r="I3957" i="1"/>
  <c r="I3956" i="1"/>
  <c r="I3955" i="1"/>
  <c r="I3954" i="1"/>
  <c r="I3953" i="1"/>
  <c r="I3951" i="1"/>
  <c r="I3950" i="1"/>
  <c r="I3949" i="1"/>
  <c r="I3947" i="1"/>
  <c r="I3946" i="1"/>
  <c r="I3945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4" i="1"/>
  <c r="I3922" i="1"/>
  <c r="I3918" i="1"/>
  <c r="I3916" i="1"/>
  <c r="I3915" i="1"/>
  <c r="I3914" i="1"/>
  <c r="I3913" i="1"/>
  <c r="I3912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7" i="1"/>
  <c r="I3865" i="1"/>
  <c r="I3864" i="1"/>
  <c r="I3863" i="1"/>
  <c r="I3862" i="1"/>
  <c r="I3861" i="1"/>
  <c r="I3860" i="1"/>
  <c r="I3859" i="1"/>
  <c r="I3857" i="1"/>
  <c r="I3856" i="1"/>
  <c r="I3855" i="1"/>
  <c r="I3854" i="1"/>
  <c r="I3853" i="1"/>
  <c r="I3852" i="1"/>
  <c r="I3851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1" i="1"/>
  <c r="I3830" i="1"/>
  <c r="I3829" i="1"/>
  <c r="I3828" i="1"/>
  <c r="I3827" i="1"/>
  <c r="I3825" i="1"/>
  <c r="I3824" i="1"/>
  <c r="I3822" i="1"/>
  <c r="I3820" i="1"/>
  <c r="I3819" i="1"/>
  <c r="I3818" i="1"/>
  <c r="I3817" i="1"/>
  <c r="I3816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1" i="1"/>
  <c r="I3800" i="1"/>
  <c r="I3799" i="1"/>
  <c r="I3798" i="1"/>
  <c r="I3797" i="1"/>
  <c r="I3795" i="1"/>
  <c r="I3794" i="1"/>
  <c r="I3792" i="1"/>
  <c r="I3790" i="1"/>
  <c r="I3789" i="1"/>
  <c r="I3788" i="1"/>
  <c r="I3787" i="1"/>
  <c r="I3786" i="1"/>
  <c r="I3780" i="1"/>
  <c r="I3779" i="1"/>
  <c r="I3778" i="1"/>
  <c r="I3777" i="1"/>
  <c r="I3776" i="1"/>
  <c r="I3775" i="1"/>
  <c r="I3774" i="1"/>
  <c r="I3773" i="1"/>
  <c r="I3771" i="1"/>
  <c r="I3770" i="1"/>
  <c r="I3769" i="1"/>
  <c r="I3767" i="1"/>
  <c r="I3766" i="1"/>
  <c r="I3765" i="1"/>
  <c r="I3764" i="1"/>
  <c r="I3763" i="1"/>
  <c r="I3762" i="1"/>
  <c r="I3760" i="1"/>
  <c r="I3759" i="1"/>
  <c r="I3758" i="1"/>
  <c r="I3757" i="1"/>
  <c r="I3756" i="1"/>
  <c r="I3755" i="1"/>
  <c r="I3753" i="1"/>
  <c r="I3752" i="1"/>
  <c r="I3751" i="1"/>
  <c r="I3750" i="1"/>
  <c r="I3749" i="1"/>
  <c r="I3748" i="1"/>
  <c r="I3746" i="1"/>
  <c r="I3744" i="1"/>
  <c r="I3743" i="1"/>
  <c r="I3741" i="1"/>
  <c r="I3740" i="1"/>
  <c r="I3739" i="1"/>
  <c r="I3738" i="1"/>
  <c r="I3737" i="1"/>
  <c r="I3735" i="1"/>
  <c r="I3734" i="1"/>
  <c r="I3733" i="1"/>
  <c r="I3732" i="1"/>
  <c r="I3731" i="1"/>
  <c r="I3729" i="1"/>
  <c r="I3727" i="1"/>
  <c r="I3726" i="1"/>
  <c r="I3724" i="1"/>
  <c r="I3723" i="1"/>
  <c r="I3722" i="1"/>
  <c r="I3721" i="1"/>
  <c r="I3720" i="1"/>
  <c r="I3718" i="1"/>
  <c r="I3717" i="1"/>
  <c r="I3716" i="1"/>
  <c r="I3715" i="1"/>
  <c r="I3714" i="1"/>
  <c r="I3712" i="1"/>
  <c r="I3710" i="1"/>
  <c r="I3708" i="1"/>
  <c r="I3707" i="1"/>
  <c r="I3705" i="1"/>
  <c r="I3704" i="1"/>
  <c r="I3703" i="1"/>
  <c r="I3702" i="1"/>
  <c r="I3701" i="1"/>
  <c r="I3699" i="1"/>
  <c r="I3698" i="1"/>
  <c r="I3697" i="1"/>
  <c r="I3696" i="1"/>
  <c r="I3694" i="1"/>
  <c r="I3692" i="1"/>
  <c r="I3690" i="1"/>
  <c r="I3689" i="1"/>
  <c r="I3687" i="1"/>
  <c r="I3686" i="1"/>
  <c r="I3685" i="1"/>
  <c r="I3684" i="1"/>
  <c r="I3683" i="1"/>
  <c r="I3681" i="1"/>
  <c r="I3680" i="1"/>
  <c r="I3679" i="1"/>
  <c r="I3678" i="1"/>
  <c r="I3677" i="1"/>
  <c r="I3675" i="1"/>
  <c r="I3674" i="1"/>
  <c r="I3673" i="1"/>
  <c r="I3672" i="1"/>
  <c r="I3670" i="1"/>
  <c r="I3668" i="1"/>
  <c r="I3667" i="1"/>
  <c r="I3666" i="1"/>
  <c r="I3665" i="1"/>
  <c r="I3664" i="1"/>
  <c r="I3662" i="1"/>
  <c r="I3661" i="1"/>
  <c r="I3660" i="1"/>
  <c r="I3656" i="1"/>
  <c r="I3655" i="1"/>
  <c r="I3654" i="1"/>
  <c r="I3653" i="1"/>
  <c r="I3652" i="1"/>
  <c r="I3650" i="1"/>
  <c r="I3649" i="1"/>
  <c r="I3648" i="1"/>
  <c r="I3647" i="1"/>
  <c r="I3646" i="1"/>
  <c r="I3644" i="1"/>
  <c r="I3643" i="1"/>
  <c r="I3642" i="1"/>
  <c r="I3641" i="1"/>
  <c r="I3640" i="1"/>
  <c r="I3638" i="1"/>
  <c r="I3637" i="1"/>
  <c r="I3636" i="1"/>
  <c r="I3635" i="1"/>
  <c r="I3634" i="1"/>
  <c r="I3632" i="1"/>
  <c r="I3631" i="1"/>
  <c r="I3629" i="1"/>
  <c r="I3628" i="1"/>
  <c r="I3627" i="1"/>
  <c r="I3626" i="1"/>
  <c r="I3625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0" i="1"/>
  <c r="I3608" i="1"/>
  <c r="I3607" i="1"/>
  <c r="I3606" i="1"/>
  <c r="I3605" i="1"/>
  <c r="I3604" i="1"/>
  <c r="I3603" i="1"/>
  <c r="I3602" i="1"/>
  <c r="I3601" i="1"/>
  <c r="I3600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1" i="1"/>
  <c r="I3580" i="1"/>
  <c r="I3579" i="1"/>
  <c r="I3578" i="1"/>
  <c r="I3577" i="1"/>
  <c r="I3576" i="1"/>
  <c r="I3575" i="1"/>
  <c r="I3574" i="1"/>
  <c r="I3573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5" i="1"/>
  <c r="I3554" i="1"/>
  <c r="I3553" i="1"/>
  <c r="I3552" i="1"/>
  <c r="I3551" i="1"/>
  <c r="I3550" i="1"/>
  <c r="I3549" i="1"/>
  <c r="I3548" i="1"/>
  <c r="I3547" i="1"/>
  <c r="I3545" i="1"/>
  <c r="I3544" i="1"/>
  <c r="I3542" i="1"/>
  <c r="I3541" i="1"/>
  <c r="I3540" i="1"/>
  <c r="I3539" i="1"/>
  <c r="I3538" i="1"/>
  <c r="I3537" i="1"/>
  <c r="I3536" i="1"/>
  <c r="I3535" i="1"/>
  <c r="I3534" i="1"/>
  <c r="I3532" i="1"/>
  <c r="I3531" i="1"/>
  <c r="I3529" i="1"/>
  <c r="I3527" i="1"/>
  <c r="I3526" i="1"/>
  <c r="I3523" i="1"/>
  <c r="I3522" i="1"/>
  <c r="I3521" i="1"/>
  <c r="I3520" i="1"/>
  <c r="I3519" i="1"/>
  <c r="I3518" i="1"/>
  <c r="I3517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1" i="1"/>
  <c r="I3430" i="1"/>
  <c r="I3429" i="1"/>
  <c r="I3428" i="1"/>
  <c r="I3427" i="1"/>
  <c r="I3426" i="1"/>
  <c r="I3423" i="1"/>
  <c r="I3422" i="1"/>
  <c r="I3421" i="1"/>
  <c r="I3420" i="1"/>
  <c r="I3419" i="1"/>
  <c r="I3417" i="1"/>
  <c r="I3416" i="1"/>
  <c r="I3415" i="1"/>
  <c r="I3414" i="1"/>
  <c r="I3413" i="1"/>
  <c r="I3412" i="1"/>
  <c r="I3410" i="1"/>
  <c r="I3409" i="1"/>
  <c r="I3408" i="1"/>
  <c r="I3407" i="1"/>
  <c r="I3406" i="1"/>
  <c r="I3405" i="1"/>
  <c r="I3403" i="1"/>
  <c r="I3402" i="1"/>
  <c r="I3401" i="1"/>
  <c r="I3400" i="1"/>
  <c r="I3399" i="1"/>
  <c r="I3398" i="1"/>
  <c r="I3396" i="1"/>
  <c r="I3393" i="1"/>
  <c r="I3392" i="1"/>
  <c r="I3391" i="1"/>
  <c r="I3390" i="1"/>
  <c r="I3389" i="1"/>
  <c r="I3388" i="1"/>
  <c r="I3387" i="1"/>
  <c r="I3385" i="1"/>
  <c r="I3384" i="1"/>
  <c r="I3383" i="1"/>
  <c r="I3382" i="1"/>
  <c r="I3381" i="1"/>
  <c r="I3380" i="1"/>
  <c r="I3378" i="1"/>
  <c r="I3375" i="1"/>
  <c r="I3374" i="1"/>
  <c r="I3373" i="1"/>
  <c r="I3372" i="1"/>
  <c r="I3371" i="1"/>
  <c r="I3370" i="1"/>
  <c r="I3369" i="1"/>
  <c r="I3367" i="1"/>
  <c r="I3366" i="1"/>
  <c r="I3365" i="1"/>
  <c r="I3364" i="1"/>
  <c r="I3363" i="1"/>
  <c r="I3361" i="1"/>
  <c r="I3360" i="1"/>
  <c r="I3358" i="1"/>
  <c r="I3356" i="1"/>
  <c r="I3355" i="1"/>
  <c r="I3354" i="1"/>
  <c r="I3353" i="1"/>
  <c r="I3352" i="1"/>
  <c r="I3351" i="1"/>
  <c r="I3349" i="1"/>
  <c r="I3348" i="1"/>
  <c r="I3347" i="1"/>
  <c r="I3346" i="1"/>
  <c r="I3345" i="1"/>
  <c r="I3343" i="1"/>
  <c r="I3342" i="1"/>
  <c r="I3340" i="1"/>
  <c r="I3338" i="1"/>
  <c r="I3337" i="1"/>
  <c r="I3336" i="1"/>
  <c r="I3335" i="1"/>
  <c r="I3334" i="1"/>
  <c r="I3333" i="1"/>
  <c r="I3331" i="1"/>
  <c r="I3329" i="1"/>
  <c r="I3328" i="1"/>
  <c r="I3327" i="1"/>
  <c r="I3326" i="1"/>
  <c r="I3325" i="1"/>
  <c r="I3324" i="1"/>
  <c r="I3322" i="1"/>
  <c r="I3321" i="1"/>
  <c r="I3320" i="1"/>
  <c r="I3319" i="1"/>
  <c r="I3318" i="1"/>
  <c r="I3316" i="1"/>
  <c r="I3314" i="1"/>
  <c r="I3313" i="1"/>
  <c r="I3312" i="1"/>
  <c r="I3311" i="1"/>
  <c r="I3310" i="1"/>
  <c r="I3309" i="1"/>
  <c r="I3307" i="1"/>
  <c r="I3306" i="1"/>
  <c r="I3305" i="1"/>
  <c r="I3304" i="1"/>
  <c r="I3303" i="1"/>
  <c r="I3301" i="1"/>
  <c r="I3300" i="1"/>
  <c r="I3299" i="1"/>
  <c r="I3298" i="1"/>
  <c r="I3296" i="1"/>
  <c r="I3295" i="1"/>
  <c r="I3294" i="1"/>
  <c r="I3293" i="1"/>
  <c r="I3292" i="1"/>
  <c r="I3291" i="1"/>
  <c r="I3290" i="1"/>
  <c r="I3288" i="1"/>
  <c r="I3287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3" i="1"/>
  <c r="I3252" i="1"/>
  <c r="I3251" i="1"/>
  <c r="I3250" i="1"/>
  <c r="I3249" i="1"/>
  <c r="I3248" i="1"/>
  <c r="I3247" i="1"/>
  <c r="I3245" i="1"/>
  <c r="I3244" i="1"/>
  <c r="I3242" i="1"/>
  <c r="I3241" i="1"/>
  <c r="I3240" i="1"/>
  <c r="I3236" i="1"/>
  <c r="I3235" i="1"/>
  <c r="I3231" i="1"/>
  <c r="I3230" i="1"/>
  <c r="I3228" i="1"/>
  <c r="I3225" i="1"/>
  <c r="I3224" i="1"/>
  <c r="I3223" i="1"/>
  <c r="I3222" i="1"/>
  <c r="I3221" i="1"/>
  <c r="I3220" i="1"/>
  <c r="I3219" i="1"/>
  <c r="I3218" i="1"/>
  <c r="I3216" i="1"/>
  <c r="I3214" i="1"/>
  <c r="I3212" i="1"/>
  <c r="I3210" i="1"/>
  <c r="I3208" i="1"/>
  <c r="I3206" i="1"/>
  <c r="I3202" i="1"/>
  <c r="I3201" i="1"/>
  <c r="I3200" i="1"/>
  <c r="I3199" i="1"/>
  <c r="I3198" i="1"/>
  <c r="I3197" i="1"/>
  <c r="I3187" i="1"/>
  <c r="I3186" i="1"/>
  <c r="I3185" i="1"/>
  <c r="I3184" i="1"/>
  <c r="I3182" i="1"/>
  <c r="I3181" i="1"/>
  <c r="I3180" i="1"/>
  <c r="I3179" i="1"/>
  <c r="I3178" i="1"/>
  <c r="I3176" i="1"/>
  <c r="I3175" i="1"/>
  <c r="I3174" i="1"/>
  <c r="I3173" i="1"/>
  <c r="I3172" i="1"/>
  <c r="I3170" i="1"/>
  <c r="I3169" i="1"/>
  <c r="I3168" i="1"/>
  <c r="I3167" i="1"/>
  <c r="I3166" i="1"/>
  <c r="I3161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18" i="1"/>
  <c r="I3117" i="1"/>
  <c r="I3115" i="1"/>
  <c r="I3114" i="1"/>
  <c r="I3113" i="1"/>
  <c r="I3112" i="1"/>
  <c r="I3111" i="1"/>
  <c r="I3109" i="1"/>
  <c r="I3108" i="1"/>
  <c r="I3107" i="1"/>
  <c r="I3106" i="1"/>
  <c r="I3105" i="1"/>
  <c r="I3104" i="1"/>
  <c r="I3102" i="1"/>
  <c r="I3101" i="1"/>
  <c r="I3100" i="1"/>
  <c r="I3099" i="1"/>
  <c r="I3098" i="1"/>
  <c r="I3097" i="1"/>
  <c r="I3096" i="1"/>
  <c r="I3094" i="1"/>
  <c r="I3093" i="1"/>
  <c r="I3092" i="1"/>
  <c r="I3091" i="1"/>
  <c r="I3090" i="1"/>
  <c r="I3088" i="1"/>
  <c r="I3087" i="1"/>
  <c r="I3086" i="1"/>
  <c r="I3085" i="1"/>
  <c r="I3084" i="1"/>
  <c r="I3083" i="1"/>
  <c r="I3082" i="1"/>
  <c r="I3081" i="1"/>
  <c r="I3080" i="1"/>
  <c r="I3079" i="1"/>
  <c r="I3078" i="1"/>
  <c r="I3076" i="1"/>
  <c r="I3075" i="1"/>
  <c r="I3072" i="1"/>
  <c r="I3071" i="1"/>
  <c r="I3070" i="1"/>
  <c r="I3069" i="1"/>
  <c r="I3068" i="1"/>
  <c r="I3066" i="1"/>
  <c r="I3065" i="1"/>
  <c r="I3064" i="1"/>
  <c r="I3063" i="1"/>
  <c r="I3062" i="1"/>
  <c r="I3061" i="1"/>
  <c r="I3060" i="1"/>
  <c r="I3059" i="1"/>
  <c r="I3058" i="1"/>
  <c r="I3056" i="1"/>
  <c r="I3055" i="1"/>
  <c r="I3054" i="1"/>
  <c r="I3053" i="1"/>
  <c r="I3052" i="1"/>
  <c r="I3051" i="1"/>
  <c r="I3050" i="1"/>
  <c r="I3049" i="1"/>
  <c r="I3047" i="1"/>
  <c r="I3046" i="1"/>
  <c r="I3045" i="1"/>
  <c r="I3044" i="1"/>
  <c r="I3043" i="1"/>
  <c r="I3042" i="1"/>
  <c r="I3041" i="1"/>
  <c r="I3040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2" i="1"/>
  <c r="I3000" i="1"/>
  <c r="I2999" i="1"/>
  <c r="I2998" i="1"/>
  <c r="I2996" i="1"/>
  <c r="I2995" i="1"/>
  <c r="I2994" i="1"/>
  <c r="I2993" i="1"/>
  <c r="I2991" i="1"/>
  <c r="I2990" i="1"/>
  <c r="I2989" i="1"/>
  <c r="I2988" i="1"/>
  <c r="I2987" i="1"/>
  <c r="I2985" i="1"/>
  <c r="I2984" i="1"/>
  <c r="I2982" i="1"/>
  <c r="I2981" i="1"/>
  <c r="I2980" i="1"/>
  <c r="I2979" i="1"/>
  <c r="I2977" i="1"/>
  <c r="I2976" i="1"/>
  <c r="I2975" i="1"/>
  <c r="I2974" i="1"/>
  <c r="I2973" i="1"/>
  <c r="I2972" i="1"/>
  <c r="I2971" i="1"/>
  <c r="I2969" i="1"/>
  <c r="I2967" i="1"/>
  <c r="I2966" i="1"/>
  <c r="I2964" i="1"/>
  <c r="I2962" i="1"/>
  <c r="I2961" i="1"/>
  <c r="I2960" i="1"/>
  <c r="I2959" i="1"/>
  <c r="I2958" i="1"/>
  <c r="I2957" i="1"/>
  <c r="I2955" i="1"/>
  <c r="I2954" i="1"/>
  <c r="I2953" i="1"/>
  <c r="I2952" i="1"/>
  <c r="I2951" i="1"/>
  <c r="I2950" i="1"/>
  <c r="I2949" i="1"/>
  <c r="I2948" i="1"/>
  <c r="I2947" i="1"/>
  <c r="I2945" i="1"/>
  <c r="I2943" i="1"/>
  <c r="I2942" i="1"/>
  <c r="I2941" i="1"/>
  <c r="I2940" i="1"/>
  <c r="I2939" i="1"/>
  <c r="I2936" i="1"/>
  <c r="I2934" i="1"/>
  <c r="I2933" i="1"/>
  <c r="I2932" i="1"/>
  <c r="I2931" i="1"/>
  <c r="I2930" i="1"/>
  <c r="I2929" i="1"/>
  <c r="I2928" i="1"/>
  <c r="I2927" i="1"/>
  <c r="I2926" i="1"/>
  <c r="I2924" i="1"/>
  <c r="I2923" i="1"/>
  <c r="I2922" i="1"/>
  <c r="I2921" i="1"/>
  <c r="I2920" i="1"/>
  <c r="I2919" i="1"/>
  <c r="I2918" i="1"/>
  <c r="I2917" i="1"/>
  <c r="I2916" i="1"/>
  <c r="I2914" i="1"/>
  <c r="I2912" i="1"/>
  <c r="I2911" i="1"/>
  <c r="I2910" i="1"/>
  <c r="I2909" i="1"/>
  <c r="I2908" i="1"/>
  <c r="I2905" i="1"/>
  <c r="I2903" i="1"/>
  <c r="I2902" i="1"/>
  <c r="I2901" i="1"/>
  <c r="I2900" i="1"/>
  <c r="I2899" i="1"/>
  <c r="I2898" i="1"/>
  <c r="I2897" i="1"/>
  <c r="I2896" i="1"/>
  <c r="I2895" i="1"/>
  <c r="I2893" i="1"/>
  <c r="I2892" i="1"/>
  <c r="I2891" i="1"/>
  <c r="I2890" i="1"/>
  <c r="I2889" i="1"/>
  <c r="I2888" i="1"/>
  <c r="I2887" i="1"/>
  <c r="I2886" i="1"/>
  <c r="I2885" i="1"/>
  <c r="I2883" i="1"/>
  <c r="I2881" i="1"/>
  <c r="I2880" i="1"/>
  <c r="I2879" i="1"/>
  <c r="I2878" i="1"/>
  <c r="I2877" i="1"/>
  <c r="I2874" i="1"/>
  <c r="I2872" i="1"/>
  <c r="I2871" i="1"/>
  <c r="I2870" i="1"/>
  <c r="I2869" i="1"/>
  <c r="I2868" i="1"/>
  <c r="I2867" i="1"/>
  <c r="I2866" i="1"/>
  <c r="I2865" i="1"/>
  <c r="I2864" i="1"/>
  <c r="I2862" i="1"/>
  <c r="I2861" i="1"/>
  <c r="I2860" i="1"/>
  <c r="I2859" i="1"/>
  <c r="I2858" i="1"/>
  <c r="I2857" i="1"/>
  <c r="I2856" i="1"/>
  <c r="I2855" i="1"/>
  <c r="I2854" i="1"/>
  <c r="I2852" i="1"/>
  <c r="I2850" i="1"/>
  <c r="I2849" i="1"/>
  <c r="I2848" i="1"/>
  <c r="I2847" i="1"/>
  <c r="I2846" i="1"/>
  <c r="I2843" i="1"/>
  <c r="I2841" i="1"/>
  <c r="I2840" i="1"/>
  <c r="I2839" i="1"/>
  <c r="I2838" i="1"/>
  <c r="I2837" i="1"/>
  <c r="I2836" i="1"/>
  <c r="I2835" i="1"/>
  <c r="I2834" i="1"/>
  <c r="I2833" i="1"/>
  <c r="I2831" i="1"/>
  <c r="I2830" i="1"/>
  <c r="I2829" i="1"/>
  <c r="I2828" i="1"/>
  <c r="I2827" i="1"/>
  <c r="I2826" i="1"/>
  <c r="I2825" i="1"/>
  <c r="I2824" i="1"/>
  <c r="I2823" i="1"/>
  <c r="I2821" i="1"/>
  <c r="I2819" i="1"/>
  <c r="I2818" i="1"/>
  <c r="I2817" i="1"/>
  <c r="I2816" i="1"/>
  <c r="I2815" i="1"/>
  <c r="I2812" i="1"/>
  <c r="I2810" i="1"/>
  <c r="I2809" i="1"/>
  <c r="I2808" i="1"/>
  <c r="I2807" i="1"/>
  <c r="I2806" i="1"/>
  <c r="I2805" i="1"/>
  <c r="I2804" i="1"/>
  <c r="I2803" i="1"/>
  <c r="I2802" i="1"/>
  <c r="I2800" i="1"/>
  <c r="I2799" i="1"/>
  <c r="I2798" i="1"/>
  <c r="I2797" i="1"/>
  <c r="I2796" i="1"/>
  <c r="I2795" i="1"/>
  <c r="I2794" i="1"/>
  <c r="I2793" i="1"/>
  <c r="I2792" i="1"/>
  <c r="I2790" i="1"/>
  <c r="I2788" i="1"/>
  <c r="I2787" i="1"/>
  <c r="I2786" i="1"/>
  <c r="I2785" i="1"/>
  <c r="I2784" i="1"/>
  <c r="I2781" i="1"/>
  <c r="I2779" i="1"/>
  <c r="I2778" i="1"/>
  <c r="I2777" i="1"/>
  <c r="I2776" i="1"/>
  <c r="I2775" i="1"/>
  <c r="I2774" i="1"/>
  <c r="I2773" i="1"/>
  <c r="I2772" i="1"/>
  <c r="I2771" i="1"/>
  <c r="I2769" i="1"/>
  <c r="I2768" i="1"/>
  <c r="I2767" i="1"/>
  <c r="I2766" i="1"/>
  <c r="I2764" i="1"/>
  <c r="I2763" i="1"/>
  <c r="I2762" i="1"/>
  <c r="I2758" i="1"/>
  <c r="I2756" i="1"/>
  <c r="I2755" i="1"/>
  <c r="I2754" i="1"/>
  <c r="I2753" i="1"/>
  <c r="I2752" i="1"/>
  <c r="I2751" i="1"/>
  <c r="I2750" i="1"/>
  <c r="I2748" i="1"/>
  <c r="I2747" i="1"/>
  <c r="I2746" i="1"/>
  <c r="I2745" i="1"/>
  <c r="I2743" i="1"/>
  <c r="I2742" i="1"/>
  <c r="I2741" i="1"/>
  <c r="I2737" i="1"/>
  <c r="I2735" i="1"/>
  <c r="I2734" i="1"/>
  <c r="I2733" i="1"/>
  <c r="I2732" i="1"/>
  <c r="I2731" i="1"/>
  <c r="I2730" i="1"/>
  <c r="I2729" i="1"/>
  <c r="I2727" i="1"/>
  <c r="I2725" i="1"/>
  <c r="I2724" i="1"/>
  <c r="I2723" i="1"/>
  <c r="I2721" i="1"/>
  <c r="I2719" i="1"/>
  <c r="I2718" i="1"/>
  <c r="I2717" i="1"/>
  <c r="I2714" i="1"/>
  <c r="I2713" i="1"/>
  <c r="I2712" i="1"/>
  <c r="I2711" i="1"/>
  <c r="I2710" i="1"/>
  <c r="I2709" i="1"/>
  <c r="I2708" i="1"/>
  <c r="I2706" i="1"/>
  <c r="I2704" i="1"/>
  <c r="I2703" i="1"/>
  <c r="I2702" i="1"/>
  <c r="I2701" i="1"/>
  <c r="I2700" i="1"/>
  <c r="I2699" i="1"/>
  <c r="I2697" i="1"/>
  <c r="I2696" i="1"/>
  <c r="I2695" i="1"/>
  <c r="I2694" i="1"/>
  <c r="I2693" i="1"/>
  <c r="I2691" i="1"/>
  <c r="I2689" i="1"/>
  <c r="I2688" i="1"/>
  <c r="I2687" i="1"/>
  <c r="I2686" i="1"/>
  <c r="I2685" i="1"/>
  <c r="I2684" i="1"/>
  <c r="I2682" i="1"/>
  <c r="I2681" i="1"/>
  <c r="I2680" i="1"/>
  <c r="I2679" i="1"/>
  <c r="I2678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0" i="1"/>
  <c r="I2649" i="1"/>
  <c r="I2648" i="1"/>
  <c r="I2646" i="1"/>
  <c r="I2645" i="1"/>
  <c r="I2644" i="1"/>
  <c r="I2643" i="1"/>
  <c r="I2642" i="1"/>
  <c r="I2641" i="1"/>
  <c r="I2640" i="1"/>
  <c r="I2638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7" i="1"/>
  <c r="I2616" i="1"/>
  <c r="I2615" i="1"/>
  <c r="I2614" i="1"/>
  <c r="I2613" i="1"/>
  <c r="I2612" i="1"/>
  <c r="I2611" i="1"/>
  <c r="I2610" i="1"/>
  <c r="I2609" i="1"/>
  <c r="I2608" i="1"/>
  <c r="I2604" i="1"/>
  <c r="I2602" i="1"/>
  <c r="I2595" i="1"/>
  <c r="I2593" i="1"/>
  <c r="I2592" i="1"/>
  <c r="I2591" i="1"/>
  <c r="I2590" i="1"/>
  <c r="I2588" i="1"/>
  <c r="I2587" i="1"/>
  <c r="I2586" i="1"/>
  <c r="I2585" i="1"/>
  <c r="I2584" i="1"/>
  <c r="I2583" i="1"/>
  <c r="I2582" i="1"/>
  <c r="I2581" i="1"/>
  <c r="I2580" i="1"/>
  <c r="I2579" i="1"/>
  <c r="I2577" i="1"/>
  <c r="I2576" i="1"/>
  <c r="I2575" i="1"/>
  <c r="I2574" i="1"/>
  <c r="I2573" i="1"/>
  <c r="I2572" i="1"/>
  <c r="I2571" i="1"/>
  <c r="I2570" i="1"/>
  <c r="I2569" i="1"/>
  <c r="I2568" i="1"/>
  <c r="I2567" i="1"/>
  <c r="I2565" i="1"/>
  <c r="I2564" i="1"/>
  <c r="I2563" i="1"/>
  <c r="I2562" i="1"/>
  <c r="I2561" i="1"/>
  <c r="I2560" i="1"/>
  <c r="I2559" i="1"/>
  <c r="I2558" i="1"/>
  <c r="I2557" i="1"/>
  <c r="I2556" i="1"/>
  <c r="I2555" i="1"/>
  <c r="I2553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3" i="1"/>
  <c r="I2532" i="1"/>
  <c r="I2531" i="1"/>
  <c r="I2530" i="1"/>
  <c r="I2529" i="1"/>
  <c r="I2528" i="1"/>
  <c r="I2527" i="1"/>
  <c r="I2526" i="1"/>
  <c r="I2524" i="1"/>
  <c r="I2523" i="1"/>
  <c r="I2522" i="1"/>
  <c r="I2521" i="1"/>
  <c r="I2520" i="1"/>
  <c r="I2519" i="1"/>
  <c r="I2518" i="1"/>
  <c r="I2517" i="1"/>
  <c r="I2516" i="1"/>
  <c r="I2515" i="1"/>
  <c r="I2514" i="1"/>
  <c r="I2512" i="1"/>
  <c r="I2509" i="1"/>
  <c r="I2507" i="1"/>
  <c r="I2506" i="1"/>
  <c r="I2504" i="1"/>
  <c r="I2503" i="1"/>
  <c r="I2502" i="1"/>
  <c r="I2501" i="1"/>
  <c r="I2500" i="1"/>
  <c r="I2499" i="1"/>
  <c r="I2498" i="1"/>
  <c r="I2497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0" i="1"/>
  <c r="I2419" i="1"/>
  <c r="I2418" i="1"/>
  <c r="I2416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1" i="1"/>
  <c r="I2338" i="1"/>
  <c r="I2337" i="1"/>
  <c r="I2335" i="1"/>
  <c r="I2334" i="1"/>
  <c r="I2333" i="1"/>
  <c r="I2332" i="1"/>
  <c r="I2330" i="1"/>
  <c r="I2328" i="1"/>
  <c r="I2327" i="1"/>
  <c r="I2326" i="1"/>
  <c r="I2324" i="1"/>
  <c r="I2323" i="1"/>
  <c r="I2322" i="1"/>
  <c r="I2321" i="1"/>
  <c r="I2320" i="1"/>
  <c r="I2319" i="1"/>
  <c r="I2318" i="1"/>
  <c r="I2317" i="1"/>
  <c r="I2316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3" i="1"/>
  <c r="I2292" i="1"/>
  <c r="I2291" i="1"/>
  <c r="I2290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6" i="1"/>
  <c r="I2265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6" i="1"/>
  <c r="I2235" i="1"/>
  <c r="I2234" i="1"/>
  <c r="I2233" i="1"/>
  <c r="I2232" i="1"/>
  <c r="I2230" i="1"/>
  <c r="I2229" i="1"/>
  <c r="I2228" i="1"/>
  <c r="I2227" i="1"/>
  <c r="I2226" i="1"/>
  <c r="I2225" i="1"/>
  <c r="I2224" i="1"/>
  <c r="I2222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7" i="1"/>
  <c r="I2186" i="1"/>
  <c r="I2185" i="1"/>
  <c r="I2184" i="1"/>
  <c r="I2183" i="1"/>
  <c r="I2182" i="1"/>
  <c r="I2181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1999" i="1"/>
  <c r="I1998" i="1"/>
  <c r="H1997" i="1"/>
  <c r="I1997" i="1" s="1"/>
  <c r="I1996" i="1"/>
  <c r="I1995" i="1"/>
  <c r="I1994" i="1"/>
  <c r="I1993" i="1"/>
  <c r="I1992" i="1"/>
  <c r="I1991" i="1"/>
  <c r="I1990" i="1"/>
  <c r="I1989" i="1"/>
  <c r="I1988" i="1"/>
  <c r="I1987" i="1"/>
  <c r="I1986" i="1"/>
  <c r="I1984" i="1"/>
  <c r="I1983" i="1"/>
  <c r="I1982" i="1"/>
  <c r="I1981" i="1"/>
  <c r="I1980" i="1"/>
  <c r="I1979" i="1"/>
  <c r="I1978" i="1"/>
  <c r="I1977" i="1"/>
  <c r="I1975" i="1"/>
  <c r="I1974" i="1"/>
  <c r="I1972" i="1"/>
  <c r="I1971" i="1"/>
  <c r="I1970" i="1"/>
  <c r="H1969" i="1"/>
  <c r="I1969" i="1" s="1"/>
  <c r="H1968" i="1"/>
  <c r="I1968" i="1" s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H1955" i="1"/>
  <c r="I1955" i="1" s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899" i="1"/>
  <c r="I1898" i="1"/>
  <c r="I1897" i="1"/>
  <c r="I1896" i="1"/>
  <c r="I1895" i="1"/>
  <c r="I1894" i="1"/>
  <c r="I72" i="2" s="1"/>
  <c r="I1893" i="1"/>
  <c r="I1892" i="1"/>
  <c r="I1891" i="1"/>
  <c r="I1890" i="1"/>
  <c r="I1889" i="1"/>
  <c r="I1888" i="1"/>
  <c r="I1887" i="1"/>
  <c r="I1886" i="1"/>
  <c r="I1884" i="1"/>
  <c r="I1883" i="1"/>
  <c r="I1882" i="1"/>
  <c r="I1881" i="1"/>
  <c r="I1880" i="1"/>
  <c r="I1879" i="1"/>
  <c r="I1878" i="1"/>
  <c r="I1877" i="1"/>
  <c r="I1876" i="1"/>
  <c r="I1875" i="1"/>
  <c r="I1874" i="1"/>
  <c r="I1872" i="1"/>
  <c r="I1871" i="1"/>
  <c r="I1870" i="1"/>
  <c r="I1869" i="1"/>
  <c r="I1868" i="1"/>
  <c r="I1867" i="1"/>
  <c r="I1866" i="1"/>
  <c r="I1865" i="1"/>
  <c r="I1863" i="1"/>
  <c r="I1862" i="1"/>
  <c r="I1861" i="1"/>
  <c r="I1860" i="1"/>
  <c r="I1858" i="1"/>
  <c r="I1857" i="1"/>
  <c r="I1856" i="1"/>
  <c r="I1855" i="1"/>
  <c r="I1854" i="1"/>
  <c r="I1853" i="1"/>
  <c r="I1852" i="1"/>
  <c r="I1851" i="1"/>
  <c r="I1850" i="1"/>
  <c r="I1849" i="1"/>
  <c r="I1848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3" i="1"/>
  <c r="I1732" i="1"/>
  <c r="I1731" i="1"/>
  <c r="I1730" i="1"/>
  <c r="I1729" i="1"/>
  <c r="I1728" i="1"/>
  <c r="I1727" i="1"/>
  <c r="I1726" i="1"/>
  <c r="I1725" i="1"/>
  <c r="I1724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1" i="1"/>
  <c r="I1630" i="1"/>
  <c r="I1629" i="1"/>
  <c r="I1628" i="1"/>
  <c r="I1627" i="1"/>
  <c r="I1626" i="1"/>
  <c r="I1625" i="1"/>
  <c r="I1624" i="1"/>
  <c r="I1623" i="1"/>
  <c r="I1622" i="1"/>
  <c r="I1620" i="1"/>
  <c r="I1619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4" i="1"/>
  <c r="I1573" i="1"/>
  <c r="I1572" i="1"/>
  <c r="I1571" i="1"/>
  <c r="I1569" i="1"/>
  <c r="I1568" i="1"/>
  <c r="I1566" i="1"/>
  <c r="I1565" i="1"/>
  <c r="I1564" i="1"/>
  <c r="I1563" i="1"/>
  <c r="I1562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6" i="1"/>
  <c r="I71" i="2" s="1"/>
  <c r="I1515" i="1"/>
  <c r="I70" i="2" s="1"/>
  <c r="I1514" i="1"/>
  <c r="I69" i="2" s="1"/>
  <c r="I1512" i="1"/>
  <c r="I1511" i="1"/>
  <c r="I1510" i="1"/>
  <c r="I1509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3" i="1"/>
  <c r="I1472" i="1"/>
  <c r="I1471" i="1"/>
  <c r="I1470" i="1"/>
  <c r="I1469" i="1"/>
  <c r="I1468" i="1"/>
  <c r="I1466" i="1"/>
  <c r="I1465" i="1"/>
  <c r="I1463" i="1"/>
  <c r="I1461" i="1"/>
  <c r="I1460" i="1"/>
  <c r="I1459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7" i="1"/>
  <c r="I1436" i="1"/>
  <c r="I1434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49" i="1"/>
  <c r="I1348" i="1"/>
  <c r="I1347" i="1"/>
  <c r="I1346" i="1"/>
  <c r="I1345" i="1"/>
  <c r="I1344" i="1"/>
  <c r="I1343" i="1"/>
  <c r="I1342" i="1"/>
  <c r="I1341" i="1"/>
  <c r="I1339" i="1"/>
  <c r="I1338" i="1"/>
  <c r="I1337" i="1"/>
  <c r="I1336" i="1"/>
  <c r="I1335" i="1"/>
  <c r="I1334" i="1"/>
  <c r="I1333" i="1"/>
  <c r="I1332" i="1"/>
  <c r="I1331" i="1"/>
  <c r="I1329" i="1"/>
  <c r="I1328" i="1"/>
  <c r="I1327" i="1"/>
  <c r="I1326" i="1"/>
  <c r="I1325" i="1"/>
  <c r="I1324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1" i="1"/>
  <c r="I68" i="2" s="1"/>
  <c r="I1230" i="1"/>
  <c r="I67" i="2" s="1"/>
  <c r="I1229" i="1"/>
  <c r="I66" i="2" s="1"/>
  <c r="I1228" i="1"/>
  <c r="I65" i="2" s="1"/>
  <c r="I1227" i="1"/>
  <c r="I64" i="2" s="1"/>
  <c r="I1226" i="1"/>
  <c r="I63" i="2" s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58" i="1"/>
  <c r="I62" i="2" s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39" i="1"/>
  <c r="I61" i="2" s="1"/>
  <c r="I437" i="1"/>
  <c r="I436" i="1"/>
  <c r="I435" i="1"/>
  <c r="I434" i="1"/>
  <c r="I431" i="1"/>
  <c r="I60" i="2" s="1"/>
  <c r="I430" i="1"/>
  <c r="I59" i="2" s="1"/>
  <c r="I429" i="1"/>
  <c r="I58" i="2" s="1"/>
  <c r="I428" i="1"/>
  <c r="I57" i="2" s="1"/>
  <c r="I427" i="1"/>
  <c r="I56" i="2" s="1"/>
  <c r="I426" i="1"/>
  <c r="I55" i="2" s="1"/>
  <c r="I425" i="1"/>
  <c r="I54" i="2" s="1"/>
  <c r="I424" i="1"/>
  <c r="I53" i="2" s="1"/>
  <c r="I423" i="1"/>
  <c r="I52" i="2" s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08" i="1"/>
  <c r="I51" i="2" s="1"/>
  <c r="I407" i="1"/>
  <c r="I50" i="2" s="1"/>
  <c r="I406" i="1"/>
  <c r="I49" i="2" s="1"/>
  <c r="I405" i="1"/>
  <c r="I48" i="2" s="1"/>
  <c r="I404" i="1"/>
  <c r="I47" i="2" s="1"/>
  <c r="I403" i="1"/>
  <c r="I46" i="2" s="1"/>
  <c r="I402" i="1"/>
  <c r="I45" i="2" s="1"/>
  <c r="I401" i="1"/>
  <c r="I44" i="2" s="1"/>
  <c r="I400" i="1"/>
  <c r="I43" i="2" s="1"/>
  <c r="I399" i="1"/>
  <c r="I42" i="2" s="1"/>
  <c r="I398" i="1"/>
  <c r="I41" i="2" s="1"/>
  <c r="I397" i="1"/>
  <c r="I40" i="2" s="1"/>
  <c r="I396" i="1"/>
  <c r="I39" i="2" s="1"/>
  <c r="I395" i="1"/>
  <c r="I38" i="2" s="1"/>
  <c r="I394" i="1"/>
  <c r="I37" i="2" s="1"/>
  <c r="I393" i="1"/>
  <c r="I36" i="2" s="1"/>
  <c r="I392" i="1"/>
  <c r="I35" i="2" s="1"/>
  <c r="I391" i="1"/>
  <c r="I34" i="2" s="1"/>
  <c r="I390" i="1"/>
  <c r="I33" i="2" s="1"/>
  <c r="I389" i="1"/>
  <c r="I32" i="2" s="1"/>
  <c r="I388" i="1"/>
  <c r="I31" i="2" s="1"/>
  <c r="I387" i="1"/>
  <c r="I30" i="2" s="1"/>
  <c r="I386" i="1"/>
  <c r="I29" i="2" s="1"/>
  <c r="I385" i="1"/>
  <c r="I28" i="2" s="1"/>
  <c r="I384" i="1"/>
  <c r="I27" i="2" s="1"/>
  <c r="I382" i="1"/>
  <c r="I381" i="1"/>
  <c r="I380" i="1"/>
  <c r="I379" i="1"/>
  <c r="I378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38" i="1"/>
  <c r="I236" i="1"/>
  <c r="I235" i="1"/>
  <c r="I234" i="1"/>
  <c r="I233" i="1"/>
  <c r="I230" i="1"/>
  <c r="I229" i="1"/>
  <c r="I228" i="1"/>
  <c r="I222" i="1"/>
  <c r="I220" i="1"/>
  <c r="I219" i="1"/>
  <c r="I218" i="1"/>
  <c r="I217" i="1"/>
  <c r="I214" i="1"/>
  <c r="I213" i="1"/>
  <c r="I212" i="1"/>
  <c r="I211" i="1"/>
  <c r="I210" i="1"/>
  <c r="I209" i="1"/>
  <c r="I207" i="1"/>
  <c r="I206" i="1"/>
  <c r="I205" i="1"/>
  <c r="I204" i="1"/>
  <c r="I203" i="1"/>
  <c r="I201" i="1"/>
  <c r="I200" i="1"/>
  <c r="I199" i="1"/>
  <c r="I198" i="1"/>
  <c r="I197" i="1"/>
  <c r="I196" i="1"/>
  <c r="I195" i="1"/>
  <c r="I194" i="1"/>
  <c r="I193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4" i="1"/>
  <c r="I173" i="1"/>
  <c r="I170" i="1"/>
  <c r="I169" i="1"/>
  <c r="I168" i="1"/>
  <c r="I166" i="1"/>
  <c r="I165" i="1"/>
  <c r="I164" i="1"/>
  <c r="I163" i="1"/>
  <c r="I160" i="1"/>
  <c r="I159" i="1"/>
  <c r="I157" i="1"/>
  <c r="I156" i="1"/>
  <c r="I155" i="1"/>
  <c r="I154" i="1"/>
  <c r="I153" i="1"/>
  <c r="I152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29" i="1"/>
  <c r="I128" i="1"/>
  <c r="I127" i="1"/>
  <c r="I126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7" i="1"/>
  <c r="I106" i="1"/>
  <c r="I105" i="1"/>
  <c r="I104" i="1"/>
  <c r="I103" i="1"/>
  <c r="I101" i="1"/>
  <c r="I100" i="1"/>
  <c r="I99" i="1"/>
  <c r="I98" i="1"/>
  <c r="I97" i="1"/>
  <c r="I96" i="1"/>
  <c r="I95" i="1"/>
  <c r="I94" i="1"/>
  <c r="I93" i="1"/>
  <c r="I92" i="1"/>
  <c r="I90" i="1"/>
  <c r="I86" i="1"/>
  <c r="I85" i="1"/>
  <c r="I82" i="1"/>
  <c r="I81" i="1"/>
  <c r="I80" i="1"/>
  <c r="I79" i="1"/>
  <c r="I78" i="1"/>
  <c r="I77" i="1"/>
  <c r="I76" i="1"/>
  <c r="I75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5" i="1"/>
  <c r="I54" i="1"/>
  <c r="I53" i="1"/>
  <c r="I52" i="1"/>
  <c r="I51" i="1"/>
  <c r="I50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17" i="1"/>
  <c r="I23" i="2" s="1"/>
  <c r="I16" i="1"/>
  <c r="I22" i="2" s="1"/>
  <c r="I15" i="1"/>
  <c r="I21" i="2" s="1"/>
  <c r="I14" i="1"/>
  <c r="I20" i="2" s="1"/>
  <c r="I13" i="1"/>
  <c r="I19" i="2" s="1"/>
  <c r="I12" i="1"/>
  <c r="I18" i="2" s="1"/>
  <c r="I11" i="1"/>
  <c r="I17" i="2" s="1"/>
  <c r="I10" i="1"/>
  <c r="I16" i="2" s="1"/>
  <c r="I9" i="1"/>
  <c r="I15" i="2" s="1"/>
  <c r="I8" i="1"/>
  <c r="I14" i="2" s="1"/>
  <c r="I7" i="1"/>
  <c r="I13" i="2" s="1"/>
  <c r="I6" i="1"/>
  <c r="I12" i="2" s="1"/>
  <c r="I5" i="1"/>
  <c r="I11" i="2" s="1"/>
  <c r="I4" i="1"/>
  <c r="I3" i="1"/>
  <c r="I9" i="2" s="1"/>
  <c r="H87" i="1" l="1"/>
  <c r="I87" i="1" s="1"/>
  <c r="I285" i="2"/>
  <c r="I331" i="2"/>
  <c r="I218" i="2"/>
  <c r="I95" i="2"/>
  <c r="I250" i="2"/>
  <c r="I73" i="2"/>
  <c r="I107" i="2"/>
  <c r="I212" i="2"/>
  <c r="I225" i="2"/>
  <c r="I10" i="2"/>
  <c r="I24" i="2" s="1"/>
  <c r="I333" i="2" l="1"/>
  <c r="I4339" i="1"/>
</calcChain>
</file>

<file path=xl/sharedStrings.xml><?xml version="1.0" encoding="utf-8"?>
<sst xmlns="http://schemas.openxmlformats.org/spreadsheetml/2006/main" count="29251" uniqueCount="6895">
  <si>
    <t>№ п/п</t>
  </si>
  <si>
    <t>Наименование и техническая характеристика</t>
  </si>
  <si>
    <t>Тип, марка, обозначение документа, опросного листа</t>
  </si>
  <si>
    <t>Код оборудования, изделия, материала</t>
  </si>
  <si>
    <t>Поставщик</t>
  </si>
  <si>
    <t>Ед. изм.</t>
  </si>
  <si>
    <t>Кол-во</t>
  </si>
  <si>
    <t>Цена, руб. с НДС</t>
  </si>
  <si>
    <t>Сумма, руб. с НДС</t>
  </si>
  <si>
    <t>Масса единицы, кг</t>
  </si>
  <si>
    <t>Примечание</t>
  </si>
  <si>
    <t>ЛОГИСТИКА — ПЕРЕВОЗКА ГРУЗОВ (наша, точка А → точка Б; из ВОРов)</t>
  </si>
  <si>
    <t>ВОР 20</t>
  </si>
  <si>
    <t>Перевозка грузов I класса автомобилями-самосвалами грузоподъемностью до 30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140 км</t>
  </si>
  <si>
    <t>Нерудка</t>
  </si>
  <si>
    <t>1т груза</t>
  </si>
  <si>
    <t>ВОР 01-01-01, логистика; Источник: 03-01/07.21П-ООС.ТЧ. л 47 (Файл: 03-01_07.21П- ПЗУ.pdf, стр.: 178 179)</t>
  </si>
  <si>
    <t>ВОР 4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</si>
  <si>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140 км</t>
  </si>
  <si>
    <t>ВОР 01-01-01, логистика; Источник: 03-01/07.21П-ПОС.ТЧ. Приложение Д л. 179,187 (Файл: 03-01_07.21П-КР.pdf, стр.: 179)</t>
  </si>
  <si>
    <t>ВОР 3</t>
  </si>
  <si>
    <t>ВОР 04-01-01, логистика; Источник: 03-01/07.21П-ИОС.1.5. л.10 (Файл: 03-01_07.21П- ИОС.1.5.pdf, стр.: 10)</t>
  </si>
  <si>
    <t>ВОР 06-01-01, логистика; Источник: 03-01/07.21П-ПОС.ТЧ. Приложение Д. л. 179 (Файл: 03-01_07.21П-ПОС.pdf, стр.: 1)</t>
  </si>
  <si>
    <t>ВОР 16</t>
  </si>
  <si>
    <t>ВОР 29</t>
  </si>
  <si>
    <t>ВОР 06-01-01, логистика; Источник: 03-01/07.21П-ПОС.ТЧ. Приложение Д. л. 180 (Файл: 03-01_07.21П-ПОС.pdf, стр.: 1)</t>
  </si>
  <si>
    <t>ВОР 06-01-02, логистика; Источник: 03-01/07.21П-ПОС.ТЧ. Приложение Д. л. 186 (Файл: 03-01_07.21П-ПОС.pdf, стр.: 1)</t>
  </si>
  <si>
    <t>ВОР 15</t>
  </si>
  <si>
    <t>ВОР 06-01-02, логистика; Источник: 03-01/07.21П-ПОС.ТЧ. Приложение Д. л. 181-182 (Файл: 03-01_07.21П-ПОС.pdf, стр.: 1)</t>
  </si>
  <si>
    <t>ВОР 25</t>
  </si>
  <si>
    <t>ВОР 37</t>
  </si>
  <si>
    <t>ВОР 52</t>
  </si>
  <si>
    <t>ВОР 65</t>
  </si>
  <si>
    <t>ВОР 06-01-02, логистика; Источник: 03-01/07.21П-ПОС.ТЧ. Приложение Д. л. 184 (Файл: 03-01_07.21П-ПОС.pdf, стр.: 1)</t>
  </si>
  <si>
    <t>ВОР 10</t>
  </si>
  <si>
    <t>ВОР 06-01-04, логистика; Источник: 03-01/07.21П-ПОС.ТЧ. Приложение Д л. 186 (Файл: 03-01_07.21П-ИОС4.4.pdf, стр.: 186)</t>
  </si>
  <si>
    <t>ВОР 5</t>
  </si>
  <si>
    <t>ВОР 07-01-02, логистика; Источник: 03-01/07.21П-ПЗУ.ГЧ л.6 (Файл: 03-01_07.21П- ПЗУ.pdf, стр.: 55)</t>
  </si>
  <si>
    <t>ВОР 26</t>
  </si>
  <si>
    <t>ВОР 07-01-04, логистика; Источник: 03-01/07.21П-ИОС.1.4.ГЧ л.2 (Файл: 03-01_07.21П- ИОС.1.4.pdf, стр.: 18 19 20 21)</t>
  </si>
  <si>
    <t>5.1.</t>
  </si>
  <si>
    <t>СИСТЕМА ЭЛЕКТРОСНАБЖЕНИЯ</t>
  </si>
  <si>
    <t>Электрооборудование 03-01/07.21П-ИОС-1.1.СО</t>
  </si>
  <si>
    <t>ЩИТОВОЕ ОБОРУДОВАНИЕ</t>
  </si>
  <si>
    <t>Главный распределительный щит, ГРЩ-1</t>
  </si>
  <si>
    <t>Согласно схеме см. ГЧ</t>
  </si>
  <si>
    <t>Россия</t>
  </si>
  <si>
    <t>компл.</t>
  </si>
  <si>
    <t>Главный распределительный щит, ГРЩ-2</t>
  </si>
  <si>
    <t>Щит силовой навесного исполнения, ЩС1</t>
  </si>
  <si>
    <t>Щит силовой навесного исполнения, ЩС2</t>
  </si>
  <si>
    <t>Щит силовой навесного исполнения, ЩС3</t>
  </si>
  <si>
    <t>Щит силовой навесного исполнения, ЩС4</t>
  </si>
  <si>
    <t>Щит силовой навесного исполнения, ЩС5</t>
  </si>
  <si>
    <t>Щит силовой навесного исполнения, ЩС6</t>
  </si>
  <si>
    <t>Щит силовой навесного исполнения, ЩС7</t>
  </si>
  <si>
    <t>Щит силовой навесного исполнения, ЩС8</t>
  </si>
  <si>
    <t>Щит силовой навесного исполнения, ЩС9</t>
  </si>
  <si>
    <t>Щит силовой навесного исполнения, ЩС10</t>
  </si>
  <si>
    <t>Щит силовой навесного исполнения, ЩМ</t>
  </si>
  <si>
    <t>Щит силовой навесного исполнения, ЩВ1</t>
  </si>
  <si>
    <t>Щит силовой навесного исполнения, ЩВ2</t>
  </si>
  <si>
    <t>Щит силовой навесного исполнения, ЩВ3</t>
  </si>
  <si>
    <t>Щит силовой навесного исполнения, ЩВ4</t>
  </si>
  <si>
    <t>Щит силовой навесного исполнения, ЩВ5</t>
  </si>
  <si>
    <t>Щит силовой навесного исполнения, ЩВ6</t>
  </si>
  <si>
    <t>Щит силовой навесного исполнения, ЩВК1</t>
  </si>
  <si>
    <t>Щит силовой навесного исполнения, ЩВК2</t>
  </si>
  <si>
    <t>Щит силовой навесного исполнения, ЩСС1</t>
  </si>
  <si>
    <t>Щит силовой навесного исполнения, ЩСС2</t>
  </si>
  <si>
    <t>Щит силовой навесного исполнения, ЩСС(СП3)1</t>
  </si>
  <si>
    <t>Щит силовой навесного исполнения, ЩСС(СП3)2</t>
  </si>
  <si>
    <t>Щит силовой навесного исполнения, ЩОК</t>
  </si>
  <si>
    <t>Конденсаторная установка</t>
  </si>
  <si>
    <t>КРМ-0,4-10-5 У3</t>
  </si>
  <si>
    <t>КРМ-0,4-25-5 У3</t>
  </si>
  <si>
    <t>ЭЛЕКТРОУСТАНОВОЧНЫЕ ИЗДЕЛИЯ</t>
  </si>
  <si>
    <t>Розетка комп. одинарная двухполюсная с защитным контактом, IP20</t>
  </si>
  <si>
    <t>шт.</t>
  </si>
  <si>
    <t>отличительной расцветки</t>
  </si>
  <si>
    <t>Розетка одинарная двухполюсная с защитным контактом, IP20</t>
  </si>
  <si>
    <t>Розетка одинарная двухполюсная с защитным контактом, IP44</t>
  </si>
  <si>
    <t>Коробка для э/у изделий 1-постовая</t>
  </si>
  <si>
    <t>Розетка наружной установки 380В</t>
  </si>
  <si>
    <t>Коробка ответвительная скрытой установки</t>
  </si>
  <si>
    <t>КАБЕЛЬНАЯ ПРОДУКЦИЯ</t>
  </si>
  <si>
    <t>в СО этот раздел № 4 (в оригинале номер 3 пропущен)</t>
  </si>
  <si>
    <t>Кабель с медными жилами, с ПВХ изоляцией</t>
  </si>
  <si>
    <t>ВВГнг(А)-HF 3х2,5</t>
  </si>
  <si>
    <t>м</t>
  </si>
  <si>
    <t>ВВГнг(А)-HF 3х4</t>
  </si>
  <si>
    <t>ВВГнг(А)-HF 3х6</t>
  </si>
  <si>
    <t>ВВГнг(А)-HF 3х10</t>
  </si>
  <si>
    <t>ВВГнг(А)-HF 5х2,5</t>
  </si>
  <si>
    <t>ВВГнг(А)-HF 5х4</t>
  </si>
  <si>
    <t>ВВГнг(А)-HF 5х25</t>
  </si>
  <si>
    <t>ВВГнг(А)-HF 5х16</t>
  </si>
  <si>
    <t>ВВГнг(А)-HF 5х6</t>
  </si>
  <si>
    <t>ВВГнг(А)-HF 5х10</t>
  </si>
  <si>
    <t>ВВГнг(А)-HF 5х70</t>
  </si>
  <si>
    <t>ВВГнг(А)-HF 5х150</t>
  </si>
  <si>
    <t>ВВГнг(A)-FRHF 3х2,5</t>
  </si>
  <si>
    <t>ВВГнг(A)-FRHF 5х2,5</t>
  </si>
  <si>
    <t>ВВГнг(A)-FRHF 5х4</t>
  </si>
  <si>
    <t>ВВГнг(A)-FRHF 5х6</t>
  </si>
  <si>
    <t>ВВГнг(A)-FRHF 5х25</t>
  </si>
  <si>
    <t>КАБЕЛЕНЕСУЩИЕ СИСТЕМЫ</t>
  </si>
  <si>
    <t>в СО этот раздел № 5 (в оригинале номер 3 пропущен)</t>
  </si>
  <si>
    <t>Труба ПВХ гофрированная Ø25мм</t>
  </si>
  <si>
    <t>91925</t>
  </si>
  <si>
    <t>Торговая сеть</t>
  </si>
  <si>
    <t>Труба ПВХ гофрированная Ø40мм</t>
  </si>
  <si>
    <t>91940</t>
  </si>
  <si>
    <t>Лоток неперфорированный 200х100х3000мм с крышкой</t>
  </si>
  <si>
    <t>35103+35524</t>
  </si>
  <si>
    <t>Лоток неперфорированный 300х100х3000мм с крышкой</t>
  </si>
  <si>
    <t>35104+35525</t>
  </si>
  <si>
    <t>Швеллер перфорированный П-образный 40х20х2, L=1м</t>
  </si>
  <si>
    <t>Шпилька M8 L=1000мм</t>
  </si>
  <si>
    <t>Клипсы Ø25мм для трубы ПВХ Ø25мм (600шт. в упаковке)</t>
  </si>
  <si>
    <t>уп.</t>
  </si>
  <si>
    <t>Клипсы Ø40мм для трубы ПВХ Ø40мм (600шт. в упаковке)</t>
  </si>
  <si>
    <t>УРАВНИВАНИЕ ПОТЕНЦИАЛОВ</t>
  </si>
  <si>
    <t>в СО этот раздел № 6 (в оригинале номер 3 пропущен)</t>
  </si>
  <si>
    <t>Провод с медными жилами, на напряжение до 0,66кВ</t>
  </si>
  <si>
    <t>ПуГВнг(А)-LSLTx</t>
  </si>
  <si>
    <t>-</t>
  </si>
  <si>
    <t>1х25</t>
  </si>
  <si>
    <t>1х6</t>
  </si>
  <si>
    <t>Шина дополнительного уравнивания потенциалов (ШДУП) в составе:</t>
  </si>
  <si>
    <t>- шина в изоляторе 8х12 групп 12 ответвлений</t>
  </si>
  <si>
    <t>макс. сечение подключаемого проводника 16мм2</t>
  </si>
  <si>
    <t>- вводная клемма для модульного оборудования, изолированная с винтовым зажимом 4-25мм2</t>
  </si>
  <si>
    <t>для подключения проводника 25мм2 к шине</t>
  </si>
  <si>
    <t>Полоса стальная оцинкованная 40х5мм</t>
  </si>
  <si>
    <t>Производство Россия</t>
  </si>
  <si>
    <t>заземление лифт. шахт и иных помещений (ГРЩ, бойлерная, водом. узел)</t>
  </si>
  <si>
    <t>ЗАЩИТНЫЕ СРЕДСТВА</t>
  </si>
  <si>
    <t>в СО этот раздел № 7 (в оригинале номер 3 пропущен)</t>
  </si>
  <si>
    <t>Перчатки диэлектрические, ~U до 1кВ</t>
  </si>
  <si>
    <t>ТУ 38305-05-257-89</t>
  </si>
  <si>
    <t>Диэлектрические боты, ~U до 1кВ</t>
  </si>
  <si>
    <t>пара</t>
  </si>
  <si>
    <t>Ковер диэлектрический 900х900, ~U до 20кВ</t>
  </si>
  <si>
    <t>ГОСТ 4997-75</t>
  </si>
  <si>
    <t>Комплект плакатов по электробезопасности</t>
  </si>
  <si>
    <t>Электропассатижи, ~U до 1кВ</t>
  </si>
  <si>
    <t>Клещи токоизмерительные</t>
  </si>
  <si>
    <t>М266</t>
  </si>
  <si>
    <t>Огнетушитель</t>
  </si>
  <si>
    <t>ОП-5</t>
  </si>
  <si>
    <t>Штанга изолирующая</t>
  </si>
  <si>
    <t>ШО-1</t>
  </si>
  <si>
    <t>Очки защитные</t>
  </si>
  <si>
    <t>Указатель напряжения до 1000В</t>
  </si>
  <si>
    <t>ОБОРУДОВАНИЕ И МАТЕРИАЛЫ</t>
  </si>
  <si>
    <t>в СО этот раздел № 8 (в оригинале номер 3 пропущен)</t>
  </si>
  <si>
    <t>Метизы</t>
  </si>
  <si>
    <t>кг</t>
  </si>
  <si>
    <t>Плита из минерал. волокна с огнестойким покрытием, размером 1000х500х52</t>
  </si>
  <si>
    <t>Герметик огнезащитный, ведро 20кг</t>
  </si>
  <si>
    <t>Труба стальная оцинкованная Ø50мм</t>
  </si>
  <si>
    <t>ГОСТ 3262-75</t>
  </si>
  <si>
    <t>Огнестойкая пена</t>
  </si>
  <si>
    <t>Электрическое освещение 03-01/07.21П-ИОС-1.2.СО</t>
  </si>
  <si>
    <t>Щит рабочего освещения навесного исполнения, ЩО1</t>
  </si>
  <si>
    <t>Щит рабочего освещения навесного исполнения, ЩО2</t>
  </si>
  <si>
    <t>Щит рабочего освещения навесного исполнения, ЩО3</t>
  </si>
  <si>
    <t>Щит рабочего освещения навесного исполнения, ЩО4</t>
  </si>
  <si>
    <t>Щит рабочего освещения навесного исполнения, ЩО5</t>
  </si>
  <si>
    <t>Щит рабочего освещения навесного исполнения, ЩО6</t>
  </si>
  <si>
    <t>Щит рабочего освещения навесного исполнения, ЩО7</t>
  </si>
  <si>
    <t>Щит рабочего освещения навесного исполнения, ЩО8</t>
  </si>
  <si>
    <t>Щит рабочего освещения навесного исполнения, ЩО9</t>
  </si>
  <si>
    <t>Щит рабочего освещения навесного исполнения, ЩО10</t>
  </si>
  <si>
    <t>Щит аварийного освещения навесного исполнения, ЩАО1</t>
  </si>
  <si>
    <t>Щит аварийного освещения навесного исполнения, ЩАО2</t>
  </si>
  <si>
    <t>Щит аварийного освещения навесного исполнения, ЩАО3</t>
  </si>
  <si>
    <t>Щит аварийного освещения навесного исполнения, ЩАО4</t>
  </si>
  <si>
    <t>Ящик с понижающим трансформатором, ЯТП ~220/=36В</t>
  </si>
  <si>
    <t>Выключатель одноклавишный, скрытой установки, IP20</t>
  </si>
  <si>
    <t>Выключатель одноклавишный, скрытой установки, IP44</t>
  </si>
  <si>
    <t>Выключатель одноклавишный, открытой установки, IP44</t>
  </si>
  <si>
    <t>ОСВЕТИТЕЛЬНЫЕ ПРИБОРЫ</t>
  </si>
  <si>
    <t>по СО завод-изготовитель указан только у LGT-PROF-Off-AG-36; у остальных светильников графа пуста</t>
  </si>
  <si>
    <t>Светильник, накладной, с LED-лампой</t>
  </si>
  <si>
    <t>LGT-PROF-Off-AG-36</t>
  </si>
  <si>
    <t>Светильник, накладной, с LED-лампой, с БАП</t>
  </si>
  <si>
    <t>LGT-PROF-PM-AB-35</t>
  </si>
  <si>
    <t>LGT-PROF-RL-VX-040</t>
  </si>
  <si>
    <t>LGT-PROF-UY-LN-24</t>
  </si>
  <si>
    <t>LGT-PROF-Off-PM-AG-36</t>
  </si>
  <si>
    <t>LGT-PROF-ST-SR-044</t>
  </si>
  <si>
    <t>LGT-Prof-ST-SR-066</t>
  </si>
  <si>
    <t>LGT-PROF-VX-Polygon-x</t>
  </si>
  <si>
    <t>LGT-Utility-Rondo-24</t>
  </si>
  <si>
    <t>LGT-PROF-ST-SR-011</t>
  </si>
  <si>
    <t>Патрон настенный, цоколь Е27</t>
  </si>
  <si>
    <t>Лампа светодиодная, Е27, 7Вт</t>
  </si>
  <si>
    <t>ВВГнг(А)-FRHF 3х1,5</t>
  </si>
  <si>
    <t>ВВГнг(А)-FRHF 4х1,5</t>
  </si>
  <si>
    <t>ВВГнг(А)-FRHF 5х2,5</t>
  </si>
  <si>
    <t>ВВГнг(А)-FRHF 4х4</t>
  </si>
  <si>
    <t>Молниезащита и заземление 03-01/07.21П-ИОС-1.3.СО</t>
  </si>
  <si>
    <t>МОЛНИЕЗАЩИТА</t>
  </si>
  <si>
    <t>Универсальный пластиковый держатель с бетоном</t>
  </si>
  <si>
    <t>Универсальный соединитель прутка, Ø8мм</t>
  </si>
  <si>
    <t>Фальцевый зажим</t>
  </si>
  <si>
    <t>Пруток оцинкованный стальной Ø8мм</t>
  </si>
  <si>
    <t>ЗАЗЕМЛЕНИЕ PE</t>
  </si>
  <si>
    <t>ГОСТ 103-2006</t>
  </si>
  <si>
    <t>периметр. заземл.</t>
  </si>
  <si>
    <t>Сталь угловая 50х50х5мм L=3000мм</t>
  </si>
  <si>
    <t>ГОСТ 30245-94</t>
  </si>
  <si>
    <t>Антикоррозионная лента</t>
  </si>
  <si>
    <t>рулон</t>
  </si>
  <si>
    <t>Наружное электроосвещение 03-01/07.21П-ИОС-1.4.СО</t>
  </si>
  <si>
    <t>ОБОРУДОВАНИЕ НА НАПРЯЖЕНИЕ ДО 1000 В</t>
  </si>
  <si>
    <t>Щит наружного освещения ЩНО</t>
  </si>
  <si>
    <t>по однолинейной схеме</t>
  </si>
  <si>
    <t>Электроспектр</t>
  </si>
  <si>
    <t>Щит архитектурной подсветки ЩАХП</t>
  </si>
  <si>
    <t>НАРУЖНОЕ ОСВЕЩЕНИЕ</t>
  </si>
  <si>
    <t>Осветительная система "Тверь", 104Вт, 14510Лм, H=9м, 4000K, IP65, цвет серебристый муар металлик</t>
  </si>
  <si>
    <t>TV150 90M/1 4К GRF/MM</t>
  </si>
  <si>
    <t>Сарос</t>
  </si>
  <si>
    <t>Осветительная система "Тверь", 2х104Вт, 2х14510Лм, h1=9м, h2=9м, 4000K, IP65, цвет серебристый муар металлик</t>
  </si>
  <si>
    <t>TV150 90M/2 4К GRF/MM</t>
  </si>
  <si>
    <t>Осветительная система "Тверь", 52Вт, 7255Лм, H=6м, 2700K, IP65, цвет серебристый муар металлик</t>
  </si>
  <si>
    <t>TV150 60M/1 27К GRF/MM</t>
  </si>
  <si>
    <t>Осветительная система "Тверь", 2х52Вт, 2х7255Лм, H=6м, 2700K, IP65, цвет серебристый муар металлик</t>
  </si>
  <si>
    <t>TV150 60M/2 27К GRF/MM</t>
  </si>
  <si>
    <t>Декоративный светодиодный уличный торшер "Вологда", 90Вт, 3060Лм, IP65, H=2,5м, 2700К, цвет серебристый муар металлик, вариант узора 1</t>
  </si>
  <si>
    <t>VOL25 27К 1 GRF/MM</t>
  </si>
  <si>
    <t>Уличный светодиодный светильник "Рондо С", 50Вт, 6171Лм, IP65</t>
  </si>
  <si>
    <t>RON S 27K GRF/MM</t>
  </si>
  <si>
    <t>Декоративная опора "Свирь", H=4м, цвет серебристый муар металлик</t>
  </si>
  <si>
    <t>SV40 GRF/MM</t>
  </si>
  <si>
    <t>Монтажный комплект для подключения</t>
  </si>
  <si>
    <t>MP3</t>
  </si>
  <si>
    <t>2,6</t>
  </si>
  <si>
    <t>для TV150, VOL25</t>
  </si>
  <si>
    <t>Монтажная плата</t>
  </si>
  <si>
    <t>MP</t>
  </si>
  <si>
    <t>для SV40</t>
  </si>
  <si>
    <t>Закладная для установки осветительной системы Тверь 150 90M</t>
  </si>
  <si>
    <t>FM8</t>
  </si>
  <si>
    <t>Закладная для установки осветительной системы Тверь 150 60M</t>
  </si>
  <si>
    <t>FM6</t>
  </si>
  <si>
    <t>по СО 12 шт. при 20 системах 60M — уточнить у ГИП</t>
  </si>
  <si>
    <t>Закладная для установки опоры SV40</t>
  </si>
  <si>
    <t>FM1</t>
  </si>
  <si>
    <t>Закладная для установки торшера VOL25</t>
  </si>
  <si>
    <t>FM1T</t>
  </si>
  <si>
    <t>Декоративная накладка на фланец 150х150мм</t>
  </si>
  <si>
    <t>FLD3 150 GRF/MM</t>
  </si>
  <si>
    <t>0,95</t>
  </si>
  <si>
    <t>для TV150 60M</t>
  </si>
  <si>
    <t>FLD3 150/9 GRF/MM</t>
  </si>
  <si>
    <t>для TV150 90M</t>
  </si>
  <si>
    <t>Декоративная накладка на фланец Ø108мм</t>
  </si>
  <si>
    <t>FLD1 GRF/MM</t>
  </si>
  <si>
    <t>1,5</t>
  </si>
  <si>
    <t>АРХИТЕКТУРНАЯ ПОДСВЕТКА</t>
  </si>
  <si>
    <t>Светодиодный светильник для контурной подсветки, 23Вт, 5000К, тип КСС Extra Wide, опаловый рассеиватель, IP65</t>
  </si>
  <si>
    <t>GALAD Контур LED-23-Extra Wide W5000 1500 Opal GEN2</t>
  </si>
  <si>
    <t>GALAD</t>
  </si>
  <si>
    <t>Светодиодный светильник для контурной подсветки, 18Вт, 5000К, тип КСС Extra Wide, опаловый рассеиватель, IP65</t>
  </si>
  <si>
    <t>GALAD Контур LED-18-Extra Wide W5000 1200 Opal GEN2</t>
  </si>
  <si>
    <t>Светодиодный светильник для контурной подсветки, 14Вт, 5000К, тип КСС Extra Wide, опаловый рассеиватель, IP65</t>
  </si>
  <si>
    <t>GALAD Контур LED-14-Extra Wide W5000 900 Opal GEN2</t>
  </si>
  <si>
    <t>Светодиодный светильник для контурной подсветки, 9Вт, 5000К, тип КСС Extra Wide, опаловый рассеиватель, IP65</t>
  </si>
  <si>
    <t>GALAD Контур LED-9-Extra Wide W5000 600 Opal GEN2</t>
  </si>
  <si>
    <t>Светодиодный светильник для контурной подсветки, 4,5Вт, 5000К, тип КСС Extra Wide, опаловый рассеиватель, IP65</t>
  </si>
  <si>
    <t>GALAD Контур LED-4,5-Extra Wide W5000 300 Opal GEN2</t>
  </si>
  <si>
    <t>GALAD Контур LED блок питания 120Вт</t>
  </si>
  <si>
    <t>GALAD Контур LED соединитель Т-образный</t>
  </si>
  <si>
    <t>GALAD Контур LED кабель для подключения к вилке</t>
  </si>
  <si>
    <t>GALAD Контур LED кабель соединительный 165</t>
  </si>
  <si>
    <t>КАБЕЛЬНО-ПРОВОДНИКОВАЯ ПРОДУКЦИЯ</t>
  </si>
  <si>
    <t>Кабель силовой бронированный, с изоляцией из ПВХ пластиката, с медными жилами, сечением 3х4 ок (N,PE)</t>
  </si>
  <si>
    <t>ВБШв-0,66 ГОСТ 31996-2012</t>
  </si>
  <si>
    <t>Кабель силовой бронированный, с изоляцией из ПВХ пластиката, с медными жилами, сечением 5х4 ок (N,PE)</t>
  </si>
  <si>
    <t>Кабель силовой бронированный, с изоляцией из ПВХ пластиката, с медными жилами, сечением 5х10 ок (N,PE)</t>
  </si>
  <si>
    <t>Кабель силовой, не распространяющий горение, с медными жилами, с изоляцией и оболочкой из полимерной композиции, не содержащей галогенов, сечением 5х6 ок (N,PE)</t>
  </si>
  <si>
    <t>ППГнг(А)-HF-0,66 ТУ 16.К71-304-2001</t>
  </si>
  <si>
    <t>Кабель силовой, не распространяющий горение, с медными жилами, с изоляцией и оболочкой из полимерной композиции, не содержащей галогенов, сечением 5х10 ок (N,PE)</t>
  </si>
  <si>
    <t>ЭЛЕКТРОМОНТАЖНЫЕ УСТРОЙСТВА И ИЗДЕЛИЯ</t>
  </si>
  <si>
    <t>Термоусаживаемый уплотнитель кабельных проходов, диапазон усадки 75-22мм</t>
  </si>
  <si>
    <t>УКПт-75/22</t>
  </si>
  <si>
    <t>«КВТ», г. Калуга</t>
  </si>
  <si>
    <t>Двустенная труба ПНД гибкая для кабельной канализации Ø50мм с протяжкой, SN13, в бухте 100м, цвет красный</t>
  </si>
  <si>
    <t>DKC</t>
  </si>
  <si>
    <t>Маркировочные бирки квадратные для кабеля 0,4кВ</t>
  </si>
  <si>
    <t>У-134 Fortisflex</t>
  </si>
  <si>
    <t>Наконечник штифтовой плоский</t>
  </si>
  <si>
    <t>НШП 10-12</t>
  </si>
  <si>
    <t>НШП 6,0-12</t>
  </si>
  <si>
    <t>Лента сигнальная 200мкм х 150мм</t>
  </si>
  <si>
    <t>ЛСЭ-150</t>
  </si>
  <si>
    <t>МАТЕРИАЛЫ</t>
  </si>
  <si>
    <t>Заземление опор</t>
  </si>
  <si>
    <t>Вертикальный заземлитель из уголка 50х50х5мм, L=3м</t>
  </si>
  <si>
    <t>NE5503</t>
  </si>
  <si>
    <t>10,48</t>
  </si>
  <si>
    <t>Полоса 40х4мм, горячеоцинкованная</t>
  </si>
  <si>
    <t>NC2444</t>
  </si>
  <si>
    <t>Сталь оцинкованная круглая Ø10мм L=1м</t>
  </si>
  <si>
    <t>NC1010</t>
  </si>
  <si>
    <t>0,65</t>
  </si>
  <si>
    <t>Лак битумный</t>
  </si>
  <si>
    <t>БТ-123</t>
  </si>
  <si>
    <t>Траншеи</t>
  </si>
  <si>
    <t>Песок для строительных работ средней крупности</t>
  </si>
  <si>
    <t>ГОСТ 8736-2014</t>
  </si>
  <si>
    <t>м3</t>
  </si>
  <si>
    <t>Фундамент опор</t>
  </si>
  <si>
    <t>Бетон В25 W6 F150 M350</t>
  </si>
  <si>
    <t>ГОСТ 26633-2012</t>
  </si>
  <si>
    <t>14,36</t>
  </si>
  <si>
    <t>Щебень фр.20-40</t>
  </si>
  <si>
    <t>ГОСТ 8267-93</t>
  </si>
  <si>
    <t>1,19</t>
  </si>
  <si>
    <t>Внешние сети электроснабжения от БКТП-10/0,4 кВ до ВРУ 0,4 кВ 03-01/07.21П-ИОС-1.5.СО</t>
  </si>
  <si>
    <t>Кабель силовой 5х240</t>
  </si>
  <si>
    <t>АВБШв ГОСТ 16442-80</t>
  </si>
  <si>
    <t>Севкабель</t>
  </si>
  <si>
    <t>по СО 2,006 км (в книге переведено в метры)</t>
  </si>
  <si>
    <t>Концевые кабельные муфты 5х240</t>
  </si>
  <si>
    <t>КВТп-1</t>
  </si>
  <si>
    <t>Маркировочные бирки для кабелей</t>
  </si>
  <si>
    <t>ИЗДЕЛИЯ И МАТЕРИАЛЫ</t>
  </si>
  <si>
    <t>Труба ПНД/ПВД Ø160мм</t>
  </si>
  <si>
    <t>307,4</t>
  </si>
  <si>
    <t>Труба асбестоцементная Ø150мм</t>
  </si>
  <si>
    <t>ГОСТ 539-80</t>
  </si>
  <si>
    <t>Устройство уплотнения на концах труб</t>
  </si>
  <si>
    <t>Кольцо резиновое</t>
  </si>
  <si>
    <t>Плитка</t>
  </si>
  <si>
    <t>ПЗК 240х480х16</t>
  </si>
  <si>
    <t>уточнять при монтаже</t>
  </si>
  <si>
    <t>Песок</t>
  </si>
  <si>
    <t>70,5</t>
  </si>
  <si>
    <t>Огнезащитный состав</t>
  </si>
  <si>
    <t>ОГРАКС-В1</t>
  </si>
  <si>
    <t>СУММА:</t>
  </si>
  <si>
    <t>5.2.</t>
  </si>
  <si>
    <t>СИСТЕМА ВОДОСНАБЖЕНИЯ</t>
  </si>
  <si>
    <t>Водоснабжение 03-01/07.21П-ИОС-2.1.СО</t>
  </si>
  <si>
    <t>1</t>
  </si>
  <si>
    <t>НАРУЖНЫЙ ОБЪЕДИНЁННЫЙ ХОЗЯЙСТВЕННО-ПИТЬЕВОЙ ПРОТИВОПОЖАРНЫЙ ВОДОПРОВОД (В1)</t>
  </si>
  <si>
    <t>Труба ПЭ PN10.0 SDR17 Ø140х8,3мм</t>
  </si>
  <si>
    <t>ГОСТ 18599-2001</t>
  </si>
  <si>
    <t>Труба ПЭ PN10.0 SDR17 Ø180х10,7мм</t>
  </si>
  <si>
    <t>Задвижка чугунная фланцевая DN125 с КОФ</t>
  </si>
  <si>
    <t>4000Е2</t>
  </si>
  <si>
    <t>Задвижка чугунная фланцевая DN150 с КОФ</t>
  </si>
  <si>
    <t>Задвижка чугунная фланцевая DN300 с КОФ</t>
  </si>
  <si>
    <t>Гидрант пожарный DN125 PN10 H=1750 мм</t>
  </si>
  <si>
    <t>ГОСТ Р 53961</t>
  </si>
  <si>
    <t>Плита перекрытия ПП 15-2 ФУТ</t>
  </si>
  <si>
    <t>ТУ 5855-032-86549669-2016</t>
  </si>
  <si>
    <t>Гидрополимер</t>
  </si>
  <si>
    <t>Колодезное кольцо КС 15-9 ФУТ (паз-гребень)</t>
  </si>
  <si>
    <t>Колодезное кольцо КС 7-6 ФУТ (паз-гребень)</t>
  </si>
  <si>
    <t>Кольцо опорное КО-6</t>
  </si>
  <si>
    <t>ГОСТ 8020-2016</t>
  </si>
  <si>
    <t>Плита днища ПН15-2 ФУТ</t>
  </si>
  <si>
    <t>Люк чугунный типа "С"</t>
  </si>
  <si>
    <t>ГОСТ 3634-2019</t>
  </si>
  <si>
    <t>СОЮЗ</t>
  </si>
  <si>
    <t>Фланец 150-16-11-2-В СЭП</t>
  </si>
  <si>
    <t>Фланец 150-16-04-2-В СЭП</t>
  </si>
  <si>
    <t>Отвод ПЭ 90° SDR17 Ø140</t>
  </si>
  <si>
    <t>Отвод ПЭ 90° SDR17 Ø180</t>
  </si>
  <si>
    <t>2</t>
  </si>
  <si>
    <t>ХОЗЯЙСТВЕННО-ПИТЬЕВОЙ ВОДОПРОВОД (В1)</t>
  </si>
  <si>
    <t>Хозяйственно-питьевая насосная станция</t>
  </si>
  <si>
    <t>Счётчик холодной воды</t>
  </si>
  <si>
    <t>ВСХНd50/20</t>
  </si>
  <si>
    <t>Труба PP-R PN10 ⌀20х1,9 DN15 ГОСТ 32415-2013</t>
  </si>
  <si>
    <t>ГОСТ 32415-2013</t>
  </si>
  <si>
    <t>Труба PP-R PN10 ⌀25х2,3 DN20 ГОСТ 32415-2013</t>
  </si>
  <si>
    <t>Труба PP-R PN10 ⌀32х2,9 DN25 ГОСТ 32415-2013</t>
  </si>
  <si>
    <t>Труба PP-R PN10 ⌀40х3,7 DN32 ГОСТ 32415-2013</t>
  </si>
  <si>
    <t>Труба PP-R PN10 ⌀50х4,6 DN40 ГОСТ 32415-2013</t>
  </si>
  <si>
    <t>Труба PP-R PN10 ⌀63х5,8 DN50 ГОСТ 32415-2013</t>
  </si>
  <si>
    <t>Труба PP-R PN10 ⌀90х8,2 DN80 ГОСТ 32415-2013</t>
  </si>
  <si>
    <t>Труба PP-R PN10 ⌀125х11,4 DN100 ГОСТ 32415-2013</t>
  </si>
  <si>
    <t>Труба PP-R PN10 ⌀140х12,7 DN125 ГОСТ 32415-2013</t>
  </si>
  <si>
    <t>Смеситель для умывальника</t>
  </si>
  <si>
    <t>ГОСТ 25809-19</t>
  </si>
  <si>
    <t>Смеситель для мойки</t>
  </si>
  <si>
    <t>Смеситель настенный для поддона</t>
  </si>
  <si>
    <t>Смеситель для душа</t>
  </si>
  <si>
    <t>Муфта противопожарная ПМ-25</t>
  </si>
  <si>
    <t>Муфта противопожарная ПМ-40</t>
  </si>
  <si>
    <t>Муфта противопожарная ПМ-65</t>
  </si>
  <si>
    <t>Теплоизоляция для труб из вспененного ПЭ 13х63</t>
  </si>
  <si>
    <t>Теплоизоляция для труб из вспененного ПЭ 13х90</t>
  </si>
  <si>
    <t>Теплоизоляция для труб из вспененного ПЭ 13х125</t>
  </si>
  <si>
    <t>Теплоизоляция для труб из вспененного ПЭ 13х140</t>
  </si>
  <si>
    <t>Хомут сантехнический для трубы ⌀20 мм</t>
  </si>
  <si>
    <t>Хомут сантехнический для трубы ⌀25 мм</t>
  </si>
  <si>
    <t>Хомут сантехнический для трубы ⌀32 мм</t>
  </si>
  <si>
    <t>Хомут сантехнический для трубы ⌀40 мм</t>
  </si>
  <si>
    <t>Хомут сантехнический для трубы ⌀50 мм</t>
  </si>
  <si>
    <t>Хомут сантехнический для трубы ⌀63 мм</t>
  </si>
  <si>
    <t>Хомут сантехнический для трубы ⌀90 мм</t>
  </si>
  <si>
    <t>Хомут сантехнический для трубы ⌀125 мм</t>
  </si>
  <si>
    <t>Хомут сантехнический для трубы ⌀140 мм</t>
  </si>
  <si>
    <t>Отвод 90° PP-R PN10 ⌀20х1,9 DN15 ГОСТ 32415-2013</t>
  </si>
  <si>
    <t>Отвод 90° PP-R PN10 ⌀25х2,3 DN20 ГОСТ 32415-2013</t>
  </si>
  <si>
    <t>Отвод 90° PP-R PN10 ⌀32х2,9 DN25 ГОСТ 32415-2013</t>
  </si>
  <si>
    <t>Отвод 90° PP-R PN10 ⌀40х3,7 DN32 ГОСТ 32415-2013</t>
  </si>
  <si>
    <t>Отвод 90° PP-R PN10 ⌀50х4,6 DN40 ГОСТ 32415-2013</t>
  </si>
  <si>
    <t>Отвод 90° PP-R PN10 ⌀63х5,8 DN50 ГОСТ 32415-2013</t>
  </si>
  <si>
    <t>Отвод 90° PP-R PN10 ⌀90х8,2 DN80 ГОСТ 32415-2013</t>
  </si>
  <si>
    <t>Отвод 90° PP-R PN10 ⌀125х11,4 DN100 ГОСТ 32415-2013</t>
  </si>
  <si>
    <t>Отвод 90° PP-R PN10 ⌀140х12,7 DN125 ГОСТ 32415-2013</t>
  </si>
  <si>
    <t>Шаровый кран PP-R ⌀15 мм ГОСТ 32415-2013</t>
  </si>
  <si>
    <t>Шаровый кран PP-R ⌀20 мм ГОСТ 32415-2013</t>
  </si>
  <si>
    <t>Шаровый кран PP-R ⌀25 мм ГОСТ 32415-2013</t>
  </si>
  <si>
    <t>Шаровый кран PP-R ⌀32 мм ГОСТ 32415-2013</t>
  </si>
  <si>
    <t>Шаровый кран PP-R ⌀40 мм ГОСТ 32415-2013</t>
  </si>
  <si>
    <t>Шаровый кран PP-R ⌀50 мм ГОСТ 32415-2013</t>
  </si>
  <si>
    <t>Шаровый кран PP-R ⌀80 мм ГОСТ 32415-2013</t>
  </si>
  <si>
    <t>Шаровый кран PP-R ⌀100 мм ГОСТ 32415-2013</t>
  </si>
  <si>
    <t>дубль ПОДТВЕРЖДЁН по СО: шаровый кран Ø100 указан в спецификации дважды, обе строки по 8 шт.</t>
  </si>
  <si>
    <t>Тройник PP-R ⌀25 мм ГОСТ 32415-2013</t>
  </si>
  <si>
    <t>Тройник PP-R ⌀32 мм ГОСТ 32415-2013</t>
  </si>
  <si>
    <t>Тройник PP-R ⌀40 мм ГОСТ 32415-2013</t>
  </si>
  <si>
    <t>3</t>
  </si>
  <si>
    <t>ПРОТИВОПОЖАРНЫЙ ВОДОПРОВОД (В2)</t>
  </si>
  <si>
    <t>Противопожарная насосная станция</t>
  </si>
  <si>
    <t>ANTARUS 2 MST50-125_3</t>
  </si>
  <si>
    <t>Труба стальная Ст3 электросварная ⌀76х4,0 DN65</t>
  </si>
  <si>
    <t>ГОСТ 10704-91</t>
  </si>
  <si>
    <t>Труба стальная Ст3 электросварная ⌀89х4,0 DN80</t>
  </si>
  <si>
    <t>Труба стальная Ст3 электросварная ⌀114х4,5 DN100</t>
  </si>
  <si>
    <t>Шкаф пожарный ШПК-320</t>
  </si>
  <si>
    <t>Клапан пожарный чугунный угловой 125гр. КПЧ-65 муфта-цапка</t>
  </si>
  <si>
    <t>Головка муфтовая ГМ-65</t>
  </si>
  <si>
    <t>Пожарный рукав 65 мм для ПК 1,0 МПа с головкой ГР-65АП и стволом РС-70,01А</t>
  </si>
  <si>
    <t>Затвор дисковый фланцевый DN65</t>
  </si>
  <si>
    <t>Затвор дисковый фланцевый DN80</t>
  </si>
  <si>
    <t>Затвор дисковый фланцевый DN100</t>
  </si>
  <si>
    <t>Грунтовка ГФ-021</t>
  </si>
  <si>
    <t>ГОСТ 25129-20</t>
  </si>
  <si>
    <t>ед.изм. проверить по оригиналу: в скане СО читается не как «кг», похоже на «м2»</t>
  </si>
  <si>
    <t>Эмаль ХВ-785</t>
  </si>
  <si>
    <t>ГОСТ 7313-75</t>
  </si>
  <si>
    <t>Хомут сантехнический для трубы ⌀76 мм</t>
  </si>
  <si>
    <t>Хомут сантехнический для трубы ⌀89 мм</t>
  </si>
  <si>
    <t>Хомут сантехнический для трубы ⌀114 мм</t>
  </si>
  <si>
    <t>Отвод стальной Ст3 ⌀76х4 90°</t>
  </si>
  <si>
    <t>ГОСТ 30753-2001</t>
  </si>
  <si>
    <t>Отвод стальной Ст3 ⌀89х4 90°</t>
  </si>
  <si>
    <t>Отвод стальной Ст3 ⌀114х5 90°</t>
  </si>
  <si>
    <t>4</t>
  </si>
  <si>
    <t>ГОРЯЧИЙ ВОДОПРОВОД ПРЯМОЙ (Т3)</t>
  </si>
  <si>
    <t>Труба PP-R PN25 ⌀20 DN15 ГОСТ 32415-2013</t>
  </si>
  <si>
    <t>Труба PP-R PN25 ⌀25 DN20 ГОСТ 32415-2013</t>
  </si>
  <si>
    <t>Труба PP-R PN25 ⌀32 DN25 ГОСТ 32415-2013</t>
  </si>
  <si>
    <t>кол. проверить по оригиналу (лист 5 СО, цифры не читаются)</t>
  </si>
  <si>
    <t>Труба PP-R PN25 ⌀40х6,7 DN32 ГОСТ 32415-2013</t>
  </si>
  <si>
    <t>Труба PP-R PN25 ⌀50х8,3 DN40 ГОСТ 32415-2013</t>
  </si>
  <si>
    <t>Труба PP-R PN25 ⌀65х10,5 DN50 ГОСТ 32415-2013</t>
  </si>
  <si>
    <t>Труба PP-R PN25 ⌀75 DN65 ГОСТ 32415-2013</t>
  </si>
  <si>
    <t>Труба PP-R PN20 ⌀125 DN100 ГОСТ 32415-2013</t>
  </si>
  <si>
    <t>Труба PP-R PN20 ⌀140х19,2 DN125 ГОСТ 32415-2013</t>
  </si>
  <si>
    <t>Муфта противопожарная ПМ-75</t>
  </si>
  <si>
    <t>Теплоизоляция для труб из вспененного ПЭ 13х75</t>
  </si>
  <si>
    <t>Хомут сантехнический для трубы ⌀65 мм</t>
  </si>
  <si>
    <t>Хомут сантехнический для трубы ⌀75 мм</t>
  </si>
  <si>
    <t>Отвод 90° PP-R ⌀20 DN15 ГОСТ 32415-2013</t>
  </si>
  <si>
    <t>Отвод 90° PP-R ⌀25 DN20 ГОСТ 32415-2013</t>
  </si>
  <si>
    <t>Отвод 90° PP-R ⌀32 DN25 ГОСТ 32415-2013</t>
  </si>
  <si>
    <t>Отвод 90° PP-R ⌀40 DN32 ГОСТ 32415-2013</t>
  </si>
  <si>
    <t>Отвод 90° PP-R ⌀50 DN40 ГОСТ 32415-2013</t>
  </si>
  <si>
    <t>Отвод 90° PP-R ⌀63 DN50 ГОСТ 32415-2013</t>
  </si>
  <si>
    <t>Отвод 90° PP-R ⌀75 DN65 ГОСТ 32415-2013</t>
  </si>
  <si>
    <t>Отвод 90° PP-R ⌀125х17,1 DN100 ГОСТ 32415-2013</t>
  </si>
  <si>
    <t>Отвод 90° PP-R ⌀140х19,2 DN125 ГОСТ 32415-2013</t>
  </si>
  <si>
    <t>Шаровый кран PP-R ⌀65 мм ГОСТ 32415-2013</t>
  </si>
  <si>
    <t>5</t>
  </si>
  <si>
    <t>ГОРЯЧИЙ ВОДОПРОВОД ОБРАТНЫЙ (Т4)</t>
  </si>
  <si>
    <t>Теплоизоляция для труб из вспененного ПЭ 13х65</t>
  </si>
  <si>
    <t>Отвод 90° PP-R ⌀65х10,5 DN50 ГОСТ 32415-2013</t>
  </si>
  <si>
    <t>5.3.</t>
  </si>
  <si>
    <t>СИСТЕМА ВОДООТВЕДЕНИЯ</t>
  </si>
  <si>
    <t>ВОР 154</t>
  </si>
  <si>
    <t>Умывальник полуфарфоровый и фарфоровый прямоугольный с кронштейнами, сифоном бутылочным из латуни, выпуском, одно отверстие под смеситель, смеситель с центральным подводом, набортный с двумя рукоятями, излив с развальцованным носиком, вынос излива 280 мм, размеры 450х330х150 мм</t>
  </si>
  <si>
    <t>Сантехника</t>
  </si>
  <si>
    <t>ВОР, нет в СО; Источник: 03-01/07.21П-ИОС 2.1.ГЧ Спецификация (Файл: 03- 01_07.21П-ИОС.2.pdf стр.: 1 2 3 4 5 6)</t>
  </si>
  <si>
    <t>ВОР 156</t>
  </si>
  <si>
    <t>Унитаз керамический напольный в комплекте с бачком, с косым выпуском, размеры 360х620х765 мм</t>
  </si>
  <si>
    <t>ВОР 158</t>
  </si>
  <si>
    <t>Писсуар настенный керамический, подвод воды скрытый, вход слива скрытый, размеры 275х310х540 мм, с краном нажимным, центральным подводом, набортный, размеры 215х104х50 мм</t>
  </si>
  <si>
    <t>ВОР 160</t>
  </si>
  <si>
    <t>Поддон душевой стальной эмалированный мелкий, тип ПДСм-800 высотой 150 мм, пластмассовый унифицированный сифон, пластмассовый выпуск с диаметром выпускной решетки 70 мм, диаметр сливного отверстия 50 мм, диаметр сливной гофры 40/50 мм</t>
  </si>
  <si>
    <t>ВОР 162</t>
  </si>
  <si>
    <t>Мойка стальная эмалированная, одна чаша, с креплениями, с пластмассовым бутылочным сифоном и выпуском, размеры 500х500х160 мм</t>
  </si>
  <si>
    <t>ВОР 164</t>
  </si>
  <si>
    <t>Трубы полипропиленовые для систем водоотведения, диаметр 50 мм</t>
  </si>
  <si>
    <t>ВОР, нет в СО; Источник: 03-01/07.21П-ИОС 2.1.ГЧ Спецификация (Файл: 03- 01 07.21П-ИОС.2.pdf стр.: 1 2 3 4 5 6)</t>
  </si>
  <si>
    <t>ВОР 166</t>
  </si>
  <si>
    <t>Трубы полипропиленовые для систем водоотведения, диаметр 110 мм</t>
  </si>
  <si>
    <t>ВОР 168</t>
  </si>
  <si>
    <t>Трубы ХПВХ, номинальное давление 1,0 МПа, диаметр 110 мм, толщина стенки 5,3 мм, 1000 мм</t>
  </si>
  <si>
    <t>ВОР 170</t>
  </si>
  <si>
    <t>Муфты противопожарные для пластиковых труб: РТМК-110</t>
  </si>
  <si>
    <t>ВОР 173</t>
  </si>
  <si>
    <t>Отвод 87,5° полипропиленовый для систем водоотведения, диаметр 50 мм</t>
  </si>
  <si>
    <t>ВОР 174</t>
  </si>
  <si>
    <t>Отвод 87,5° полипропиленовый для систем водоотведения, диаметр 110 мм</t>
  </si>
  <si>
    <t>ВОР 175</t>
  </si>
  <si>
    <t>Тройник полипропиленовый для систем водоотведения, диаметр 50 мм</t>
  </si>
  <si>
    <t>ВОР 176</t>
  </si>
  <si>
    <t>Тройник полипропиленовый для систем водоотведения, диаметр 110 мм</t>
  </si>
  <si>
    <t>ВОР 178</t>
  </si>
  <si>
    <t>Воронка для сбора атмосферных осадков из оцинкованной стали, толщина 0,5 мм, диаметр 110 мм</t>
  </si>
  <si>
    <t>ВОР 180</t>
  </si>
  <si>
    <t>ВОР 182</t>
  </si>
  <si>
    <t>ВОР 184</t>
  </si>
  <si>
    <t>Трубы ХПВХ, номинальное давление 1,0 МПа, диаметр 110 мм, толщина стенки 5,3 мм, длина 1000 мм</t>
  </si>
  <si>
    <t>ВОР 186</t>
  </si>
  <si>
    <t>ВОР 188</t>
  </si>
  <si>
    <t>Погружной насос Unilift АР3 5.40.06.1V</t>
  </si>
  <si>
    <t>ВОР 192</t>
  </si>
  <si>
    <t>ВОР 194</t>
  </si>
  <si>
    <t>ВОР 196</t>
  </si>
  <si>
    <t>Труба НПВХ для систем наружного водоотведения, с раструбом и резиновым уплотнительным кольцом, кольцевая жесткость SN4, номинальный диаметр 110 мм, толщина 3,2 мм, длина 1000 мм</t>
  </si>
  <si>
    <t>ВОР 198</t>
  </si>
  <si>
    <t>ВОР 201</t>
  </si>
  <si>
    <t>ВОР 202</t>
  </si>
  <si>
    <t>Часть 1. Канализация К1 (наружная) 03-01/07.21П-ИОС3.1.ГЧ.СО</t>
  </si>
  <si>
    <t>Бытовая канализация К1 наружная</t>
  </si>
  <si>
    <t>Труба гофрированная полипропиленовая DN 160 мм SN10</t>
  </si>
  <si>
    <t>ТУ 2248-010-50049230-2014</t>
  </si>
  <si>
    <t>Муфта защитная для прохода ПП труб через ж/б колодец DN 160 мм</t>
  </si>
  <si>
    <t>Труба ПЭ PN10.0 SDR13.6 Ø450х33.1 мм</t>
  </si>
  <si>
    <t>Плита перекрытия ПП 10-2 ФУТ</t>
  </si>
  <si>
    <t>Колодезное кольцо КС 7-9 ФУТ (паз-гребень)</t>
  </si>
  <si>
    <t>Колодезное кольцо КС 10-9 ФУТ (паз-гребень)</t>
  </si>
  <si>
    <t>Плита днища ПН10-2 фут</t>
  </si>
  <si>
    <t>Плита днища ПН15-2 фут</t>
  </si>
  <si>
    <t>Люк чугунный типа «С»</t>
  </si>
  <si>
    <t>ВОР 74</t>
  </si>
  <si>
    <t>Муфта полиэтиленовая соединительная для дренажных труб, диаметр 160 мм</t>
  </si>
  <si>
    <t>ВОР, нет в СО; Источник: 03-01/07.21П-ИОС 3.1 ГЧ. Спецификация л. 1 (Файл: 03-01_07.21П-ИОС3.1.pdf, стр.: 1)</t>
  </si>
  <si>
    <t>ВОР 85</t>
  </si>
  <si>
    <t>Люк чугунный с решеткой для дождеприемного колодца, номинальная нагрузка 15 кН, диаметр лаза 600 мм</t>
  </si>
  <si>
    <t>ВОР 87</t>
  </si>
  <si>
    <t>Трубы дренажные гофрированные двухслойные полипропиленовые, SN16, диаметр 200 мм</t>
  </si>
  <si>
    <t>ВОР, нет в СО; Источник: 03-01/07.21П-ИОС 3.1 ГЧ. Спецификация л. 2 (Файл: 03-01_07.21П-ИОС3.1.pdf, стр.: 1)</t>
  </si>
  <si>
    <t>ВОР 89</t>
  </si>
  <si>
    <t>Трубы дренажные гофрированные двухслойные полипропиленовые, SN16, диаметр 250 мм</t>
  </si>
  <si>
    <t>ВОР 91</t>
  </si>
  <si>
    <t>Трубы дренажные гофрированные двухслойные полипропиленовые, SN16, диаметр 315 мм</t>
  </si>
  <si>
    <t>ВОР 92</t>
  </si>
  <si>
    <t>Муфта полиэтиленовая соединительная для дренажных труб, диаметр 200 мм</t>
  </si>
  <si>
    <t>ВОР, нет в СО; Источник: 03-01/07.21П-ИОС 3.1 ГЧ. Спецификация л. 2 (Файл: 03-01/07.21П-ИОС3.1.pdf, стр.: 1)</t>
  </si>
  <si>
    <t>ВОР 93</t>
  </si>
  <si>
    <t>Муфта полиэтиленовая электросварная, ПЭ100, SDR11, диаметр 250 мм</t>
  </si>
  <si>
    <t>ВОР 94</t>
  </si>
  <si>
    <t>Муфта полиэтиленовая электросварная, ПЭ100, SDR11, диаметр 315 мм</t>
  </si>
  <si>
    <t>ВОР 102</t>
  </si>
  <si>
    <t>Часть 2. Дренаж 03-01/07.21П-ИОС3.2.СО</t>
  </si>
  <si>
    <t>Дренажная сеть</t>
  </si>
  <si>
    <t>Труба дренажная гофрированная с перфорацией, d200</t>
  </si>
  <si>
    <t>ДГТ-ПНД d200</t>
  </si>
  <si>
    <t>м.п.</t>
  </si>
  <si>
    <t>Колодец дренажный смотровой h=1,5 м в комплекте</t>
  </si>
  <si>
    <t>с дном и крышкой</t>
  </si>
  <si>
    <t>Геотекстиль иглопробивной</t>
  </si>
  <si>
    <t>м2</t>
  </si>
  <si>
    <t>600 г/м²</t>
  </si>
  <si>
    <t>Щебень фр. 5-20 М1000</t>
  </si>
  <si>
    <t>5.4.</t>
  </si>
  <si>
    <t>ОТОПЛЕНИЕ, ВЕНТИЛЯЦИЯ И КОНДИЦИОНИРОВАНИЕ ВОЗДУХА, ТЕПЛОВЫЕ СЕТИ</t>
  </si>
  <si>
    <t>ВОР 2</t>
  </si>
  <si>
    <t>ВОР, нет в СО; Источник: 03-01/07.21П-ИОС3.2.СО л.1 (Файл: 03-01_07.21П- ИОС3.2.pdf, стр.: 17)</t>
  </si>
  <si>
    <t>Часть 1. Отопление 03-01/07.21П-ИОС4.1.СО</t>
  </si>
  <si>
    <t>СИСТЕМА ОТОПЛЕНИЯ</t>
  </si>
  <si>
    <t>Медно-алюминиевый конвектор «Коралл», напольный, нижнее подключение, с встроенным термостатическим клапаном</t>
  </si>
  <si>
    <t>НКОН05-08.60Т2</t>
  </si>
  <si>
    <t>«Изотерм»</t>
  </si>
  <si>
    <t>300 Вт</t>
  </si>
  <si>
    <t>НКОН05-08.70Т2</t>
  </si>
  <si>
    <t>458 Вт</t>
  </si>
  <si>
    <t>НКОН05-08.90Т2</t>
  </si>
  <si>
    <t>537 Вт</t>
  </si>
  <si>
    <t>НКОН05-08.100Т2</t>
  </si>
  <si>
    <t>695 Вт</t>
  </si>
  <si>
    <t>НКОН05-08.110Т2</t>
  </si>
  <si>
    <t>1012 Вт</t>
  </si>
  <si>
    <t>НКОН05-08.120Т2</t>
  </si>
  <si>
    <t>1091 Вт</t>
  </si>
  <si>
    <t>НКОН05-08.130Т2</t>
  </si>
  <si>
    <t>1170 Вт</t>
  </si>
  <si>
    <t>НКОН05-08.150Т2</t>
  </si>
  <si>
    <t>1249 Вт</t>
  </si>
  <si>
    <t>НКОН05-08.160Т2</t>
  </si>
  <si>
    <t>1328 Вт</t>
  </si>
  <si>
    <t>НКОН05-08.170Т2</t>
  </si>
  <si>
    <t>1407 Вт</t>
  </si>
  <si>
    <t>НКОН05-08.190Т2</t>
  </si>
  <si>
    <t>1486 Вт</t>
  </si>
  <si>
    <t>НКОН05-08.200Т2</t>
  </si>
  <si>
    <t>1565 Вт</t>
  </si>
  <si>
    <t>НКОН05-08.210Т2</t>
  </si>
  <si>
    <t>1644 Вт</t>
  </si>
  <si>
    <t>НКОН05-08.220Т2</t>
  </si>
  <si>
    <t>1723 Вт</t>
  </si>
  <si>
    <t>НКОН05-08.230Т2</t>
  </si>
  <si>
    <t>1881 Вт</t>
  </si>
  <si>
    <t>НКОН05-08.240Т2</t>
  </si>
  <si>
    <t>1960 Вт</t>
  </si>
  <si>
    <t>НКОН05-08.260Т2</t>
  </si>
  <si>
    <t>2197 Вт</t>
  </si>
  <si>
    <t>НКОН05-08.270Т2</t>
  </si>
  <si>
    <t>353 Вт</t>
  </si>
  <si>
    <t>НКОН05-08.300Т2</t>
  </si>
  <si>
    <t>1004 Вт</t>
  </si>
  <si>
    <t>НКОН05-10.60Т2</t>
  </si>
  <si>
    <t>1283 Вт</t>
  </si>
  <si>
    <t>НКОН05-10.130Т2</t>
  </si>
  <si>
    <t>1655 Вт</t>
  </si>
  <si>
    <t>НКОН05-10.140Т2</t>
  </si>
  <si>
    <t>1748 Вт</t>
  </si>
  <si>
    <t>НКОН05-10.160Т2</t>
  </si>
  <si>
    <t>1841 Вт</t>
  </si>
  <si>
    <t>НКОН05-10.200Т2</t>
  </si>
  <si>
    <t>1934 Вт</t>
  </si>
  <si>
    <t>НКОН05-10.210Т2</t>
  </si>
  <si>
    <t>2027 Вт</t>
  </si>
  <si>
    <t>НКОН05-10.220Т2</t>
  </si>
  <si>
    <t>2492 Вт</t>
  </si>
  <si>
    <t>НКОН05-10.230Т2</t>
  </si>
  <si>
    <t>926 Вт</t>
  </si>
  <si>
    <t>НКОН05-10.240Т2</t>
  </si>
  <si>
    <t>1273 Вт</t>
  </si>
  <si>
    <t>НКОН05-10.290Т2</t>
  </si>
  <si>
    <t>1390 Вт</t>
  </si>
  <si>
    <t>НКОН10-15.130Т2</t>
  </si>
  <si>
    <t>1974 Вт</t>
  </si>
  <si>
    <t>НКОН10-15.140Т2</t>
  </si>
  <si>
    <t>2091 Вт</t>
  </si>
  <si>
    <t>НКОН10-15.200Т2</t>
  </si>
  <si>
    <t>2208 Вт</t>
  </si>
  <si>
    <t>НКОН10-15.210Т2</t>
  </si>
  <si>
    <t>3259 Вт</t>
  </si>
  <si>
    <t>НКОН10-15.300Т2</t>
  </si>
  <si>
    <t>1386 Вт</t>
  </si>
  <si>
    <t>НКОН20-25.120Т2</t>
  </si>
  <si>
    <t>1741 Вт</t>
  </si>
  <si>
    <t>НКОН20-25.130Т2</t>
  </si>
  <si>
    <t>1919 Вт</t>
  </si>
  <si>
    <t>НКОН20-25.140Т2</t>
  </si>
  <si>
    <t>2097 Вт</t>
  </si>
  <si>
    <t>НКОН20-25.150Т2</t>
  </si>
  <si>
    <t>2274 Вт</t>
  </si>
  <si>
    <t>НКОН20-25.180Т2</t>
  </si>
  <si>
    <t>2807 Вт</t>
  </si>
  <si>
    <t>НКОН20-25.190Т2</t>
  </si>
  <si>
    <t>2985 Вт</t>
  </si>
  <si>
    <t>НКОН20-25.210Т2</t>
  </si>
  <si>
    <t>3340 Вт</t>
  </si>
  <si>
    <t>НКОН20-25.230Т2</t>
  </si>
  <si>
    <t>3696 Вт</t>
  </si>
  <si>
    <t>НКОН20-25.240Т2</t>
  </si>
  <si>
    <t>3873 Вт</t>
  </si>
  <si>
    <t>НКОН20-25.300Т2</t>
  </si>
  <si>
    <t>3939 Вт</t>
  </si>
  <si>
    <t>Настенный медно-алюминиевый конвектор «RODOS» с термостатическим клапаном и нижним подключением</t>
  </si>
  <si>
    <t>ПКНН-111R-Т2</t>
  </si>
  <si>
    <t>1153 Вт</t>
  </si>
  <si>
    <t>ПКНН-112R-Т2</t>
  </si>
  <si>
    <t>1277 Вт</t>
  </si>
  <si>
    <t>ПКНН-113R-Т2</t>
  </si>
  <si>
    <t>1401 Вт</t>
  </si>
  <si>
    <t>ПКНН-119R-Т2</t>
  </si>
  <si>
    <t>2145 Вт</t>
  </si>
  <si>
    <t>ПКНН-304R-Т2</t>
  </si>
  <si>
    <t>432 Вт</t>
  </si>
  <si>
    <t>ПКНН-305R-Т2</t>
  </si>
  <si>
    <t>620 Вт</t>
  </si>
  <si>
    <t>ПКНН-306R-Т2</t>
  </si>
  <si>
    <t>808 Вт</t>
  </si>
  <si>
    <t>ПКНН-307R-Т2</t>
  </si>
  <si>
    <t>996 Вт</t>
  </si>
  <si>
    <t>ПКНН-308R-Т2</t>
  </si>
  <si>
    <t>1184 Вт</t>
  </si>
  <si>
    <t>ПКНН-309R-Т2</t>
  </si>
  <si>
    <t>1372 Вт</t>
  </si>
  <si>
    <t>ПКНН-310R-Т2</t>
  </si>
  <si>
    <t>1560 Вт</t>
  </si>
  <si>
    <t>ПКНН-311R-Т2</t>
  </si>
  <si>
    <t>1747 Вт</t>
  </si>
  <si>
    <t>ПКНН-315R-Т2</t>
  </si>
  <si>
    <t>2499 Вт</t>
  </si>
  <si>
    <t>ПКНН-316R-Т2</t>
  </si>
  <si>
    <t>2687 Вт</t>
  </si>
  <si>
    <t>ПКНН-317R-Т2</t>
  </si>
  <si>
    <t>2875 Вт</t>
  </si>
  <si>
    <t>ПКНН-319R-Т2</t>
  </si>
  <si>
    <t>3251 Вт</t>
  </si>
  <si>
    <t>ПКНН-320R-Т2</t>
  </si>
  <si>
    <t>3439 Вт</t>
  </si>
  <si>
    <t>ПКНН-321R-Т2</t>
  </si>
  <si>
    <t>3626 Вт</t>
  </si>
  <si>
    <t>ПКНН-323R-Т2</t>
  </si>
  <si>
    <t>4002 Вт</t>
  </si>
  <si>
    <t>Комплект терморегулирующей арматуры</t>
  </si>
  <si>
    <t>Регистр из гладких труб 2-х рядный l=1,7 м</t>
  </si>
  <si>
    <t>Регистр из гладких труб 4-х рядный l=1,9 м</t>
  </si>
  <si>
    <t>Крепление конвектора «Коралл»</t>
  </si>
  <si>
    <t>Крепление конвектора «Rodos»</t>
  </si>
  <si>
    <t>Автоматический балансировочный клапан с внутренней резьбой</t>
  </si>
  <si>
    <t>АРТ-R Ø15</t>
  </si>
  <si>
    <t>003Z5701RF</t>
  </si>
  <si>
    <t>«Ридан»</t>
  </si>
  <si>
    <t>АРТ-R Ø25</t>
  </si>
  <si>
    <t>003Z5703RF</t>
  </si>
  <si>
    <t>АРТ-R Ø32</t>
  </si>
  <si>
    <t>003Z5704RF</t>
  </si>
  <si>
    <t>АРТ-R Ø40</t>
  </si>
  <si>
    <t>003Z5705RF</t>
  </si>
  <si>
    <t>Запорно-измерительный клапан ручной Ø15</t>
  </si>
  <si>
    <t>MVT-R 15</t>
  </si>
  <si>
    <t>003Z4041R</t>
  </si>
  <si>
    <t>Запорно-измерительный клапан ручной Ø25</t>
  </si>
  <si>
    <t>MVT-R 25</t>
  </si>
  <si>
    <t>003Z4042R</t>
  </si>
  <si>
    <t>Запорно-измерительный клапан ручной Ø40</t>
  </si>
  <si>
    <t>MVT-R 40</t>
  </si>
  <si>
    <t>003Z4045R</t>
  </si>
  <si>
    <t>Шаровой полнопроходной кран с внутренней резьбой, Т макс.=110 °С Ø15</t>
  </si>
  <si>
    <t>BVR-R 15</t>
  </si>
  <si>
    <t>065B8307R</t>
  </si>
  <si>
    <t>Шаровой полнопроходной кран с внутренней резьбой, Т макс.=110 °С Ø20</t>
  </si>
  <si>
    <t>BVR-R 20</t>
  </si>
  <si>
    <t>065B8308R</t>
  </si>
  <si>
    <t>Шаровой полнопроходной кран с внутренней резьбой, Т макс.=110 °С Ø80</t>
  </si>
  <si>
    <t>BVR-R 80</t>
  </si>
  <si>
    <t>065B8314R</t>
  </si>
  <si>
    <t>Термостатический элемент для регулирующего клапана</t>
  </si>
  <si>
    <t>TR 84</t>
  </si>
  <si>
    <t>013G7084R</t>
  </si>
  <si>
    <t>Кран шаровой спускной с наружной резьбой с насадкой для шланга, Ру10 Ø20</t>
  </si>
  <si>
    <t>065B8301R</t>
  </si>
  <si>
    <t>Автоматический воздухоотводчик с резьбовым присоединением Ру10 Ø15</t>
  </si>
  <si>
    <t>065B8323R</t>
  </si>
  <si>
    <t>Труба водогазопроводная по ГОСТ 3262-75*</t>
  </si>
  <si>
    <t>Ø15х2,8</t>
  </si>
  <si>
    <t>Ø20х2,8</t>
  </si>
  <si>
    <t>Ø25х3,2</t>
  </si>
  <si>
    <t>Ø32х3,2</t>
  </si>
  <si>
    <t>Ø40х3,5</t>
  </si>
  <si>
    <t>Ø57х3,5</t>
  </si>
  <si>
    <t>Труба водогазопроводная по ГОСТ 10704-76</t>
  </si>
  <si>
    <t>Ø89х4,0</t>
  </si>
  <si>
    <t>Краска</t>
  </si>
  <si>
    <t>БТ-177</t>
  </si>
  <si>
    <t>кг/м²</t>
  </si>
  <si>
    <t>норма/площадь 300/2500, 2 слоя</t>
  </si>
  <si>
    <t>Грунтовка</t>
  </si>
  <si>
    <t>ГФ-021</t>
  </si>
  <si>
    <t>норма/площадь 450/2500</t>
  </si>
  <si>
    <t>Изоляция техническая, цилиндры, толщиной 30 мм</t>
  </si>
  <si>
    <t>«Rockwoоl»</t>
  </si>
  <si>
    <t>ТЕПЛОСНАБЖЕНИЕ У1…У3</t>
  </si>
  <si>
    <t>Воздушно-тепловая завеса водяная, с пультом управления</t>
  </si>
  <si>
    <t>20</t>
  </si>
  <si>
    <t>«Тепломаш»</t>
  </si>
  <si>
    <t>Смесительный узел</t>
  </si>
  <si>
    <t>Тип 21</t>
  </si>
  <si>
    <t>Гибкие патрубки, 3/4”, L=600 мм</t>
  </si>
  <si>
    <t>Термостат защиты от замерзания накладной</t>
  </si>
  <si>
    <t>Концевой выключатель</t>
  </si>
  <si>
    <t>Автоматический балансировочный клапан с наружной резьбой, Ду25</t>
  </si>
  <si>
    <t>AQT-R 25</t>
  </si>
  <si>
    <t>003Z1814RF</t>
  </si>
  <si>
    <t>Ручной балансировочный клапан, фланцевый, PN 16, DN 15…400, с герметичным затвором и измерительными ниппелями</t>
  </si>
  <si>
    <t>MNF-R 50</t>
  </si>
  <si>
    <t>003Z1161R</t>
  </si>
  <si>
    <t>Шаровой полнопроходной кран с внутренней резьбой, Тмакс.=110 °С. Ду32</t>
  </si>
  <si>
    <t>BVR-R 32</t>
  </si>
  <si>
    <t>065B8310R</t>
  </si>
  <si>
    <t>Фильтр сетчатый Ду32</t>
  </si>
  <si>
    <t>FVR-R 32</t>
  </si>
  <si>
    <t>065B8338R</t>
  </si>
  <si>
    <t>Манометр показывающий осевой 63 мм, 100 бар, G1/4</t>
  </si>
  <si>
    <t>«Росма»</t>
  </si>
  <si>
    <t>ТМ 510 Р.00 (0-1МПа) G1/2 1,5</t>
  </si>
  <si>
    <t>Ø40х3,2</t>
  </si>
  <si>
    <t>Ø57х3,2</t>
  </si>
  <si>
    <t>Изоляция техническая, цилиндры, толщиной 40 мм, Ду25</t>
  </si>
  <si>
    <t>Изоляция техническая, цилиндры, толщиной 40 мм, Ду32</t>
  </si>
  <si>
    <t>Автоматический воздухоотводчик с резьбовым присоединением, Ру10 Ø15</t>
  </si>
  <si>
    <t>норма/площадь 70/335, 2 слоя</t>
  </si>
  <si>
    <t>норма/площадь 40/335</t>
  </si>
  <si>
    <t>ВОР 95</t>
  </si>
  <si>
    <t>Элеватор водоструйный стальной, фланцевый, для систем отопления, давление 1,6 МПа, 40с 10б, № 2</t>
  </si>
  <si>
    <t>ВОР, нет в СО; Источник: 03-01/07.21П-ИОС.4.1.СО л.5 (Файл: 03-0107.21П- ИОС 4.3.pdf, стр.: 1 2 3 4 5 6)</t>
  </si>
  <si>
    <t>Часть 2. Вентиляция и кондиционирование 03-01/07.21П-ИОС.4.2.СО</t>
  </si>
  <si>
    <t>ВЕНТИЛЯЦИЯ</t>
  </si>
  <si>
    <t>П1В1</t>
  </si>
  <si>
    <t>Установка LM PRO ICE SC DR 140 с комплектом автоматики, исполнительными механизмами и узлом обвязки</t>
  </si>
  <si>
    <t>"WHEIL"</t>
  </si>
  <si>
    <t>П2В2</t>
  </si>
  <si>
    <t>Установка Polaris 50 09 RL комплектом автоматики, исполнительными механизмами и узлом обвязки</t>
  </si>
  <si>
    <t>ККБ П2В2</t>
  </si>
  <si>
    <t>Установка POLLUX AHU/CD.057.2 с соединительным комплектом</t>
  </si>
  <si>
    <t>П3В3</t>
  </si>
  <si>
    <t>Установка Polaris 50 15 RL с комплектом автоматики, исполнительными механизмами и узлом обвязки</t>
  </si>
  <si>
    <t>ККБ П3В3</t>
  </si>
  <si>
    <t>Установка WHEIL POLLUX CCU /Соединительный комплект для WHEIL POLLUX CCU / C.M.016.1.1</t>
  </si>
  <si>
    <t>П4В4</t>
  </si>
  <si>
    <t>Установка Polaris 50 05 RL с комплектом автоматики, исполнительными механизмами и узлом обвязки</t>
  </si>
  <si>
    <t>ККБ П4В4</t>
  </si>
  <si>
    <t>Установка WHEIL POLLUX CCU /Соединительный комплект для WHEIL POLLUX CCU / C.M.010.1.1</t>
  </si>
  <si>
    <t>П5В5</t>
  </si>
  <si>
    <t>Установка Polaris 50 30 RL с комплектом автоматики, исполнительными механизмами и узлом обвязки</t>
  </si>
  <si>
    <t>ККБ П5В5</t>
  </si>
  <si>
    <t>Установка WHEIL POLLUX CCU /Соединительный комплект для WHEIL POLLUX CCU / C.M.053.2.2</t>
  </si>
  <si>
    <t>П6</t>
  </si>
  <si>
    <t>Установка Wega ST 315 с комплектом автоматики, исполнительными механизмами и узлом обвязки</t>
  </si>
  <si>
    <t>П7</t>
  </si>
  <si>
    <t>Установка Polaris 50 20 R с комплектом автоматики, исполнительными</t>
  </si>
  <si>
    <t>ККБ П7</t>
  </si>
  <si>
    <t>Установка WHEIL POLLUX CCU /Соединительный комплект для WHEIL POLLUX CCU / C.M.022.1.1</t>
  </si>
  <si>
    <t>П8</t>
  </si>
  <si>
    <t>П9</t>
  </si>
  <si>
    <t>Установка Wega XP 100-50 с комплектом автоматики, исполнительными механизмами и узлом обвязки</t>
  </si>
  <si>
    <t>П10</t>
  </si>
  <si>
    <t>Установка Wega ST 100 с комплектом автоматики, исполнительными механизмами</t>
  </si>
  <si>
    <t>П11</t>
  </si>
  <si>
    <t>Установка Wega XP 50-30 с комплектом автоматики, исполнительными механизмами и узлом обвязки</t>
  </si>
  <si>
    <t>П12</t>
  </si>
  <si>
    <t>Установка Wega XP 50-25 с комплектом автоматики, исполнительными механизмами и узлом обвязки</t>
  </si>
  <si>
    <t>П13</t>
  </si>
  <si>
    <t>Установка Wega ST 200 с комплектом автоматики, исполнительными механизмами и узлом обвязки</t>
  </si>
  <si>
    <t>П14</t>
  </si>
  <si>
    <t>Установка Wega XP 90-50 с комплектом автоматики, исполнительными механизмами и узлом обвязки</t>
  </si>
  <si>
    <t>П15</t>
  </si>
  <si>
    <t>Установка Wega ST 250 с комплектом автоматики, исполнительными механизмами и узлом обвязки</t>
  </si>
  <si>
    <t>П16</t>
  </si>
  <si>
    <t>Установка Wega XP 70-40 с комплектом автоматики, исполнительными механизмами и узлом обвязки</t>
  </si>
  <si>
    <t>П17</t>
  </si>
  <si>
    <t>П18</t>
  </si>
  <si>
    <t>П19</t>
  </si>
  <si>
    <t>Установка Wega XP 60-30 с комплектом автоматики, исполнительными механизмами и узлом обвязки</t>
  </si>
  <si>
    <t>ККБ П19</t>
  </si>
  <si>
    <t>П20</t>
  </si>
  <si>
    <t>П21</t>
  </si>
  <si>
    <t>В6</t>
  </si>
  <si>
    <t>Установка Wega ST 100 с комплектом автоматики</t>
  </si>
  <si>
    <t>В7</t>
  </si>
  <si>
    <t>Установка Wega XP 50-30 с комплектом автоматики</t>
  </si>
  <si>
    <t>В8</t>
  </si>
  <si>
    <t>Установка Wega ST 250 с комплектом автоматики</t>
  </si>
  <si>
    <t>В9</t>
  </si>
  <si>
    <t>В10</t>
  </si>
  <si>
    <t>В11</t>
  </si>
  <si>
    <t>Установка Wega XP 60-30 с комплектом автоматики</t>
  </si>
  <si>
    <t>В12</t>
  </si>
  <si>
    <t>Установка Wega ST 315 с комплектом автоматики</t>
  </si>
  <si>
    <t>В13</t>
  </si>
  <si>
    <t>Установка Wega ST 160 с комплектом автоматики</t>
  </si>
  <si>
    <t>В14</t>
  </si>
  <si>
    <t>В15</t>
  </si>
  <si>
    <t>В15.1</t>
  </si>
  <si>
    <t>В16-В21</t>
  </si>
  <si>
    <t>Канальный высокотемпературный вентилятор для сауны ВК200</t>
  </si>
  <si>
    <t>"Тепло-СПб"</t>
  </si>
  <si>
    <t>Шумоглушитель круглый 125/600</t>
  </si>
  <si>
    <t>Обратный клапан круглый 125</t>
  </si>
  <si>
    <t>В22</t>
  </si>
  <si>
    <t>В23</t>
  </si>
  <si>
    <t>Установка Wega ST 200 с комплектом автоматики</t>
  </si>
  <si>
    <t>В24</t>
  </si>
  <si>
    <t>В25</t>
  </si>
  <si>
    <t>В26</t>
  </si>
  <si>
    <t>В27</t>
  </si>
  <si>
    <t>В28</t>
  </si>
  <si>
    <t>В29</t>
  </si>
  <si>
    <t>В30</t>
  </si>
  <si>
    <t>В31</t>
  </si>
  <si>
    <t>В32</t>
  </si>
  <si>
    <t>В33</t>
  </si>
  <si>
    <t>Установка Wega XP 80-50 с комплектом автоматики</t>
  </si>
  <si>
    <t>В34</t>
  </si>
  <si>
    <t>В34 (ав)</t>
  </si>
  <si>
    <t>Установка Wega XP 60-35 с комплектом автоматики</t>
  </si>
  <si>
    <t>В35</t>
  </si>
  <si>
    <t>В36</t>
  </si>
  <si>
    <t>В37</t>
  </si>
  <si>
    <t>В38</t>
  </si>
  <si>
    <t>В39</t>
  </si>
  <si>
    <t>В40</t>
  </si>
  <si>
    <t>В41</t>
  </si>
  <si>
    <t>В42</t>
  </si>
  <si>
    <t>В43</t>
  </si>
  <si>
    <t>В44</t>
  </si>
  <si>
    <t>В44.1</t>
  </si>
  <si>
    <t>Установка Wega Wega ST 315 с комплектом автоматики</t>
  </si>
  <si>
    <t>В45</t>
  </si>
  <si>
    <t>В46</t>
  </si>
  <si>
    <t>В47</t>
  </si>
  <si>
    <t>Установка Shaula BOX 45 с комплектом автоматики</t>
  </si>
  <si>
    <t>В48</t>
  </si>
  <si>
    <t>В49</t>
  </si>
  <si>
    <t>В50</t>
  </si>
  <si>
    <t>В51</t>
  </si>
  <si>
    <t>В52</t>
  </si>
  <si>
    <t>Установка Wega XP 50-25 с комплектом автоматики</t>
  </si>
  <si>
    <t>В53</t>
  </si>
  <si>
    <t>В54</t>
  </si>
  <si>
    <t>В55</t>
  </si>
  <si>
    <t>В56</t>
  </si>
  <si>
    <t>В57</t>
  </si>
  <si>
    <t>В58</t>
  </si>
  <si>
    <t>В59</t>
  </si>
  <si>
    <t>В60</t>
  </si>
  <si>
    <t>А1-А11</t>
  </si>
  <si>
    <t>Воздушно-отопительные агрегаты</t>
  </si>
  <si>
    <t>Volcano VR-2 AC</t>
  </si>
  <si>
    <t>«VTS»</t>
  </si>
  <si>
    <t>ДУ1</t>
  </si>
  <si>
    <t>Установка WHEIL Shaula ROOF SE.400 5 с комплектом автоматики и утепленным монтажным стаканом</t>
  </si>
  <si>
    <t>ДУ2</t>
  </si>
  <si>
    <t>Установка WHEIL Shaula ROOF SE.400 6 с комплектом автоматики</t>
  </si>
  <si>
    <t>ДУ3</t>
  </si>
  <si>
    <t>Установка WHEIL Shaula ROOF SE.400 4 с комплектом автоматики и утепленным монтажным стаканом для скатной кровли</t>
  </si>
  <si>
    <t>ДУ4</t>
  </si>
  <si>
    <t>Установка WHEIL Shaula ROOF SE.400 6 с комплектом автоматики и утепленным монтажным стаканом для скатной кровли</t>
  </si>
  <si>
    <t>ДУ5</t>
  </si>
  <si>
    <t>КДУ1</t>
  </si>
  <si>
    <t>Установка WHEIL Shaula AX 56 с комплектом автоматики и утепленным монтажным стаканом для скатной кровли</t>
  </si>
  <si>
    <t>КДУ2</t>
  </si>
  <si>
    <t>КДУ3</t>
  </si>
  <si>
    <t>Установка WHEIL Shaula AX 50 с комплектом автоматики и утепленным монтажным стаканом для скатной кровли</t>
  </si>
  <si>
    <t>КДУ4</t>
  </si>
  <si>
    <t>КДУ5</t>
  </si>
  <si>
    <t>ПД1</t>
  </si>
  <si>
    <t>ПД2</t>
  </si>
  <si>
    <t>Установка WHEIL Shaula AX 45 с комплектом автоматики и утепленным монтажным стаканом для скатной кровли</t>
  </si>
  <si>
    <t>ПД2.1</t>
  </si>
  <si>
    <t>Установка WHEIL Wega ST 315 с комплектом автоматики и электронагревателем</t>
  </si>
  <si>
    <t>ИЗДЕЛИЯ И МАТЕРИАЛЫ СИСТЕМ ОБЩЕОБМЕННОЙ ВЕНТИЛЯЦИИ</t>
  </si>
  <si>
    <t>Диффузор четырехсторонний с камерой статич. давления</t>
  </si>
  <si>
    <t>4АПН 450х450+3КСР</t>
  </si>
  <si>
    <t>"Арктика"</t>
  </si>
  <si>
    <t>Решетка наружная</t>
  </si>
  <si>
    <t>CG-125</t>
  </si>
  <si>
    <t>Решетка вентиляционная</t>
  </si>
  <si>
    <t>АМР 200х100</t>
  </si>
  <si>
    <t>Приточный сопловой воздухораспределитель</t>
  </si>
  <si>
    <t>3СДКР 160</t>
  </si>
  <si>
    <t>Диффузор универсальный круглый</t>
  </si>
  <si>
    <t>ДПУ-М 100</t>
  </si>
  <si>
    <t>Дроссель-клапан Ø100</t>
  </si>
  <si>
    <t>КВК-100М</t>
  </si>
  <si>
    <t>Дроссель-клапан Ø125</t>
  </si>
  <si>
    <t>КВК-125М</t>
  </si>
  <si>
    <t>Дроссель-клапан Ø160</t>
  </si>
  <si>
    <t>КВК-160М</t>
  </si>
  <si>
    <t>Дроссель-клапан Ø200</t>
  </si>
  <si>
    <t>КВК-200М</t>
  </si>
  <si>
    <t>Дроссель-клапан Ø250</t>
  </si>
  <si>
    <t>КВК-250М</t>
  </si>
  <si>
    <t>Дроссель-клапан Ø315</t>
  </si>
  <si>
    <t>КВК-315М</t>
  </si>
  <si>
    <t>Дроссель-клапан Ø400</t>
  </si>
  <si>
    <t>КВК-400М</t>
  </si>
  <si>
    <t>Дроссель-клапан Ø500</t>
  </si>
  <si>
    <t>КВК-500М</t>
  </si>
  <si>
    <t>Дроссель-клапан Ø630</t>
  </si>
  <si>
    <t>КВК-630М</t>
  </si>
  <si>
    <t>Дроссель-клапан 300х250</t>
  </si>
  <si>
    <t>АВК-300х250</t>
  </si>
  <si>
    <t>Дроссель-клапан 500х250</t>
  </si>
  <si>
    <t>АВК-500х250</t>
  </si>
  <si>
    <t>Дроссель-клапан 600х500</t>
  </si>
  <si>
    <t>АВК-600х500</t>
  </si>
  <si>
    <t>Противопожарный клапан НО (EI60) c электромеханическим приводом (220B) снаружи клапана, с возвратной пружиной и клемной колодкой Ø100</t>
  </si>
  <si>
    <t>КПКВ НО.60.МВ220 Ø100</t>
  </si>
  <si>
    <t>Противопожарный клапан НО (EI60) c электромеханическим приводом (220B) снаружи клапана, с возвратной пружиной и клемной колодкой Ø125</t>
  </si>
  <si>
    <t>Противопожарный клапан НО (EI60) c электромеханическим приводом (220B) снаружи клапана, с возвратной пружиной и клемной колодкой Ø160</t>
  </si>
  <si>
    <t>Противопожарный клапан НО (EI60) c электромеханическим приводом (220B) снаружи клапана, с возвратной пружиной и клемной колодкой Ø250</t>
  </si>
  <si>
    <t>Противопожарный клапан НО (EI60) c электромеханическим приводом (220B) снаружи клапана, с возвратной пружиной и клемной колодкой Ø315</t>
  </si>
  <si>
    <t>Противопожарный клапан НО (EI60) c электромеханическим приводом (220B) снаружи клапана, с возвратной пружиной и клемной колодкой 300х250</t>
  </si>
  <si>
    <t>Противопожарный клапан НО (EI60) c электромеханическим приводом (220B) снаружи клапана, с возвратной пружиной и клемной колодкой 400х200</t>
  </si>
  <si>
    <t>Противопожарный клапан НО (EI60) c электромеханическим приводом (220B) снаружи клапана, с возвратной пружиной и клемной колодкой 400х250</t>
  </si>
  <si>
    <t>Противопожарный клапан НО (EI60) c электромеханическим приводом (220B) снаружи клапана, с возвратной пружиной и клемной колодкой 400х300</t>
  </si>
  <si>
    <t>Противопожарный клапан НО (EI60) c электромеханическим приводом (220B) снаружи клапана, с возвратной пружиной и клемной колодкой 400х400</t>
  </si>
  <si>
    <t>Противопожарный клапан НО (EI60) c электромеханическим приводом (220B) снаружи клапана, с возвратной пружиной и клемной колодкой 500х250</t>
  </si>
  <si>
    <t>Противопожарный клапан НО (EI60) c электромеханическим приводом (220B) снаружи клапана, с возвратной пружиной и клемной колодкой 500х300</t>
  </si>
  <si>
    <t>Противопожарный клапан НО (EI60) c электромеханическим приводом (220B) снаружи клапана, с возвратной пружиной и клемной колодкой 500х400</t>
  </si>
  <si>
    <t>Противопожарный клапан НО (EI60) c электромеханическим приводом (220B) снаружи клапана, с возвратной пружиной и клемной колодкой 600х300</t>
  </si>
  <si>
    <t>Противопожарный клапан НО (EI60) c электромеханическим приводом (220B) снаружи клапана, с возвратной пружиной и клемной колодкой 600х400</t>
  </si>
  <si>
    <t>Противопожарный клапан НО (EI60) c электромеханическим приводом (220B) снаружи клапана, с возвратной пружиной и клемной колодкой 700х400</t>
  </si>
  <si>
    <t>Противопожарный клапан НО (EI60) c электромеханическим приводом (220B) снаружи клапана, с возвратной пружиной и клемной колодкой 800х400</t>
  </si>
  <si>
    <t>Противопожарный клапан НО (EI60) c электромеханическим приводом (220B) снаружи клапана, с возвратной пружиной и клемной колодкой 800х500</t>
  </si>
  <si>
    <t>Противопожарный клапан НО (EI60) c электромеханическим приводом (220B) снаружи клапана, с возвратной пружиной и клемной колодкой 950х700</t>
  </si>
  <si>
    <t>Противопожарный клапан НО (EI60) c электромеханическим приводом (220B) снаружи клапана, с возвратной пружиной и клемной колодкой 900х500</t>
  </si>
  <si>
    <t>Противопожарный клапан НО (EI60) c электромеханическим приводом (220B) снаружи клапана, с возвратной пружиной и клемной колодкой 1000х400</t>
  </si>
  <si>
    <t>Противопожарный клапан НО (EI60) c электромеханическим приводом (220B) снаружи клапана, с возвратной пружиной и клемной колодкой 1000х500</t>
  </si>
  <si>
    <t>Противопожарный клапан НО (EI60) c электромеханическим приводом (220B) снаружи клапана, с возвратной пружиной и клемной колодкой 1000х800</t>
  </si>
  <si>
    <t>Противопожарный клапан НО (EI60) c электромеханическим приводом (220B) снаружи клапана, с возвратной пружиной и клемной колодкой 1050х800</t>
  </si>
  <si>
    <t>Противопожарный клапан НО (EI60) c электромеханическим приводом (220B) снаружи клапана, с возвратной пружиной и клемной колодкой 1100х300</t>
  </si>
  <si>
    <t>Противопожарный клапан НО (EI60) c электромеханическим приводом (220B) снаружи клапана, с возвратной пружиной и клемной колодкой 1200х1000</t>
  </si>
  <si>
    <t>Противопожарный клапан НО (EI60) c электромеханическим приводом (220B) снаружи клапана, с возвратной пружиной и клемной колодкой 1400х800</t>
  </si>
  <si>
    <t>Противопожарный клапан НО (EI60) c электромеханическим приводом (220B) снаружи клапана, с возвратной пружиной и клемной колодкой Ø200</t>
  </si>
  <si>
    <t>Воздуховод из оцинк. стали по ГОСТ 14918-80 S=0,55мм Ø100</t>
  </si>
  <si>
    <t>137,99 м²</t>
  </si>
  <si>
    <t>Воздуховод из оцинк. стали по ГОСТ 14918-80 S=0,55мм Ø125</t>
  </si>
  <si>
    <t>189,31 м²</t>
  </si>
  <si>
    <t>Воздуховод из оцинк. стали по ГОСТ 14918-80 S=0,55мм Ø160</t>
  </si>
  <si>
    <t>272,96 м²</t>
  </si>
  <si>
    <t>Воздуховод из оцинк. стали по ГОСТ 14918-80 S=0,55мм Ø200</t>
  </si>
  <si>
    <t>293,75 м²</t>
  </si>
  <si>
    <t>Воздуховод из оцинк. стали по ГОСТ 14918-80 S=0,7мм Ø250</t>
  </si>
  <si>
    <t>497,75 м²</t>
  </si>
  <si>
    <t>Воздуховод из оцинк. стали по ГОСТ 14918-80 S=0,7мм Ø315</t>
  </si>
  <si>
    <t>170,8 м²</t>
  </si>
  <si>
    <t>Воздуховод из оцинк. стали по ГОСТ 14918-80 S=0,7мм Ø400</t>
  </si>
  <si>
    <t>59,34 м²</t>
  </si>
  <si>
    <t>Воздуховод из оцинк. стали по ГОСТ 14918-80 S=0,7мм Ø500</t>
  </si>
  <si>
    <t>108,66 м²</t>
  </si>
  <si>
    <t>Воздуховод из оцинк. стали по ГОСТ 14918-80 S=0,7мм Ø630</t>
  </si>
  <si>
    <t>418,03 м²</t>
  </si>
  <si>
    <t>Воздуховод из оцинк. стали по ГОСТ 14918-80 S=0,7мм Ø710</t>
  </si>
  <si>
    <t>35,4 м²</t>
  </si>
  <si>
    <t>Воздуховод из оцинк. стали по ГОСТ 14918-80 S=0,7мм Ø800</t>
  </si>
  <si>
    <t>3,99 м²</t>
  </si>
  <si>
    <t>Воздуховод из оцинк. стали по ГОСТ 14918-80 S=0,7мм Ø900</t>
  </si>
  <si>
    <t>92,38 м²</t>
  </si>
  <si>
    <t>Воздуховод из оцинк. стали по ГОСТ 14918-80 S=0,55мм 200х100</t>
  </si>
  <si>
    <t>0,88 м²</t>
  </si>
  <si>
    <t>Воздуховод из оцинк. стали по ГОСТ 14918-80 S=0,55мм 250х200</t>
  </si>
  <si>
    <t>3,81 м²</t>
  </si>
  <si>
    <t>Воздуховод из оцинк. стали по ГОСТ 14918-80 S=0,7мм 300х100</t>
  </si>
  <si>
    <t>0,22 м²</t>
  </si>
  <si>
    <t>Воздуховод из оцинк. стали по ГОСТ 14918-80 S=0,7мм 300х150</t>
  </si>
  <si>
    <t>1,08 м²</t>
  </si>
  <si>
    <t>Воздуховод из оцинк. стали по ГОСТ 14918-80 S=0,7мм 300х200</t>
  </si>
  <si>
    <t>14,95 м²</t>
  </si>
  <si>
    <t>Воздуховод из оцинк. стали по ГОСТ 14918-80 S=0,7мм 300х250</t>
  </si>
  <si>
    <t>142,43 м²</t>
  </si>
  <si>
    <t>Воздуховод из оцинк. стали по ГОСТ 14918-80 S=0,7мм 400х200</t>
  </si>
  <si>
    <t>20,8 м²</t>
  </si>
  <si>
    <t>Воздуховод из оцинк. стали по ГОСТ 14918-80 S=0,7мм 400х250</t>
  </si>
  <si>
    <t>296,4 м²</t>
  </si>
  <si>
    <t>Воздуховод из оцинк. стали по ГОСТ 14918-80 S=0,7мм 400х300</t>
  </si>
  <si>
    <t>87,22 м²</t>
  </si>
  <si>
    <t>Воздуховод из оцинк. стали по ГОСТ 14918-80 S=0,7мм 400х400</t>
  </si>
  <si>
    <t>24,35 м²</t>
  </si>
  <si>
    <t>Воздуховод из оцинк. стали по ГОСТ 14918-80 S=0,7мм 500х200</t>
  </si>
  <si>
    <t>2,79 м²</t>
  </si>
  <si>
    <t>Воздуховод из оцинк. стали по ГОСТ 14918-80 S=0,7мм 500х250</t>
  </si>
  <si>
    <t>123,39 м²</t>
  </si>
  <si>
    <t>Воздуховод из оцинк. стали по ГОСТ 14918-80 S=0,7мм 500х300</t>
  </si>
  <si>
    <t>141,78 м²</t>
  </si>
  <si>
    <t>Воздуховод из оцинк. стали по ГОСТ 14918-80 S=0,7мм 500х400</t>
  </si>
  <si>
    <t>314 м²</t>
  </si>
  <si>
    <t>Воздуховод из оцинк. стали по ГОСТ 14918-80 S=0,7мм 600х300</t>
  </si>
  <si>
    <t>291,85 м²</t>
  </si>
  <si>
    <t>Воздуховод из оцинк. стали по ГОСТ 14918-80 S=0,7мм 600х350</t>
  </si>
  <si>
    <t>3,79 м²</t>
  </si>
  <si>
    <t>Воздуховод из оцинк. стали по ГОСТ 14918-80 S=0,7мм 600х400</t>
  </si>
  <si>
    <t>133,59 м²</t>
  </si>
  <si>
    <t>Воздуховод из оцинк. стали по ГОСТ 14918-80 S=0,7мм 600х500</t>
  </si>
  <si>
    <t>11,64 м²</t>
  </si>
  <si>
    <t>Воздуховод из оцинк. стали по ГОСТ 14918-80 S=0,7мм 600х600</t>
  </si>
  <si>
    <t>0,34 м²</t>
  </si>
  <si>
    <t>Воздуховод из оцинк. стали по ГОСТ 14918-80 S=0,7мм 700х300</t>
  </si>
  <si>
    <t>9 м²</t>
  </si>
  <si>
    <t>Воздуховод из оцинк. стали по ГОСТ 14918-80 S=0,7мм 700х400</t>
  </si>
  <si>
    <t>6,71 м²</t>
  </si>
  <si>
    <t>Воздуховод из оцинк. стали по ГОСТ 14918-80 S=0,7мм 800х300</t>
  </si>
  <si>
    <t>23,86 м²</t>
  </si>
  <si>
    <t>Воздуховод из оцинк. стали по ГОСТ 14918-80 S=0,7мм 800х400</t>
  </si>
  <si>
    <t>61,58 м²</t>
  </si>
  <si>
    <t>Воздуховод из оцинк. стали по ГОСТ 14918-80 S=0,7мм 800х500</t>
  </si>
  <si>
    <t>78,07 м²</t>
  </si>
  <si>
    <t>Воздуховод из оцинк. стали по ГОСТ 14918-80 S=0,7мм 850х700</t>
  </si>
  <si>
    <t>8,2 м²</t>
  </si>
  <si>
    <t>Воздуховод из оцинк. стали по ГОСТ 14918-80 S=0,7мм 900х500</t>
  </si>
  <si>
    <t>17,04 м²</t>
  </si>
  <si>
    <t>Воздуховод из оцинк. стали по ГОСТ 14918-80 S=0,7мм 1000х400</t>
  </si>
  <si>
    <t>78,51 м²</t>
  </si>
  <si>
    <t>Воздуховод из оцинк. стали по ГОСТ 14918-80 S=0,7мм 1000х500</t>
  </si>
  <si>
    <t>55,17 м²</t>
  </si>
  <si>
    <t>Воздуховод из оцинк. стали по ГОСТ 14918-80 S=0,7мм 1000х800</t>
  </si>
  <si>
    <t>80,94 м²</t>
  </si>
  <si>
    <t>Воздуховод из оцинк. стали по ГОСТ 14918-80 S=0,9мм 1050х800</t>
  </si>
  <si>
    <t>2,47 м²</t>
  </si>
  <si>
    <t>Воздуховод из оцинк. стали по ГОСТ 14918-80 S=0,9мм 1100х300</t>
  </si>
  <si>
    <t>551,01 м²</t>
  </si>
  <si>
    <t>Воздуховод из оцинк. стали по ГОСТ 14918-80 S=0,9мм 1100х600</t>
  </si>
  <si>
    <t>3,17 м²</t>
  </si>
  <si>
    <t>Воздуховод из оцинк. стали по ГОСТ 14918-80 S=0,9мм 1200х600</t>
  </si>
  <si>
    <t>77,13 м²</t>
  </si>
  <si>
    <t>Воздуховод из оцинк. стали по ГОСТ 14918-80 S=0,9мм 1200х800</t>
  </si>
  <si>
    <t>20,11 м²</t>
  </si>
  <si>
    <t>Воздуховод из оцинк. стали по ГОСТ 14918-80 S=0,9мм 1200х1000</t>
  </si>
  <si>
    <t>16,91 м²</t>
  </si>
  <si>
    <t>Воздуховод из оцинк. стали по ГОСТ 14918-80 S=0,9мм 1400х800</t>
  </si>
  <si>
    <t>519,67 м²</t>
  </si>
  <si>
    <t>Воздуховод гибкий Ø100</t>
  </si>
  <si>
    <t>ALUDUCT</t>
  </si>
  <si>
    <t>Воздуховод гибкий Ø125</t>
  </si>
  <si>
    <t>Воздуховод гибкий Ø160</t>
  </si>
  <si>
    <t>Воздуховод гибкий Ø200</t>
  </si>
  <si>
    <t>Воздуховод гибкий Ø250</t>
  </si>
  <si>
    <t>Врезка из оцинк. стали по ГОСТ 14918-80 S=0,55мм Ø100/Ø100</t>
  </si>
  <si>
    <t>1,247 м²</t>
  </si>
  <si>
    <t>Врезка из оцинк. стали по ГОСТ 14918-80 S=0,55мм Ø100/200х100</t>
  </si>
  <si>
    <t>1,139 м²</t>
  </si>
  <si>
    <t>Врезка из оцинк. стали по ГОСТ 14918-80 S=0,55мм Ø125/Ø100</t>
  </si>
  <si>
    <t>0,633 м²</t>
  </si>
  <si>
    <t>Врезка из оцинк. стали по ГОСТ 14918-80 S=0,55мм Ø125/Ø125</t>
  </si>
  <si>
    <t>0,588 м²</t>
  </si>
  <si>
    <t>Врезка из оцинк. стали по ГОСТ 14918-80 S=0,55мм Ø125/200х100</t>
  </si>
  <si>
    <t>0,345 м²</t>
  </si>
  <si>
    <t>Врезка из оцинк. стали по ГОСТ 14918-80 S=0,7мм Ø125/300х100</t>
  </si>
  <si>
    <t>0,115 м²</t>
  </si>
  <si>
    <t>Врезка из оцинк. стали по ГОСТ 14918-80 S=0,55мм Ø160/Ø100</t>
  </si>
  <si>
    <t>1,02 м²</t>
  </si>
  <si>
    <t>Врезка из оцинк. стали по ГОСТ 14918-80 S=0,55мм Ø160/Ø125</t>
  </si>
  <si>
    <t>2,115 м²</t>
  </si>
  <si>
    <t>Врезка из оцинк. стали по ГОСТ 14918-80 S=0,55мм Ø160/Ø160</t>
  </si>
  <si>
    <t>1,041 м²</t>
  </si>
  <si>
    <t>Врезка из оцинк. стали по ГОСТ 14918-80 S=0,7мм Ø160/300х100</t>
  </si>
  <si>
    <t>0,109 м²</t>
  </si>
  <si>
    <t>Врезка из оцинк. стали по ГОСТ 14918-80 S=0,7мм Ø160/300х150</t>
  </si>
  <si>
    <t>1,418 м²</t>
  </si>
  <si>
    <t>Врезка из оцинк. стали по ГОСТ 14918-80 S=0,55мм Ø200/Ø100</t>
  </si>
  <si>
    <t>0,451 м²</t>
  </si>
  <si>
    <t>Врезка из оцинк. стали по ГОСТ 14918-80 S=0,55мм Ø200/Ø125</t>
  </si>
  <si>
    <t>1,487 м²</t>
  </si>
  <si>
    <t>Врезка из оцинк. стали по ГОСТ 14918-80 S=0,55мм Ø200/Ø160</t>
  </si>
  <si>
    <t>2,509 м²</t>
  </si>
  <si>
    <t>Врезка из оцинк. стали по ГОСТ 14918-80 S=0,55мм Ø200/Ø200</t>
  </si>
  <si>
    <t>1,301 м²</t>
  </si>
  <si>
    <t>Врезка из оцинк. стали по ГОСТ 14918-80 S=0,7мм Ø200/300х100</t>
  </si>
  <si>
    <t>0,105 м²</t>
  </si>
  <si>
    <t>Врезка из оцинк. стали по ГОСТ 14918-80 S=0,7мм Ø200/300х150</t>
  </si>
  <si>
    <t>1,524 м²</t>
  </si>
  <si>
    <t>Врезка из оцинк. стали по ГОСТ 14918-80 S=0,7мм Ø200/400х200</t>
  </si>
  <si>
    <t>0,828 м²</t>
  </si>
  <si>
    <t>Врезка из оцинк. стали по ГОСТ 14918-80 S=0,55мм Ø250/Ø100</t>
  </si>
  <si>
    <t>0,08 м²</t>
  </si>
  <si>
    <t>Врезка из оцинк. стали по ГОСТ 14918-80 S=0,55мм Ø250/Ø125</t>
  </si>
  <si>
    <t>0,739 м²</t>
  </si>
  <si>
    <t>Врезка из оцинк. стали по ГОСТ 14918-80 S=0,55мм Ø250/Ø160</t>
  </si>
  <si>
    <t>2,833 м²</t>
  </si>
  <si>
    <t>Врезка из оцинк. стали по ГОСТ 14918-80 S=0,55мм Ø250/Ø200</t>
  </si>
  <si>
    <t>0,326 м²</t>
  </si>
  <si>
    <t>Врезка из оцинк. стали по ГОСТ 14918-80 S=0,7мм Ø250/Ø250</t>
  </si>
  <si>
    <t>2,439 м²</t>
  </si>
  <si>
    <t>Врезка из оцинк. стали по ГОСТ 14918-80 S=0,7мм Ø250/300х100</t>
  </si>
  <si>
    <t>0,102 м²</t>
  </si>
  <si>
    <t>Врезка из оцинк. стали по ГОСТ 14918-80 S=0,7мм Ø250/300х150</t>
  </si>
  <si>
    <t>0,518 м²</t>
  </si>
  <si>
    <t>Врезка из оцинк. стали по ГОСТ 14918-80 S=0,7мм Ø250/300х200</t>
  </si>
  <si>
    <t>0,69 м²</t>
  </si>
  <si>
    <t>Врезка из оцинк. стали по ГОСТ 14918-80 S=0,7мм Ø250/400х200</t>
  </si>
  <si>
    <t>0,207 м²</t>
  </si>
  <si>
    <t>Врезка из оцинк. стали по ГОСТ 14918-80 S=0,7мм Ø250/500х200</t>
  </si>
  <si>
    <t>0,483 м²</t>
  </si>
  <si>
    <t>Врезка из оцинк. стали по ГОСТ 14918-80 S=0,55мм Ø315/Ø160</t>
  </si>
  <si>
    <t>0,212 м²</t>
  </si>
  <si>
    <t>Врезка из оцинк. стали по ГОСТ 14918-80 S=0,55мм Ø315/Ø200</t>
  </si>
  <si>
    <t>0,197 м²</t>
  </si>
  <si>
    <t>Врезка из оцинк. стали по ГОСТ 14918-80 S=0,7мм Ø315/Ø250</t>
  </si>
  <si>
    <t>0,585 м²</t>
  </si>
  <si>
    <t>Врезка из оцинк. стали по ГОСТ 14918-80 S=0,7мм Ø315/300х200</t>
  </si>
  <si>
    <t>0,469 м²</t>
  </si>
  <si>
    <t>Врезка из оцинк. стали по ГОСТ 14918-80 S=0,7мм Ø315/400х300</t>
  </si>
  <si>
    <t>0,338 м²</t>
  </si>
  <si>
    <t>Врезка из оцинк. стали по ГОСТ 14918-80 S=0,7мм Ø315/500х200</t>
  </si>
  <si>
    <t>0,438 м²</t>
  </si>
  <si>
    <t>Врезка из оцинк. стали по ГОСТ 14918-80 S=0,7мм Ø315/700х300</t>
  </si>
  <si>
    <t>0,964 м²</t>
  </si>
  <si>
    <t>Врезка из оцинк. стали по ГОСТ 14918-80 S=0,7мм Ø400/Ø315</t>
  </si>
  <si>
    <t>0,805 м²</t>
  </si>
  <si>
    <t>Врезка из оцинк. стали по ГОСТ 14918-80 S=0,7мм Ø400/Ø400</t>
  </si>
  <si>
    <t>0,434 м²</t>
  </si>
  <si>
    <t>Врезка из оцинк. стали по ГОСТ 14918-80 S=0,7мм Ø400/500х200</t>
  </si>
  <si>
    <t>0,205 м²</t>
  </si>
  <si>
    <t>Врезка из оцинк. стали по ГОСТ 14918-80 S=0,7мм Ø500/Ø315</t>
  </si>
  <si>
    <t>0,71 м²</t>
  </si>
  <si>
    <t>Врезка из оцинк. стали по ГОСТ 14918-80 S=0,7мм Ø500/500х200</t>
  </si>
  <si>
    <t>0,39 м²</t>
  </si>
  <si>
    <t>Врезка из оцинк. стали по ГОСТ 14918-80 S=0,7мм Ø500/700х300</t>
  </si>
  <si>
    <t>Врезка из оцинк. стали по ГОСТ 14918-80 S=0,7мм Ø630/Ø250</t>
  </si>
  <si>
    <t>0,796 м²</t>
  </si>
  <si>
    <t>Врезка из оцинк. стали по ГОСТ 14918-80 S=0,7мм Ø630/Ø315</t>
  </si>
  <si>
    <t>0,324 м²</t>
  </si>
  <si>
    <t>Врезка из оцинк. стали по ГОСТ 14918-80 S=0,7мм Ø630/Ø630</t>
  </si>
  <si>
    <t>2,834 м²</t>
  </si>
  <si>
    <t>Врезка из оцинк. стали по ГОСТ 14918-80 S=0,7мм Ø630/700х300</t>
  </si>
  <si>
    <t>1,27 м²</t>
  </si>
  <si>
    <t>Врезка из оцинк. стали по ГОСТ 14918-80 S=0,7мм Ø710/700х300</t>
  </si>
  <si>
    <t>0,613 м²</t>
  </si>
  <si>
    <t>Врезка из оцинк. стали по ГОСТ 14918-80 S=0,7мм Ø800/Ø630</t>
  </si>
  <si>
    <t>0,577 м²</t>
  </si>
  <si>
    <t>Врезка из оцинк. стали по ГОСТ 14918-80 S=0,7мм Ø800/1000х800</t>
  </si>
  <si>
    <t>2,07 м²</t>
  </si>
  <si>
    <t>Врезка из оцинк. стали по ГОСТ 14918-80 S=0,7мм Ø900/700х300</t>
  </si>
  <si>
    <t>0,29 м²</t>
  </si>
  <si>
    <t>Врезка из оцинк. стали по ГОСТ 14918-80 S=0,7мм Ø900/Ø900</t>
  </si>
  <si>
    <t>1,789 м²</t>
  </si>
  <si>
    <t>Врезка из оцинк. стали по ГОСТ 14918-80 S=0,55мм Ø100</t>
  </si>
  <si>
    <t>0,073 м²</t>
  </si>
  <si>
    <t>Врезка из оцинк. стали по ГОСТ 14918-80 S=0,55мм Ø125</t>
  </si>
  <si>
    <t>0,271 м²</t>
  </si>
  <si>
    <t>Врезка из оцинк. стали по ГОСТ 14918-80 S=0,55мм Ø160</t>
  </si>
  <si>
    <t>Врезка из оцинк. стали по ГОСТ 14918-80 S=0,55мм Ø200</t>
  </si>
  <si>
    <t>1,229 м²</t>
  </si>
  <si>
    <t>Врезка из оцинк. стали по ГОСТ 14918-80 S=0,7мм Ø250</t>
  </si>
  <si>
    <t>2,981 м²</t>
  </si>
  <si>
    <t>Врезка из оцинк. стали по ГОСТ 14918-80 S=0,7мм 300х150</t>
  </si>
  <si>
    <t>0,414 м²</t>
  </si>
  <si>
    <t>Врезка из оцинк. стали по ГОСТ 14918-80 S=0,7мм 300х200</t>
  </si>
  <si>
    <t>0,92 м²</t>
  </si>
  <si>
    <t>Врезка из оцинк. стали по ГОСТ 14918-80 S=0,7мм 300х250</t>
  </si>
  <si>
    <t>1,012 м²</t>
  </si>
  <si>
    <t>Врезка из оцинк. стали по ГОСТ 14918-80 S=0,7мм Ø315</t>
  </si>
  <si>
    <t>0,114 м²</t>
  </si>
  <si>
    <t>Врезка из оцинк. стали по ГОСТ 14918-80 S=0,7мм 400х200</t>
  </si>
  <si>
    <t>1,38 м²</t>
  </si>
  <si>
    <t>Врезка из оцинк. стали по ГОСТ 14918-80 S=0,7мм 400х250</t>
  </si>
  <si>
    <t>0,598 м²</t>
  </si>
  <si>
    <t>Врезка из оцинк. стали по ГОСТ 14918-80 S=0,7мм 400х300</t>
  </si>
  <si>
    <t>Врезка из оцинк. стали по ГОСТ 14918-80 S=0,7мм 500х250</t>
  </si>
  <si>
    <t>Врезка из оцинк. стали по ГОСТ 14918-80 S=0,7мм 500х300</t>
  </si>
  <si>
    <t>0,552 м²</t>
  </si>
  <si>
    <t>Врезка из оцинк. стали по ГОСТ 14918-80 S=0,7мм 600х300</t>
  </si>
  <si>
    <t>2,898 м²</t>
  </si>
  <si>
    <t>Врезка из оцинк. стали по ГОСТ 14918-80 S=0,7мм 600х500</t>
  </si>
  <si>
    <t>0,253 м²</t>
  </si>
  <si>
    <t>Врезка из оцинк. стали по ГОСТ 14918-80 S=0,7мм 700х300</t>
  </si>
  <si>
    <t>2,3 м²</t>
  </si>
  <si>
    <t>Врезка из оцинк. стали по ГОСТ 14918-80 S=0,7мм 800х300</t>
  </si>
  <si>
    <t>5,06 м²</t>
  </si>
  <si>
    <t>Врезка из оцинк. стали по ГОСТ 14918-80 S=0,7мм 800х400</t>
  </si>
  <si>
    <t>Врезка из оцинк. стали по ГОСТ 14918-80 S=0,7мм 800х500</t>
  </si>
  <si>
    <t>0,299 м²</t>
  </si>
  <si>
    <t>Заглушка из оцинк. стали по ГОСТ 14918-80 S=0,55мм Ø100</t>
  </si>
  <si>
    <t>0,1 м²</t>
  </si>
  <si>
    <t>Заглушка из оцинк. стали по ГОСТ 14918-80 S=0,55мм Ø125</t>
  </si>
  <si>
    <t>0,071 м²</t>
  </si>
  <si>
    <t>Заглушка из оцинк. стали по ГОСТ 14918-80 S=0,55мм Ø160</t>
  </si>
  <si>
    <t>0,209 м²</t>
  </si>
  <si>
    <t>Заглушка из оцинк. стали по ГОСТ 14918-80 S=0,55мм Ø200</t>
  </si>
  <si>
    <t>Заглушка из оцинк. стали по ГОСТ 14918-80 S=0,7мм Ø250</t>
  </si>
  <si>
    <t>0,396 м²</t>
  </si>
  <si>
    <t>Заглушка из оцинк. стали по ГОСТ 14918-80 S=0,7мм Ø315</t>
  </si>
  <si>
    <t>0,269 м²</t>
  </si>
  <si>
    <t>Заглушка из оцинк. стали по ГОСТ 14918-80 S=0,7мм 300х250</t>
  </si>
  <si>
    <t>0,432 м²</t>
  </si>
  <si>
    <t>Заглушка из оцинк. стали по ГОСТ 14918-80 S=0,7мм 400х250</t>
  </si>
  <si>
    <t>0,23 м²</t>
  </si>
  <si>
    <t>Заглушка из оцинк. стали по ГОСТ 14918-80 S=0,7мм 500х300</t>
  </si>
  <si>
    <t>Заглушка из оцинк. стали по ГОСТ 14918-80 S=0,7мм 600х400</t>
  </si>
  <si>
    <t>Заглушка из оцинк. стали по ГОСТ 14918-80 S=0,7мм 600х500</t>
  </si>
  <si>
    <t>Заглушка из оцинк. стали по ГОСТ 14918-80 S=0,7мм 800х500</t>
  </si>
  <si>
    <t>0,46 м²</t>
  </si>
  <si>
    <t>Отвод-05° из оцинк. стали по ГОСТ 14918-80 S=0,55мм Ø100</t>
  </si>
  <si>
    <t>0,04 м²</t>
  </si>
  <si>
    <t>Отвод-05° из оцинк. стали по ГОСТ 14918-80 S=0,55мм Ø160</t>
  </si>
  <si>
    <t>0,066 м²</t>
  </si>
  <si>
    <t>Отвод-10° из оцинк. стали по ГОСТ 14918-80 S=0,55мм Ø100</t>
  </si>
  <si>
    <t>0,043 м²</t>
  </si>
  <si>
    <t>Отвод-15° из оцинк. стали по ГОСТ 14918-80 S=0,55мм Ø160</t>
  </si>
  <si>
    <t>0,165 м²</t>
  </si>
  <si>
    <t>Отвод-15° из оцинк. стали по ГОСТ 14918-80 S=0,55мм Ø200</t>
  </si>
  <si>
    <t>0,221 м²</t>
  </si>
  <si>
    <t>Отвод-15° из оцинк. стали по ГОСТ 14918-80 S=0,7мм 1000х500</t>
  </si>
  <si>
    <t>1,599 м²</t>
  </si>
  <si>
    <t>Отвод-25° из оцинк. стали по ГОСТ 14918-80 S=0,7мм Ø250</t>
  </si>
  <si>
    <t>0,189 м²</t>
  </si>
  <si>
    <t>Отвод-30° из оцинк. стали по ГОСТ 14918-80 S=0,55мм Ø200</t>
  </si>
  <si>
    <t>0,296 м²</t>
  </si>
  <si>
    <t>Отвод-30° из оцинк. стали по ГОСТ 14918-80 S=0,7мм 1000х800</t>
  </si>
  <si>
    <t>3,047 м²</t>
  </si>
  <si>
    <t>Отвод-30° из оцинк. стали по ГОСТ 14918-80 S=0,55мм Ø125</t>
  </si>
  <si>
    <t>0,15 м²</t>
  </si>
  <si>
    <t>Отвод-30° из оцинк. стали по ГОСТ 14918-80 S=0,7мм Ø250</t>
  </si>
  <si>
    <t>1,46 м²</t>
  </si>
  <si>
    <t>Отвод-30° из оцинк. стали по ГОСТ 14918-80 S=0,7мм Ø315</t>
  </si>
  <si>
    <t>1,207 м²</t>
  </si>
  <si>
    <t>Отвод-30° из оцинк. стали по ГОСТ 14918-80 S=0,7мм Ø630</t>
  </si>
  <si>
    <t>2,936 м²</t>
  </si>
  <si>
    <t>Отвод-30° из оцинк. стали по ГОСТ 14918-80 S=0,7мм 250х500</t>
  </si>
  <si>
    <t>Отвод-30° из оцинк. стали по ГОСТ 14918-80 S=0,7мм 300х250</t>
  </si>
  <si>
    <t>0,229 м²</t>
  </si>
  <si>
    <t>Отвод-30° из оцинк. стали по ГОСТ 14918-80 S=0,7мм 300х400</t>
  </si>
  <si>
    <t>0,581 м²</t>
  </si>
  <si>
    <t>Отвод-30° из оцинк. стали по ГОСТ 14918-80 S=0,7мм 400х200</t>
  </si>
  <si>
    <t>0,286 м²</t>
  </si>
  <si>
    <t>Отвод-30° из оцинк. стали по ГОСТ 14918-80 S=0,7мм 500х250</t>
  </si>
  <si>
    <t>0,808 м²</t>
  </si>
  <si>
    <t>Отвод-30° из оцинк. стали по ГОСТ 14918-80 S=0,7мм 600х300</t>
  </si>
  <si>
    <t>4,319 м²</t>
  </si>
  <si>
    <t>Отвод-30° из оцинк. стали по ГОСТ 14918-80 S=0,7мм 800х500</t>
  </si>
  <si>
    <t>1,88 м²</t>
  </si>
  <si>
    <t>Отвод-30° из оцинк. стали по ГОСТ 14918-80 S=0,7мм 1000х500</t>
  </si>
  <si>
    <t>2,539 м²</t>
  </si>
  <si>
    <t>Отвод-30° из оцинк. стали по ГОСТ 14918-80 S=0,9мм 1200х800</t>
  </si>
  <si>
    <t>3,879 м²</t>
  </si>
  <si>
    <t>Отвод-30° из оцинк. стали по ГОСТ 14918-80 S=0,9мм 1400х800</t>
  </si>
  <si>
    <t>9,617 м²</t>
  </si>
  <si>
    <t>Отвод-45° из оцинк. стали по ГОСТ 14918-80 S=0,55мм Ø100</t>
  </si>
  <si>
    <t>0,517 м²</t>
  </si>
  <si>
    <t>Отвод-45° из оцинк. стали по ГОСТ 14918-80 S=0,55мм Ø125</t>
  </si>
  <si>
    <t>0,537 м²</t>
  </si>
  <si>
    <t>Отвод-45° из оцинк. стали по ГОСТ 14918-80 S=0,55мм Ø160</t>
  </si>
  <si>
    <t>0,522 м²</t>
  </si>
  <si>
    <t>Отвод-45° из оцинк. стали по ГОСТ 14918-80 S=0,55мм Ø200</t>
  </si>
  <si>
    <t>0,372 м²</t>
  </si>
  <si>
    <t>Отвод-45° из оцинк. стали по ГОСТ 14918-80 S=0,7мм Ø250</t>
  </si>
  <si>
    <t>2,945 м²</t>
  </si>
  <si>
    <t>0,268 м²</t>
  </si>
  <si>
    <t>Отвод-45° из оцинк. стали по ГОСТ 14918-80 S=0,7мм Ø630</t>
  </si>
  <si>
    <t>5,416 м²</t>
  </si>
  <si>
    <t>Отвод-45° из оцинк. стали по ГОСТ 14918-80 S=0,7мм Ø900</t>
  </si>
  <si>
    <t>10,495 м²</t>
  </si>
  <si>
    <t>Отвод-45° из оцинк. стали по ГОСТ 14918-80 S=0,7мм 250х300</t>
  </si>
  <si>
    <t>1,545 м²</t>
  </si>
  <si>
    <t>Отвод-45° из оцинк. стали по ГОСТ 14918-80 S=0,7мм 250х400</t>
  </si>
  <si>
    <t>0,609 м²</t>
  </si>
  <si>
    <t>Отвод-45° из оцинк. стали по ГОСТ 14918-80 S=0,7мм 400х250</t>
  </si>
  <si>
    <t>0,398 м²</t>
  </si>
  <si>
    <t>Отвод-45° из оцинк. стали по ГОСТ 14918-80 S=0,7мм 400х300</t>
  </si>
  <si>
    <t>0,428 м²</t>
  </si>
  <si>
    <t>Отвод-45° из оцинк. стали по ГОСТ 14918-80 S=0,7мм 600х300</t>
  </si>
  <si>
    <t>2,886 м²</t>
  </si>
  <si>
    <t>Отвод-45° из оцинк. стали по ГОСТ 14918-80 S=0,7мм 1000х800</t>
  </si>
  <si>
    <t>4,258 м²</t>
  </si>
  <si>
    <t>Отвод-60° из оцинк. стали по ГОСТ 14918-80 S=0,55мм Ø200</t>
  </si>
  <si>
    <t>0,448 м²</t>
  </si>
  <si>
    <t>Отвод-60° из оцинк. стали по ГОСТ 14918-80 S=0,55мм Ø100</t>
  </si>
  <si>
    <t>0,592 м²</t>
  </si>
  <si>
    <t>Отвод-60° из оцинк. стали по ГОСТ 14918-80 S=0,55мм Ø125</t>
  </si>
  <si>
    <t>Отвод-60° из оцинк. стали по ГОСТ 14918-80 S=0,55мм Ø160</t>
  </si>
  <si>
    <t>0,31 м²</t>
  </si>
  <si>
    <t>Отвод-60° из оцинк. стали по ГОСТ 14918-80 S=0,7мм Ø250</t>
  </si>
  <si>
    <t>0,654 м²</t>
  </si>
  <si>
    <t>Отвод-60° из оцинк. стали по ГОСТ 14918-80 S=0,7мм Ø630</t>
  </si>
  <si>
    <t>3,459 м²</t>
  </si>
  <si>
    <t>Отвод-60° из оцинк. стали по ГОСТ 14918-80 S=0,7мм 250х500</t>
  </si>
  <si>
    <t>0,843 м²</t>
  </si>
  <si>
    <t>Отвод-60° из оцинк. стали по ГОСТ 14918-80 S=0,7мм 300х250</t>
  </si>
  <si>
    <t>1,729 м²</t>
  </si>
  <si>
    <t>Отвод-60° из оцинк. стали по ГОСТ 14918-80 S=0,7мм 300х600</t>
  </si>
  <si>
    <t>2,263 м²</t>
  </si>
  <si>
    <t>Отвод-60° из оцинк. стали по ГОСТ 14918-80 S=0,7мм 400х200</t>
  </si>
  <si>
    <t>1,371 м²</t>
  </si>
  <si>
    <t>Отвод-60° из оцинк. стали по ГОСТ 14918-80 S=0,7мм 400х250</t>
  </si>
  <si>
    <t>1,98 м²</t>
  </si>
  <si>
    <t>Отвод-60° из оцинк. стали по ГОСТ 14918-80 S=0,7мм 800х500</t>
  </si>
  <si>
    <t>3,361 м²</t>
  </si>
  <si>
    <t>Отвод-60° из оцинк. стали по ГОСТ 14918-80 S=0,9мм 1100х300</t>
  </si>
  <si>
    <t>4,734 м²</t>
  </si>
  <si>
    <t>Отвод-60° из оцинк. стали по ГОСТ 14918-80 S=0,9мм 1400х800</t>
  </si>
  <si>
    <t>9,192 м²</t>
  </si>
  <si>
    <t>Отвод-80° из оцинк. стали по ГОСТ 14918-80 S=0,55мм Ø100</t>
  </si>
  <si>
    <t>0,087 м²</t>
  </si>
  <si>
    <t>Отвод-83° из оцинк. стали по ГОСТ 14918-80 S=0,55мм Ø200</t>
  </si>
  <si>
    <t>0,282 м²</t>
  </si>
  <si>
    <t>Отвод-90° из оцинк. стали по ГОСТ 14918-80 S=0,55мм Ø100</t>
  </si>
  <si>
    <t>11,053 м²</t>
  </si>
  <si>
    <t>Отвод-90° из оцинк. стали по ГОСТ 14918-80 S=0,55мм Ø125</t>
  </si>
  <si>
    <t>12,848 м²</t>
  </si>
  <si>
    <t>Отвод-90° из оцинк. стали по ГОСТ 14918-80 S=0,55мм Ø200</t>
  </si>
  <si>
    <t>15,861 м²</t>
  </si>
  <si>
    <t>Отвод-90° из оцинк. стали по ГОСТ 14918-80 S=0,7мм 500х1000</t>
  </si>
  <si>
    <t>18,63 м²</t>
  </si>
  <si>
    <t>Отвод-90° из оцинк. стали по ГОСТ 14918-80 S=0,7мм 1000х500</t>
  </si>
  <si>
    <t>18,975 м²</t>
  </si>
  <si>
    <t>0,536 м²</t>
  </si>
  <si>
    <t>Отвод-90° из оцинк. стали по ГОСТ 14918-80 S=0,55мм Ø160</t>
  </si>
  <si>
    <t>17,872 м²</t>
  </si>
  <si>
    <t>0,407 м²</t>
  </si>
  <si>
    <t>0,3 м²</t>
  </si>
  <si>
    <t>Отвод-90° из оцинк. стали по ГОСТ 14918-80 S=0,7мм Ø250</t>
  </si>
  <si>
    <t>30,261 м²</t>
  </si>
  <si>
    <t>3,116 м²</t>
  </si>
  <si>
    <t>Отвод-90° из оцинк. стали по ГОСТ 14918-80 S=0,7мм Ø315</t>
  </si>
  <si>
    <t>9,477 м²</t>
  </si>
  <si>
    <t>2,031 м²</t>
  </si>
  <si>
    <t>Отвод-90° из оцинк. стали по ГОСТ 14918-80 S=0,55мм 200х250</t>
  </si>
  <si>
    <t>0,311 м²</t>
  </si>
  <si>
    <t>Отвод-90° из оцинк. стали по ГОСТ 14918-80 S=0,7мм 200х400</t>
  </si>
  <si>
    <t>1,656 м²</t>
  </si>
  <si>
    <t>Отвод-90° из оцинк. стали по ГОСТ 14918-80 S=0,7мм 250х300</t>
  </si>
  <si>
    <t>3,1 м²</t>
  </si>
  <si>
    <t>Отвод-90° из оцинк. стали по ГОСТ 14918-80 S=0,7мм 250х400</t>
  </si>
  <si>
    <t>6,803 м²</t>
  </si>
  <si>
    <t>Отвод-90° из оцинк. стали по ГОСТ 14918-80 S=0,7мм 250х500</t>
  </si>
  <si>
    <t>3,623 м²</t>
  </si>
  <si>
    <t>Отвод-90° из оцинк. стали по ГОСТ 14918-80 S=0,7мм 300х200</t>
  </si>
  <si>
    <t>Отвод-90° из оцинк. стали по ГОСТ 14918-80 S=0,7мм 300х250</t>
  </si>
  <si>
    <t>4,554 м²</t>
  </si>
  <si>
    <t>Отвод-90° из оцинк. стали по ГОСТ 14918-80 S=0,7мм 300х400</t>
  </si>
  <si>
    <t>1,932 м²</t>
  </si>
  <si>
    <t>Отвод-90° из оцинк. стали по ГОСТ 14918-80 S=0,7мм 300х500</t>
  </si>
  <si>
    <t>2,944 м²</t>
  </si>
  <si>
    <t>Отвод-90° из оцинк. стали по ГОСТ 14918-80 S=0,7мм 300х600</t>
  </si>
  <si>
    <t>15,732 м²</t>
  </si>
  <si>
    <t>Отвод-90° из оцинк. стали по ГОСТ 14918-80 S=0,9мм 300х1100</t>
  </si>
  <si>
    <t>10,304 м²</t>
  </si>
  <si>
    <t>Отвод-90° из оцинк. стали по ГОСТ 14918-80 S=0,7мм 400х200</t>
  </si>
  <si>
    <t>Отвод-90° из оцинк. стали по ГОСТ 14918-80 S=0,7мм 400х250</t>
  </si>
  <si>
    <t>Отвод-90° из оцинк. стали по ГОСТ 14918-80 S=0,7мм 400х300</t>
  </si>
  <si>
    <t>4,83 м²</t>
  </si>
  <si>
    <t>Отвод-90° из оцинк. стали по ГОСТ 14918-80 S=0,7мм 400х400</t>
  </si>
  <si>
    <t>3,68 м²</t>
  </si>
  <si>
    <t>Отвод-90° из оцинк. стали по ГОСТ 14918-80 S=0,7мм 400х500</t>
  </si>
  <si>
    <t>3,105 м²</t>
  </si>
  <si>
    <t>Отвод-90° из оцинк. стали по ГОСТ 14918-80 S=0,7мм 400х600</t>
  </si>
  <si>
    <t>1,15 м²</t>
  </si>
  <si>
    <t>Отвод-90° из оцинк. стали по ГОСТ 14918-80 S=0,7мм 400х800</t>
  </si>
  <si>
    <t>6,9 м²</t>
  </si>
  <si>
    <t>Отвод-90° из оцинк. стали по ГОСТ 14918-80 S=0,7мм 400х1000</t>
  </si>
  <si>
    <t>1,61 м²</t>
  </si>
  <si>
    <t>Отвод-90° из оцинк. стали по ГОСТ 14918-80 S=0,7мм 500х250</t>
  </si>
  <si>
    <t>5,175 м²</t>
  </si>
  <si>
    <t>Отвод-90° из оцинк. стали по ГОСТ 14918-80 S=0,7мм 500х300</t>
  </si>
  <si>
    <t>8,832 м²</t>
  </si>
  <si>
    <t>Отвод-90° из оцинк. стали по ГОСТ 14918-80 S=0,7мм 500х400</t>
  </si>
  <si>
    <t>7,452 м²</t>
  </si>
  <si>
    <t>Отвод-90° из оцинк. стали по ГОСТ 14918-80 S=0,7мм 500х800</t>
  </si>
  <si>
    <t>3,588 м²</t>
  </si>
  <si>
    <t>Отвод-90° из оцинк. стали по ГОСТ 14918-80 S=0,7мм 500х900</t>
  </si>
  <si>
    <t>Отвод-90° из оцинк. стали по ГОСТ 14918-80 S=0,7мм 600х300</t>
  </si>
  <si>
    <t>27,531 м²</t>
  </si>
  <si>
    <t>Отвод-90° из оцинк. стали по ГОСТ 14918-80 S=0,7мм 600х400</t>
  </si>
  <si>
    <t>6,44 м²</t>
  </si>
  <si>
    <t>Отвод-90° из оцинк. стали по ГОСТ 14918-80 S=0,7мм 600х500</t>
  </si>
  <si>
    <t>1,771 м²</t>
  </si>
  <si>
    <t>Отвод-90° из оцинк. стали по ГОСТ 14918-80 S=0,7мм 800х400</t>
  </si>
  <si>
    <t>2,484 м²</t>
  </si>
  <si>
    <t>Отвод-90° из оцинк. стали по ГОСТ 14918-80 S=0,7мм 800х500</t>
  </si>
  <si>
    <t>5,382 м²</t>
  </si>
  <si>
    <t>Отвод-90° из оцинк. стали по ГОСТ 14918-80 S=0,7мм 800х1000</t>
  </si>
  <si>
    <t>26,082 м²</t>
  </si>
  <si>
    <t>Отвод-90° из оцинк. стали по ГОСТ 14918-80 S=0,9мм 800х1200</t>
  </si>
  <si>
    <t>16,56 м²</t>
  </si>
  <si>
    <t>Отвод-90° из оцинк. стали по ГОСТ 14918-80 S=0,9мм 800х1400</t>
  </si>
  <si>
    <t>9,108 м²</t>
  </si>
  <si>
    <t>Отвод-90° из оцинк. стали по ГОСТ 14918-80 S=0,7мм 900х500</t>
  </si>
  <si>
    <t>9,66 м²</t>
  </si>
  <si>
    <t>Отвод-90° из оцинк. стали по ГОСТ 14918-80 S=0,7мм 1000х400</t>
  </si>
  <si>
    <t>7,084 м²</t>
  </si>
  <si>
    <t>Отвод-90° из оцинк. стали по ГОСТ 14918-80 S=0,9мм 1000х1200</t>
  </si>
  <si>
    <t>11,132 м²</t>
  </si>
  <si>
    <t>Отвод-90° из оцинк. стали по ГОСТ 14918-80 S=0,9мм 1100х300</t>
  </si>
  <si>
    <t>54,096 м²</t>
  </si>
  <si>
    <t>Отвод-90° из оцинк. стали по ГОСТ 14918-80 S=0,9мм 1200х1000</t>
  </si>
  <si>
    <t>13,156 м²</t>
  </si>
  <si>
    <t>Отвод-90° из оцинк. стали по ГОСТ 14918-80 S=0,9мм 1400х800</t>
  </si>
  <si>
    <t>15,18 м²</t>
  </si>
  <si>
    <t>Переход из оцинк. стали по ГОСТ 14918-80 S=0,55мм Ø125/Ø100</t>
  </si>
  <si>
    <t>4,736 м²</t>
  </si>
  <si>
    <t>Переход из оцинк. стали по ГОСТ 14918-80 S=0,55мм Ø160/Ø100</t>
  </si>
  <si>
    <t>0,803 м²</t>
  </si>
  <si>
    <t>Переход из оцинк. стали по ГОСТ 14918-80 S=0,55мм Ø160/Ø125</t>
  </si>
  <si>
    <t>9,056 м²</t>
  </si>
  <si>
    <t>Переход из оцинк. стали по ГОСТ 14918-80 S=0,55мм Ø200/Ø100</t>
  </si>
  <si>
    <t>1,758 м²</t>
  </si>
  <si>
    <t>Переход из оцинк. стали по ГОСТ 14918-80 S=0,55мм Ø200/Ø125</t>
  </si>
  <si>
    <t>1,708 м²</t>
  </si>
  <si>
    <t>Переход из оцинк. стали по ГОСТ 14918-80 S=0,55мм Ø200/Ø160</t>
  </si>
  <si>
    <t>12,681 м²</t>
  </si>
  <si>
    <t>Переход из оцинк. стали по ГОСТ 14918-80 S=0,7мм Ø250/Ø125</t>
  </si>
  <si>
    <t>0,128 м²</t>
  </si>
  <si>
    <t>Переход из оцинк. стали по ГОСТ 14918-80 S=0,7мм Ø250/Ø160</t>
  </si>
  <si>
    <t>0,122 м²</t>
  </si>
  <si>
    <t>0,728 м²</t>
  </si>
  <si>
    <t>Переход из оцинк. стали по ГОСТ 14918-80 S=0,7мм Ø250/Ø200</t>
  </si>
  <si>
    <t>4,512 м²</t>
  </si>
  <si>
    <t>Переход из оцинк. стали по ГОСТ 14918-80 S=0,7мм Ø315/Ø200</t>
  </si>
  <si>
    <t>Переход из оцинк. стали по ГОСТ 14918-80 S=0,7мм Ø315/Ø250</t>
  </si>
  <si>
    <t>4,023 м²</t>
  </si>
  <si>
    <t>Переход из оцинк. стали по ГОСТ 14918-80 S=0,7мм Ø400/Ø250</t>
  </si>
  <si>
    <t>0,242 м²</t>
  </si>
  <si>
    <t>Переход из оцинк. стали по ГОСТ 14918-80 S=0,7мм Ø400/Ø315</t>
  </si>
  <si>
    <t>1,241 м²</t>
  </si>
  <si>
    <t>Переход из оцинк. стали по ГОСТ 14918-80 S=0,7мм Ø500/Ø315</t>
  </si>
  <si>
    <t>Переход из оцинк. стали по ГОСТ 14918-80 S=0,7мм Ø500/Ø400</t>
  </si>
  <si>
    <t>0,833 м²</t>
  </si>
  <si>
    <t>Переход из оцинк. стали по ГОСТ 14918-80 S=0,7мм Ø630/Ø250</t>
  </si>
  <si>
    <t>1,173 м²</t>
  </si>
  <si>
    <t>Переход из оцинк. стали по ГОСТ 14918-80 S=0,7мм Ø630/Ø315</t>
  </si>
  <si>
    <t>1,102 м²</t>
  </si>
  <si>
    <t>Переход из оцинк. стали по ГОСТ 14918-80 S=0,7мм Ø630/Ø400</t>
  </si>
  <si>
    <t>0,489 м²</t>
  </si>
  <si>
    <t>Переход из оцинк. стали по ГОСТ 14918-80 S=0,7мм Ø630/Ø500</t>
  </si>
  <si>
    <t>1,568 м²</t>
  </si>
  <si>
    <t>Переход из оцинк. стали по ГОСТ 14918-80 S=0,7мм Ø710/Ø630</t>
  </si>
  <si>
    <t>0,379 м²</t>
  </si>
  <si>
    <t>Переход из оцинк. стали по ГОСТ 14918-80 S=0,7мм Ø800/Ø400</t>
  </si>
  <si>
    <t>0,83 м²</t>
  </si>
  <si>
    <t>Переход из оцинк. стали по ГОСТ 14918-80 S=0,7мм Ø800/Ø630</t>
  </si>
  <si>
    <t>0,569 м²</t>
  </si>
  <si>
    <t>Переход из оцинк. стали по ГОСТ 14918-80 S=0,7мм Ø900/Ø630</t>
  </si>
  <si>
    <t>Переход из оцинк. стали по ГОСТ 14918-80 S=0,7мм Ø900/Ø710</t>
  </si>
  <si>
    <t>0,682 м²</t>
  </si>
  <si>
    <t>Переход из оцинк. стали по ГОСТ 14918-80 S=0,7мм Ø1000/Ø900</t>
  </si>
  <si>
    <t>1,172 м²</t>
  </si>
  <si>
    <t>Переход из оцинк. стали по ГОСТ 14918-80 S=0,7мм 300х200/Ø200</t>
  </si>
  <si>
    <t>Переход из оцинк. стали по ГОСТ 14918-80 S=0,7мм 300х250/Ø200</t>
  </si>
  <si>
    <t>0,405 м²</t>
  </si>
  <si>
    <t>Переход из оцинк. стали по ГОСТ 14918-80 S=0,7мм Ø250/300х250</t>
  </si>
  <si>
    <t>4,906 м²</t>
  </si>
  <si>
    <t>Переход из оцинк. стали по ГОСТ 14918-80 S=0,7мм 300х250/250х300</t>
  </si>
  <si>
    <t>0,457 м²</t>
  </si>
  <si>
    <t>Переход из оцинк. стали по ГОСТ 14918-80 S=0,7мм Ø315/250х200</t>
  </si>
  <si>
    <t>0,466 м²</t>
  </si>
  <si>
    <t>Переход из оцинк. стали по ГОСТ 14918-80 S=0,7мм Ø315/300х250</t>
  </si>
  <si>
    <t>0,504 м²</t>
  </si>
  <si>
    <t>Переход из оцинк. стали по ГОСТ 14918-80 S=0,7мм 300х200/400х200</t>
  </si>
  <si>
    <t>0,458 м²</t>
  </si>
  <si>
    <t>Переход из оцинк. стали по ГОСТ 14918-80 S=0,7мм Ø315/400х200</t>
  </si>
  <si>
    <t>0,529 м²</t>
  </si>
  <si>
    <t>Переход из оцинк. стали по ГОСТ 14918-80 S=0,7мм Ø250/400х250</t>
  </si>
  <si>
    <t>6,397 м²</t>
  </si>
  <si>
    <t>Переход из оцинк. стали по ГОСТ 14918-80 S=0,7мм 300х250/400х250</t>
  </si>
  <si>
    <t>0,999 м²</t>
  </si>
  <si>
    <t>Переход из оцинк. стали по ГОСТ 14918-80 S=0,7мм 400х300/Ø250</t>
  </si>
  <si>
    <t>1,029 м²</t>
  </si>
  <si>
    <t>Переход из оцинк. стали по ГОСТ 14918-80 S=0,7мм 400х300/300х250</t>
  </si>
  <si>
    <t>0,521 м²</t>
  </si>
  <si>
    <t>Переход из оцинк. стали по ГОСТ 14918-80 S=0,7мм 400х400/400х300</t>
  </si>
  <si>
    <t>0,625 м²</t>
  </si>
  <si>
    <t>Переход из оцинк. стали по ГОСТ 14918-80 S=0,7мм 400х400/Ø315</t>
  </si>
  <si>
    <t>1,221 м²</t>
  </si>
  <si>
    <t>Переход из оцинк. стали по ГОСТ 14918-80 S=0,7мм 500х250/Ø160</t>
  </si>
  <si>
    <t>0,474 м²</t>
  </si>
  <si>
    <t>Переход из оцинк. стали по ГОСТ 14918-80 S=0,7мм 500х250/250х400</t>
  </si>
  <si>
    <t>0,607 м²</t>
  </si>
  <si>
    <t>Переход из оцинк. стали по ГОСТ 14918-80 S=0,7мм 250х400/250х500</t>
  </si>
  <si>
    <t>2,328 м²</t>
  </si>
  <si>
    <t>Переход из оцинк. стали по ГОСТ 14918-80 S=0,7мм 400х400/500х250</t>
  </si>
  <si>
    <t>0,655 м²</t>
  </si>
  <si>
    <t>Переход из оцинк. стали по ГОСТ 14918-80 S=0,7мм 500х300/Ø160</t>
  </si>
  <si>
    <t>0,501 м²</t>
  </si>
  <si>
    <t>Переход из оцинк. стали по ГОСТ 14918-80 S=0,7мм 500х300/250х400</t>
  </si>
  <si>
    <t>0,624 м²</t>
  </si>
  <si>
    <t>Переход из оцинк. стали по ГОСТ 14918-80 S=0,7мм 500х300/300х250</t>
  </si>
  <si>
    <t>0,571 м²</t>
  </si>
  <si>
    <t>Переход из оцинк. стали по ГОСТ 14918-80 S=0,7мм 500х300/300х400</t>
  </si>
  <si>
    <t>0,638 м²</t>
  </si>
  <si>
    <t>Переход из оцинк. стали по ГОСТ 14918-80 S=0,7мм 500х300/400х250</t>
  </si>
  <si>
    <t>2,416 м²</t>
  </si>
  <si>
    <t>Переход из оцинк. стали по ГОСТ 14918-80 S=0,7мм 500х300/500х250</t>
  </si>
  <si>
    <t>1,929 м²</t>
  </si>
  <si>
    <t>Переход из оцинк. стали по ГОСТ 14918-80 S=0,7мм 500х400/Ø250</t>
  </si>
  <si>
    <t>1,234 м²</t>
  </si>
  <si>
    <t>Переход из оцинк. стали по ГОСТ 14918-80 S=0,7мм 500х400/300х250</t>
  </si>
  <si>
    <t>0,621 м²</t>
  </si>
  <si>
    <t>Переход из оцинк. стали по ГОСТ 14918-80 S=0,7мм 500х400/Ø315</t>
  </si>
  <si>
    <t>1,323 м²</t>
  </si>
  <si>
    <t>Переход из оцинк. стали по ГОСТ 14918-80 S=0,7мм 300х600/250х300</t>
  </si>
  <si>
    <t>Переход из оцинк. стали по ГОСТ 14918-80 S=0,7мм 300х600/600х300</t>
  </si>
  <si>
    <t>0,819 м²</t>
  </si>
  <si>
    <t>Переход из оцинк. стали по ГОСТ 14918-80 S=0,7мм 600х300/400х250</t>
  </si>
  <si>
    <t>2,613 м²</t>
  </si>
  <si>
    <t>Переход из оцинк. стали по ГОСТ 14918-80 S=0,7мм 600х300/500х250</t>
  </si>
  <si>
    <t>0,688 м²</t>
  </si>
  <si>
    <t>Переход из оцинк. стали по ГОСТ 14918-80 S=0,7мм 500х300/600х300</t>
  </si>
  <si>
    <t>Переход из оцинк. стали по ГОСТ 14918-80 S=0,7мм 500х400/600х300</t>
  </si>
  <si>
    <t>1,508 м²</t>
  </si>
  <si>
    <t>Переход из оцинк. стали по ГОСТ 14918-80 S=0,7мм 600х350/600х300</t>
  </si>
  <si>
    <t>0,768 м²</t>
  </si>
  <si>
    <t>Переход из оцинк. стали по ГОСТ 14918-80 S=0,7мм 600х400/400х300</t>
  </si>
  <si>
    <t>1,444 м²</t>
  </si>
  <si>
    <t>Переход из оцинк. стали по ГОСТ 14918-80 S=0,7мм Ø400/600х400</t>
  </si>
  <si>
    <t>0,778 м²</t>
  </si>
  <si>
    <t>Переход из оцинк. стали по ГОСТ 14918-80 S=0,7мм 600х400/500х300</t>
  </si>
  <si>
    <t>0,754 м²</t>
  </si>
  <si>
    <t>Переход из оцинк. стали по ГОСТ 14918-80 S=0,7мм 600х600/400х600</t>
  </si>
  <si>
    <t>1,867 м²</t>
  </si>
  <si>
    <t>Переход из оцинк. стали по ГОСТ 14918-80 S=0,7мм 700х400/600х300</t>
  </si>
  <si>
    <t>0,838 м²</t>
  </si>
  <si>
    <t>Переход из оцинк. стали по ГОСТ 14918-80 S=0,7мм 300х500/300х800</t>
  </si>
  <si>
    <t>1,623 м²</t>
  </si>
  <si>
    <t>Переход из оцинк. стали по ГОСТ 14918-80 S=0,7мм 600х400/800х400</t>
  </si>
  <si>
    <t>0,926 м²</t>
  </si>
  <si>
    <t>Переход из оцинк. стали по ГОСТ 14918-80 S=0,7мм 800х500/300х250</t>
  </si>
  <si>
    <t>0,876 м²</t>
  </si>
  <si>
    <t>Переход из оцинк. стали по ГОСТ 14918-80 S=0,7мм 500х800/600х350</t>
  </si>
  <si>
    <t>1,032 м²</t>
  </si>
  <si>
    <t>Переход из оцинк. стали по ГОСТ 14918-80 S=0,7мм 800х500/500х400</t>
  </si>
  <si>
    <t>0,954 м²</t>
  </si>
  <si>
    <t>Переход из оцинк. стали по ГОСТ 14918-80 S=0,7мм 800х500/600х400</t>
  </si>
  <si>
    <t>0,976 м²</t>
  </si>
  <si>
    <t>Переход из оцинк. стали по ГОСТ 14918-80 S=0,7мм 900х500/800х500</t>
  </si>
  <si>
    <t>4,491 м²</t>
  </si>
  <si>
    <t>Переход из оцинк. стали по ГОСТ 14918-80 S=0,7мм 800х500/900х500</t>
  </si>
  <si>
    <t>1,123 м²</t>
  </si>
  <si>
    <t>Переход из оцинк. стали по ГОСТ 14918-80 S=0,7мм 400х600/400х1000</t>
  </si>
  <si>
    <t>2,099 м²</t>
  </si>
  <si>
    <t>Переход из оцинк. стали по ГОСТ 14918-80 S=0,7мм 800х400/1000х400</t>
  </si>
  <si>
    <t>1,092 м²</t>
  </si>
  <si>
    <t>Переход из оцинк. стали по ГОСТ 14918-80 S=0,7мм 900х500/1000х400</t>
  </si>
  <si>
    <t>Переход из оцинк. стали по ГОСТ 14918-80 S=0,7мм Ø630/1000х500</t>
  </si>
  <si>
    <t>2,502 м²</t>
  </si>
  <si>
    <t>Переход из оцинк. стали по ГОСТ 14918-80 S=0,7мм 1000х500/800х400</t>
  </si>
  <si>
    <t>2,287 м²</t>
  </si>
  <si>
    <t>Переход из оцинк. стали по ГОСТ 14918-80 S=0,7мм 1000х500/800х500</t>
  </si>
  <si>
    <t>1,178 м²</t>
  </si>
  <si>
    <t>Переход из оцинк. стали по ГОСТ 14918-80 S=0,7мм 850х700/1000х500</t>
  </si>
  <si>
    <t>3,93 м²</t>
  </si>
  <si>
    <t>Переход из оцинк. стали по ГОСТ 14918-80 S=0,7мм 900х500/1000х500</t>
  </si>
  <si>
    <t>2,411 м²</t>
  </si>
  <si>
    <t>Переход из оцинк. стали по ГОСТ 14918-80 S=0,7мм 1000х800/600х300</t>
  </si>
  <si>
    <t>1,361 м²</t>
  </si>
  <si>
    <t>Переход из оцинк. стали по ГОСТ 14918-80 S=0,7мм Ø900/1000х800</t>
  </si>
  <si>
    <t>1,546 м²</t>
  </si>
  <si>
    <t>Переход из оцинк. стали по ГОСТ 14918-80 S=0,7мм 1000х800/1050х800</t>
  </si>
  <si>
    <t>1,514 м²</t>
  </si>
  <si>
    <t>Переход из оцинк. стали по ГОСТ 14918-80 S=0,7мм 300х800/300х1100</t>
  </si>
  <si>
    <t>2,119 м²</t>
  </si>
  <si>
    <t>Переход из оцинк. стали по ГОСТ 14918-80 S=0,7мм 1000х500/1100х300</t>
  </si>
  <si>
    <t>2,488 м²</t>
  </si>
  <si>
    <t>Переход из оцинк. стали по ГОСТ 14918-80 S=0,9мм 1100х600/800х500</t>
  </si>
  <si>
    <t>1,296 м²</t>
  </si>
  <si>
    <t>Переход из оцинк. стали по ГОСТ 14918-80 S=0,9мм 1100х600/900х500</t>
  </si>
  <si>
    <t>1,314 м²</t>
  </si>
  <si>
    <t>Переход из оцинк. стали по ГОСТ 14918-80 S=0,9мм 600х1200/400х1000</t>
  </si>
  <si>
    <t>2,77 м²</t>
  </si>
  <si>
    <t>Переход из оцинк. стали по ГОСТ 14918-80 S=0,7мм 1000х800/1200х800</t>
  </si>
  <si>
    <t>4,81 м²</t>
  </si>
  <si>
    <t>Переход из оцинк. стали по ГОСТ 14918-80 S=0,9мм 1000х1200/1200х1000</t>
  </si>
  <si>
    <t>1,904 м²</t>
  </si>
  <si>
    <t>Переход из оцинк. стали по ГОСТ 14918-80 S=0,9мм 800х1400/600х1200</t>
  </si>
  <si>
    <t>3,462 м²</t>
  </si>
  <si>
    <t>Переход из оцинк. стали по ГОСТ 14918-80 S=0,9мм 1200х1000/1400х800</t>
  </si>
  <si>
    <t>3,808 м²</t>
  </si>
  <si>
    <t>Переход со смещением из оцинк. стали по ГОСТ 14918-80 S=0,7мм 500х250/300х250</t>
  </si>
  <si>
    <t>0,548 м²</t>
  </si>
  <si>
    <t>Переход со смещением из оцинк. стали по ГОСТ 14918-80 S=0,7мм 400х300/500х300</t>
  </si>
  <si>
    <t>Переход со смещением из оцинк. стали по ГОСТ 14918-80 S=0,9мм 1200х1000/1000х800</t>
  </si>
  <si>
    <t>1,731 м²</t>
  </si>
  <si>
    <t>Переход со смещением из оцинк. стали по ГОСТ 14918-80 S=0,7мм 500х300/300х400</t>
  </si>
  <si>
    <t>Переход со смещением из оцинк. стали по ГОСТ 14918-80 S=0,7мм 400х600/500х300</t>
  </si>
  <si>
    <t>0,787 м²</t>
  </si>
  <si>
    <t>Тройник-90° из оцинк. стали по ГОСТ 14918-80 S=0,55мм Ø200/300х150</t>
  </si>
  <si>
    <t>0,5 м²</t>
  </si>
  <si>
    <t>Тройник-90° из оцинк. стали по ГОСТ 14918-80 S=0,7мм Ø250/Ø200</t>
  </si>
  <si>
    <t>0,47 м²</t>
  </si>
  <si>
    <t>Металл сортовой для крепления воздуховодов</t>
  </si>
  <si>
    <t>Огнезащитная изоляция EI30</t>
  </si>
  <si>
    <t>МБОР-5Ф</t>
  </si>
  <si>
    <t>ЗАО "Тизол"</t>
  </si>
  <si>
    <t>ПЛАЗАС</t>
  </si>
  <si>
    <t>Огнезащитная изоляция E150</t>
  </si>
  <si>
    <t>МБОР-16Ф</t>
  </si>
  <si>
    <t>Тепловая изоляция S=10мм</t>
  </si>
  <si>
    <t>К-Flex ST</t>
  </si>
  <si>
    <t>К-Flex</t>
  </si>
  <si>
    <t>Тепловая изоляция S=50мм</t>
  </si>
  <si>
    <t>ИЗДЕЛИЯ И МАТЕРИАЛЫ СИСТЕМ ПРОТИВОДЫМНОЙ ЗАЩИТЫ</t>
  </si>
  <si>
    <t>Дымовой клапан Н3 (EI60) c реверсивным приводом (220B) снаружи клапана, с возвратной пружиной и клемной колодкой Ø315</t>
  </si>
  <si>
    <t>КПКВ НЗ.60.МВ220 Ø315</t>
  </si>
  <si>
    <t>Дымовой клапан Н3 (EI60) c реверсивным приводом (220B) снаружи клапана, с возвратной пружиной и клемной колодкой 600х600</t>
  </si>
  <si>
    <t>Дымовой клапан Н3 (EI120) c реверсивным приводом (220B) снаружи клапана, с возвратной пружиной и клемной колодкой 700х700</t>
  </si>
  <si>
    <t>КПКВ НЗ.120.МВ220 700х700</t>
  </si>
  <si>
    <t>Дымовой клапан Н3 (EI60) c реверсивным приводом (220B) снаружи клапана, с возвратной пружиной и клемной колодкой 800х600</t>
  </si>
  <si>
    <t>Дымовой клапан Н3 (EI60) c реверсивным приводом (220B) снаружи клапана, с возвратной пружиной и клемной колодкой 1000х400</t>
  </si>
  <si>
    <t>Дымовой клапан Н3 (EI60) c реверсивным приводом (220B) снаружи клапана, с возвратной пружиной и клемной колодкой 1000х1000</t>
  </si>
  <si>
    <t>Дымовой клапан Н3 (EI60) c реверсивным приводом (220B) снаружи клапана, с возвратной пружиной и клемной колодкой 1200х400</t>
  </si>
  <si>
    <t>Воздуховод из листовой стали по ГОСТ 19904-90S=1мм Ø315</t>
  </si>
  <si>
    <t>4,19 м²</t>
  </si>
  <si>
    <t>Воздуховод из листовой стали по ГОСТ 19904-90S=1мм 400х200</t>
  </si>
  <si>
    <t>0,17 м²</t>
  </si>
  <si>
    <t>Воздуховод из листовой стали по ГОСТ 19904-90S=1мм 600х300</t>
  </si>
  <si>
    <t>1,68 м²</t>
  </si>
  <si>
    <t>Воздуховод из листовой стали по ГОСТ 19904-90S=1мм 600х600</t>
  </si>
  <si>
    <t>19,38 м²</t>
  </si>
  <si>
    <t>Воздуховод из листовой стали по ГОСТ 19904-90S=1мм 700х700</t>
  </si>
  <si>
    <t>8,89 м²</t>
  </si>
  <si>
    <t>Воздуховод из листовой стали по ГОСТ 19904-90S=1мм 800х600</t>
  </si>
  <si>
    <t>184,41 м²</t>
  </si>
  <si>
    <t>Воздуховод из листовой стали по ГОСТ 19904-90S=1мм 800х800</t>
  </si>
  <si>
    <t>3,39 м²</t>
  </si>
  <si>
    <t>Воздуховод из листовой стали по ГОСТ 19904-90S=1мм 1000х400</t>
  </si>
  <si>
    <t>341,07 м²</t>
  </si>
  <si>
    <t>Воздуховод из листовой стали по ГОСТ 19904-90S=1мм 1000х1000</t>
  </si>
  <si>
    <t>9,53 м²</t>
  </si>
  <si>
    <t>Воздуховод из листовой стали по ГОСТ 19904-90S=1мм 1200х400</t>
  </si>
  <si>
    <t>11,01 м²</t>
  </si>
  <si>
    <t>Воздуховод из листовой стали по ГОСТ 19904-90S=1мм 1300х1150</t>
  </si>
  <si>
    <t>8,46 м²</t>
  </si>
  <si>
    <t>Врезка из листовой стали по ГОСТ 19904-90S=1мм Ø315/400х200</t>
  </si>
  <si>
    <t>0,375 м²</t>
  </si>
  <si>
    <t>Врезка из листовой стали по ГОСТ 19904-90S=1мм Ø315/600х300</t>
  </si>
  <si>
    <t>Врезка из листовой стали по ГОСТ 19904-90S=1мм 600х600</t>
  </si>
  <si>
    <t>0,276 м²</t>
  </si>
  <si>
    <t>Врезка из листовой стали по ГОСТ 19904-90S=1мм 700х700</t>
  </si>
  <si>
    <t>0,322 м²</t>
  </si>
  <si>
    <t>Врезка из листовой стали по ГОСТ 19904-90S=1мм 800х600</t>
  </si>
  <si>
    <t>4,186 м²</t>
  </si>
  <si>
    <t>Врезка из листовой стали по ГОСТ 19904-90S=1мм 800х800</t>
  </si>
  <si>
    <t>0,368 м²</t>
  </si>
  <si>
    <t>Врезка из листовой стали по ГОСТ 19904-90S=1мм 1000х400</t>
  </si>
  <si>
    <t>0,644 м²</t>
  </si>
  <si>
    <t>Врезка из листовой стали по ГОСТ 19904-90S=1мм 1000х1000</t>
  </si>
  <si>
    <t>Заглушка из листовой стали по ГОСТ 19904-90S=1мм Ø315</t>
  </si>
  <si>
    <t>0,18 м²</t>
  </si>
  <si>
    <t>Заглушка из листовой стали по ГОСТ 19904-90S=1мм 600х600</t>
  </si>
  <si>
    <t>Заглушка из листовой стали по ГОСТ 19904-90S=1мм 800х600</t>
  </si>
  <si>
    <t>Заглушка из листовой стали по ГОСТ 19904-90S=1мм 1000х400</t>
  </si>
  <si>
    <t>Заглушка из листовой стали по ГОСТ 19904-90S=1мм 1200х400</t>
  </si>
  <si>
    <t>Отвод-15° из листовой стали по ГОСТ 19904-90S=1мм 1000х400</t>
  </si>
  <si>
    <t>2,984 м²</t>
  </si>
  <si>
    <t>Отвод-45° из листовой стали по ГОСТ 19904-90S=1мм 1000х400</t>
  </si>
  <si>
    <t>3,312 м²</t>
  </si>
  <si>
    <t>Отвод-60° из листовой стали по ГОСТ 19904-90S=1мм 1000х400</t>
  </si>
  <si>
    <t>4,363 м²</t>
  </si>
  <si>
    <t>Отвод-90° из листовой стали по ГОСТ 19904-90S=1мм 400х1000</t>
  </si>
  <si>
    <t>28,98 м²</t>
  </si>
  <si>
    <t>Отвод-90° из листовой стали по ГОСТ 19904-90S=1мм Ø315</t>
  </si>
  <si>
    <t>0,677 м²</t>
  </si>
  <si>
    <t>Отвод-90° из листовой стали по ГОСТ 19904-90S=1мм 400х1200</t>
  </si>
  <si>
    <t>1,84 м²</t>
  </si>
  <si>
    <t>Отвод-90° из листовой стали по ГОСТ 19904-90S=1мм 600х600</t>
  </si>
  <si>
    <t>Отвод-90° из листовой стали по ГОСТ 19904-90S=1мм 600х800</t>
  </si>
  <si>
    <t>13,524 м²</t>
  </si>
  <si>
    <t>Отвод-90° из листовой стали по ГОСТ 19904-90S=1мм 800х600</t>
  </si>
  <si>
    <t>11,592 м²</t>
  </si>
  <si>
    <t>Отвод-90° из листовой стали по ГОСТ 19904-90S=1мм 1000х400</t>
  </si>
  <si>
    <t>14,168 м²</t>
  </si>
  <si>
    <t>Отвод-90° из листовой стали по ГОСТ 19904-90S=1мм 1200х400</t>
  </si>
  <si>
    <t>4,784 м²</t>
  </si>
  <si>
    <t>Переход из листовой стали по ГОСТ 19904-90S=1мм 700х700/800х600</t>
  </si>
  <si>
    <t>2,346 м²</t>
  </si>
  <si>
    <t>Переход из листовой стали по ГОСТ 19904-90S=1мм 1300х1150/1000х1000</t>
  </si>
  <si>
    <t>3,909 м²</t>
  </si>
  <si>
    <t>Переход со смещением из листовой стали по ГОСТ 19904-90S=1мм 1000х1000/800х600</t>
  </si>
  <si>
    <t>1,563 м²</t>
  </si>
  <si>
    <t>Переход со смещением из листовой стали по ГОСТ 19904-90S=1мм 1300х1150/800х600</t>
  </si>
  <si>
    <t>2,035 м²</t>
  </si>
  <si>
    <t>Тройник-90° из листовой стали по ГОСТ 19904-90S=1мм 600х800/600х800</t>
  </si>
  <si>
    <t>Огнезащитная изоляция EI360</t>
  </si>
  <si>
    <t>ТЕПЛОСНАБЖЕНИЕ</t>
  </si>
  <si>
    <t>Труба стальная водогазопроводная обыкновенная Ø20х2,8</t>
  </si>
  <si>
    <t>Труба стальная водогазопроводная обыкновенная Ø25х3,2</t>
  </si>
  <si>
    <t>Труба стальная водогазопроводная обыкновенная Ø32х3,2</t>
  </si>
  <si>
    <t>Труба стальная водогазопроводная обыкновенная Ø40х3,5</t>
  </si>
  <si>
    <t>Труба стальная электросварная Ø57х3,5</t>
  </si>
  <si>
    <t>Труба стальная электросварная Ø76х3,5</t>
  </si>
  <si>
    <t>Труба стальная электросварная Ø89х4,0</t>
  </si>
  <si>
    <t>Труба стальная электросварная Ø133х4,5</t>
  </si>
  <si>
    <t>Тепловая изоляция трубчатая для труб Ø20</t>
  </si>
  <si>
    <t>13х022-2 ST</t>
  </si>
  <si>
    <t>K-Flex</t>
  </si>
  <si>
    <t>Тепловая изоляция трубчатая для труб Ø25</t>
  </si>
  <si>
    <t>13х025-2 ST</t>
  </si>
  <si>
    <t>Тепловая изоляция трубчатая для труб Ø32</t>
  </si>
  <si>
    <t>13х035-2 ST</t>
  </si>
  <si>
    <t>Тепловая изоляция трубчатая для труб Ø40</t>
  </si>
  <si>
    <t>13х042-2 ST</t>
  </si>
  <si>
    <t>Тепловая изоляция трубчатая для труб Ø57</t>
  </si>
  <si>
    <t>19х057-2 ST</t>
  </si>
  <si>
    <t>Тепловая изоляция трубчатая для труб Ø76</t>
  </si>
  <si>
    <t>19х076-2 ST</t>
  </si>
  <si>
    <t>Тепловая изоляция трубчатая для труб Ø89</t>
  </si>
  <si>
    <t>19х089-2 ST</t>
  </si>
  <si>
    <t>Тепловая изоляция трубчатая для труб Ø133</t>
  </si>
  <si>
    <t>19х133-2 ST</t>
  </si>
  <si>
    <t>Антикоррозионная защита трубопроводов:</t>
  </si>
  <si>
    <t>`-грунтовка трубопроводов в 1 слой ГФ-021</t>
  </si>
  <si>
    <t>ГОСТ 25129-82</t>
  </si>
  <si>
    <t>-окраска трубопровода в 2 слоя масляно-битумной краской БТ-577</t>
  </si>
  <si>
    <t>ГОСТ 5631-79</t>
  </si>
  <si>
    <t>Автоматический воздухоотводчик поплавковый, латунный Ду15, Ру10, Тмакс=110°С с откл. клапаном, внеш. резьба</t>
  </si>
  <si>
    <t>FLAMCO FLEXVENT R</t>
  </si>
  <si>
    <t>ф. «ADL»</t>
  </si>
  <si>
    <t>Кран шаровой латунный DN15</t>
  </si>
  <si>
    <t>34.501</t>
  </si>
  <si>
    <t>с наружной резьбой с насадкой для шланга DN15</t>
  </si>
  <si>
    <t>35.019</t>
  </si>
  <si>
    <t>Настенный контроллер</t>
  </si>
  <si>
    <t>WING/Volcano</t>
  </si>
  <si>
    <t>0438</t>
  </si>
  <si>
    <t>Клапан регулирующий 2-х-ходовой c сервоприводом</t>
  </si>
  <si>
    <t>VA-VEH202TA</t>
  </si>
  <si>
    <t>Арт. 1-2-1204- 2019</t>
  </si>
  <si>
    <t>Клапан ручной балансировочный, РN16, Тмакс.=130°С, DN25 в комплекте с рукояткой и измерительными ниппелями, встр. диафрагмой</t>
  </si>
  <si>
    <t>VIR 9515,DN25</t>
  </si>
  <si>
    <t>«ADL»</t>
  </si>
  <si>
    <t>Фильтр сетчатый с магнитной вставкой муфтовый DN25, Ру16, Тмакс.=200°С</t>
  </si>
  <si>
    <t>BM03D103784</t>
  </si>
  <si>
    <t>Кран шаровой DN25</t>
  </si>
  <si>
    <t>34.503</t>
  </si>
  <si>
    <t>Кран шаровой DN15</t>
  </si>
  <si>
    <t>Автоматический воздухоотводчик поплавковый, латунный Ду15, Ру10, Тмакс=110°С с откл. клапаном, внеш.резьба</t>
  </si>
  <si>
    <t>Кран шаровой с наружной резьбой с насадкой для шланга DN15</t>
  </si>
  <si>
    <t>Подводка гибкая "Гигант"</t>
  </si>
  <si>
    <t>3/4"х3/4" гайка/гайка, L=0,6м</t>
  </si>
  <si>
    <t>КОНДИЦИОНИРОВАНИЕ</t>
  </si>
  <si>
    <t>К1, К2, К1(рез), К2(рез)</t>
  </si>
  <si>
    <t>Блок наружный SAU24U3-A-WS</t>
  </si>
  <si>
    <t>«Energolux»</t>
  </si>
  <si>
    <t>Блок внутренний SAC24C3-A с беспроводным пультом</t>
  </si>
  <si>
    <t>Декоративная панель SCP12A3</t>
  </si>
  <si>
    <t>Блок управления ротацией БУРР-1М</t>
  </si>
  <si>
    <t>Исполнительный блок ротации БИС-1М</t>
  </si>
  <si>
    <t>К6, К6(рез)</t>
  </si>
  <si>
    <t>Блок наружный SAU12L4-A-WS</t>
  </si>
  <si>
    <t>Блок внутренний SAS12L4-A с беспроводным пультом</t>
  </si>
  <si>
    <t>К3</t>
  </si>
  <si>
    <t>Блок наружный SMZU190V4AI</t>
  </si>
  <si>
    <t>Блок внутренний SMZC24V3AI с беспроводным пультом и декоративной панелью</t>
  </si>
  <si>
    <t>Блок внутренний SMZCC18V3AI с беспроводным пультом и декоративной панелью</t>
  </si>
  <si>
    <t>Блок внутренний SMZCC16V3AI с беспроводным пультом и декоративной панелью</t>
  </si>
  <si>
    <t>К4</t>
  </si>
  <si>
    <t>Блок наружный SMZU120V4AI</t>
  </si>
  <si>
    <t>Блок внутренний SMZCC07V3AI с беспроводным пультом и декоративной панелью</t>
  </si>
  <si>
    <t>К5</t>
  </si>
  <si>
    <t>Блок наружный SMZU215V4AI</t>
  </si>
  <si>
    <t>Блок наружный SMZU135V4AI</t>
  </si>
  <si>
    <t>Блок внутренний SMZCC12V3AI с беспроводным пультом и декоративной панелью</t>
  </si>
  <si>
    <t>Блок внутренний SMZC30V3AI с беспроводным пультом и декоративной панелью</t>
  </si>
  <si>
    <t>Разветвители медные FQ01A/A</t>
  </si>
  <si>
    <t>Разветвители медные FQ02/A</t>
  </si>
  <si>
    <t>Разветвители медные FQ01B/A</t>
  </si>
  <si>
    <t>Разветвители медные ML01/A</t>
  </si>
  <si>
    <t>Разветвители медные FQ03/A</t>
  </si>
  <si>
    <t>6</t>
  </si>
  <si>
    <t>ФРЕОНОПРОВОДЫ ДЛЯ СИСТЕМ КОНДИЦИОНИРОВАНИЯ</t>
  </si>
  <si>
    <t>Фреонопровод медный Ø6,35</t>
  </si>
  <si>
    <t>«Kemix»</t>
  </si>
  <si>
    <t>Фреонопровод медный Ø9,52</t>
  </si>
  <si>
    <t>Фреонопровод медный Ø12,7</t>
  </si>
  <si>
    <t>Фреонопровод медный Ø15,88</t>
  </si>
  <si>
    <t>Фреонопровод медный Ø19,05</t>
  </si>
  <si>
    <t>Фреонопровод медный Ø22.2</t>
  </si>
  <si>
    <t>Фреонопровод медный Ø25.4</t>
  </si>
  <si>
    <t>Фреонопровод медный Ø28,6</t>
  </si>
  <si>
    <t>Фреонопровод медный Ø38,1</t>
  </si>
  <si>
    <t>Изоляция фреонопроводов 8х9 мм</t>
  </si>
  <si>
    <t>K-flex ST</t>
  </si>
  <si>
    <t>«K-flex»</t>
  </si>
  <si>
    <t>Изоляция фреонопроводов 10х13 мм</t>
  </si>
  <si>
    <t>Изоляция фреонопроводов 12х13 мм</t>
  </si>
  <si>
    <t>Изоляция фреонопроводов 15х13 мм</t>
  </si>
  <si>
    <t>Изоляция фреонопроводов 18х13 мм</t>
  </si>
  <si>
    <t>Изоляция фреонопроводов 22х13 мм</t>
  </si>
  <si>
    <t>Изоляция фреонопроводов 25х13 мм</t>
  </si>
  <si>
    <t>Изоляция фреонопроводов 28х13 мм</t>
  </si>
  <si>
    <t>Изоляция фреонопроводов 42х13 мм</t>
  </si>
  <si>
    <t>7</t>
  </si>
  <si>
    <t>ФРЕОНОПРОВОДЫ ДЛЯ СИСТЕМ ВЕНТИЛЯЦИИ</t>
  </si>
  <si>
    <t>Фреонопровод медный Ø19</t>
  </si>
  <si>
    <t>Фреонопровод медный Ø22</t>
  </si>
  <si>
    <t>Фреонопровод медный Ø25</t>
  </si>
  <si>
    <t>Фреонопровод медный Ø35</t>
  </si>
  <si>
    <t>Изоляция фреонопроводов 35х13 мм</t>
  </si>
  <si>
    <t>Фреон R410А для дозаправки системы</t>
  </si>
  <si>
    <t>Кабель сигнальный экранированный</t>
  </si>
  <si>
    <t>МКЭШ 2х0,75</t>
  </si>
  <si>
    <t>«Севкабель»</t>
  </si>
  <si>
    <t>Провод бытовой соединительный</t>
  </si>
  <si>
    <t>NYM 4х1,5</t>
  </si>
  <si>
    <t>Насос для отвода конденсата</t>
  </si>
  <si>
    <t>Si2750</t>
  </si>
  <si>
    <t>ВОР 352</t>
  </si>
  <si>
    <t>Крепления (хомуты) для воздуховодов СТД 205</t>
  </si>
  <si>
    <t>т</t>
  </si>
  <si>
    <t>ВОР, нет в СО; Источник: 03-01/07.21П-ИОС.4.2.СО Спецификация л.20 (Файл: 03-01_07.21П-ИОС.4.2.pdf, стр.: 1 2 3 4 5)</t>
  </si>
  <si>
    <t>ВОР 398</t>
  </si>
  <si>
    <t>ВОР, нет в СО; Источник: 03-01/07.21П-ИОС.4.2.СО Спецификация л.22 (Файл: 03-01_07.21П-ИОС.4.2.pdf, стр.: 1 2 3 4 5)</t>
  </si>
  <si>
    <t>ВОР 470</t>
  </si>
  <si>
    <t>Комплект медных рефнет (разветвителей) с переходниками для газовой и жидкостной линий трубных систем кондиционирования, диаметр входа рефнеты газовой линии 12,7х15,88х19,05 мм, диаметр входа рефнеты жидкостной линии 9,52х12,7 мм</t>
  </si>
  <si>
    <t>ВОР, нет в СО; Источник: 03-01/07.21П-ИОС.4.2.СО Спецификация л.24 (Файл: 03-01_07.21П-ИОС.4.2.pdf, стр.: 1 2 3 4 5)</t>
  </si>
  <si>
    <t>ВОР 471</t>
  </si>
  <si>
    <t>ВОР 472</t>
  </si>
  <si>
    <t>ВОР 482</t>
  </si>
  <si>
    <t>Насос поверхностный ручной, производительность 1,32 м3/ч, максимальная высота всасывания 6 м</t>
  </si>
  <si>
    <t>ВОР, нет в СО. Проверить: насос ручной опрессовочный - инструмент для испытаний, решить, включать ли в закупку; Источник: 03-01/07.21П-ИОС.4.2.СО Спецификация л.24 (Файл: 03-01_07.21П-ИОС.4.2.pdf, стр.: 1 2 3 4 5)</t>
  </si>
  <si>
    <t>Часть 3. Индивидуальный тепловой пункт (ИТП) 03-01/07.21П-ИОС.4.3.СО</t>
  </si>
  <si>
    <t>М1. УУТЭ</t>
  </si>
  <si>
    <t>ШУ1</t>
  </si>
  <si>
    <t>Шкаф УУТЭ, На базе тепловычислителя ТСРВ-044</t>
  </si>
  <si>
    <t>ТСРВ-044</t>
  </si>
  <si>
    <t>202735</t>
  </si>
  <si>
    <t>Амперус</t>
  </si>
  <si>
    <t>FE1</t>
  </si>
  <si>
    <t>Преобразователь Расхода Взлет, DN80, Диапазон расхода (0,362-181,12) м3/час, Класс точности 1:500, Сэндвич</t>
  </si>
  <si>
    <t>ЭР Лайт М</t>
  </si>
  <si>
    <t>815341</t>
  </si>
  <si>
    <t>Взлет</t>
  </si>
  <si>
    <t>У1</t>
  </si>
  <si>
    <t>Кран шаровой, DN25, РN40, Тмакс. = 180°С, Привод Ручной, Приварное, Сталь 20</t>
  </si>
  <si>
    <t>КШСП-СП2540Р</t>
  </si>
  <si>
    <t>689748</t>
  </si>
  <si>
    <t>GROSS</t>
  </si>
  <si>
    <t>ТT1</t>
  </si>
  <si>
    <t>Комплект термопреобразователей, Lп.ч. = 98 мм</t>
  </si>
  <si>
    <t>ТПС</t>
  </si>
  <si>
    <t>816433</t>
  </si>
  <si>
    <t>Гильза, Lп.ч. = 98 мм</t>
  </si>
  <si>
    <t>816425</t>
  </si>
  <si>
    <t>TG1</t>
  </si>
  <si>
    <t>Термометр, Диаметр 100, 0..160 °С, G1/2, Lп.ч. = 100 мм</t>
  </si>
  <si>
    <t>БТ-51.211</t>
  </si>
  <si>
    <t>447338</t>
  </si>
  <si>
    <t>Росма</t>
  </si>
  <si>
    <t>TG2</t>
  </si>
  <si>
    <t>Термометр, Диаметр 100, 0..120 °С, G1/2, Lп.ч. = 100 мм</t>
  </si>
  <si>
    <t>536911</t>
  </si>
  <si>
    <t>PT1</t>
  </si>
  <si>
    <t>Датчик давления, М20х1,5, 0..16 бар</t>
  </si>
  <si>
    <t>СДВ-И</t>
  </si>
  <si>
    <t>818880</t>
  </si>
  <si>
    <t>Переходник датчика давления, М20*1,5 (внутр.) – G1/2 (нар.)</t>
  </si>
  <si>
    <t>604166</t>
  </si>
  <si>
    <t>PG1</t>
  </si>
  <si>
    <t>Манометр, Диаметр 100, 0..10 бар, G1/2</t>
  </si>
  <si>
    <t>ТМ-510</t>
  </si>
  <si>
    <t>297321</t>
  </si>
  <si>
    <t>ТМ 510 Р.00 (0-1МПа) G1/2. 1,5</t>
  </si>
  <si>
    <t>Трубка Перкинса</t>
  </si>
  <si>
    <t>300970</t>
  </si>
  <si>
    <t>Шаровой кран со спускником, DN15, РN40, Тмакс. = 150°С, Резьбовое, Латунь</t>
  </si>
  <si>
    <t>045788</t>
  </si>
  <si>
    <t>LD</t>
  </si>
  <si>
    <t>М2. Отопление и ВОА</t>
  </si>
  <si>
    <t>Н1</t>
  </si>
  <si>
    <t>Насос, G = 20,45 м³/ч, H = 5,5 м, 3х400 В, N = 1,5 кВт</t>
  </si>
  <si>
    <t>IS65-12-1.5/2-II</t>
  </si>
  <si>
    <t>253544</t>
  </si>
  <si>
    <t>ANTARUS</t>
  </si>
  <si>
    <t>1.1</t>
  </si>
  <si>
    <t>Вибровставка, DN100, РN16, Тмакс. = 75°С, Фланцевое</t>
  </si>
  <si>
    <t>EJF10016</t>
  </si>
  <si>
    <t>231945</t>
  </si>
  <si>
    <t>Контрольные стержни, DN100</t>
  </si>
  <si>
    <t>CM10016</t>
  </si>
  <si>
    <t>404444</t>
  </si>
  <si>
    <t>1.2</t>
  </si>
  <si>
    <t>Регулирующий клапан (двухходовой комплект), DN32, РN16, Kvs = m3/ч, Тмакс. = 150°С, Фланцевое, Чугун</t>
  </si>
  <si>
    <t>FT2 DN32 Kvs16/FR-1600N-230V</t>
  </si>
  <si>
    <t>749959</t>
  </si>
  <si>
    <t>Fortus</t>
  </si>
  <si>
    <t>1.3</t>
  </si>
  <si>
    <t>Балансировочный клапан, DN50, РN40, Приварное, Сталь</t>
  </si>
  <si>
    <t>КШСПРН-СП5040 Р</t>
  </si>
  <si>
    <t>722489</t>
  </si>
  <si>
    <t>1.4</t>
  </si>
  <si>
    <t>Кран шаровой, DN65, РN25, Тмакс. = 180°С, Привод Ручной, Приварное, Сталь 20</t>
  </si>
  <si>
    <t>КШСП-СП6525Р</t>
  </si>
  <si>
    <t>689754</t>
  </si>
  <si>
    <t>1.5</t>
  </si>
  <si>
    <t>Кран шаровой, DN25, РN40, Тмакс. = 150°С, Резьбовое, Латунь</t>
  </si>
  <si>
    <t>390090</t>
  </si>
  <si>
    <t>1.6</t>
  </si>
  <si>
    <t>Серый чугун</t>
  </si>
  <si>
    <t>DCV10016</t>
  </si>
  <si>
    <t>231833</t>
  </si>
  <si>
    <t>1.7</t>
  </si>
  <si>
    <t>Высокопрочный чугун, Привод Ручной</t>
  </si>
  <si>
    <t>BV10016HH</t>
  </si>
  <si>
    <t>652731</t>
  </si>
  <si>
    <t>1.8</t>
  </si>
  <si>
    <t>Фильтр, DN100, РN16, Тмакс. = 180°С, Фланцевое, Серый чугун</t>
  </si>
  <si>
    <t>F10016M</t>
  </si>
  <si>
    <t>430202</t>
  </si>
  <si>
    <t>1.9</t>
  </si>
  <si>
    <t>Предохранительный Клапан, DN25, Тмакс. = 180°С, Резьбовое</t>
  </si>
  <si>
    <t>OR 1831</t>
  </si>
  <si>
    <t>021783</t>
  </si>
  <si>
    <t>Oficine Rigamonti</t>
  </si>
  <si>
    <t>Датчик температуры, Lп.ч. = 100 мм, G1/2</t>
  </si>
  <si>
    <t>TS-D100 PRO PT1000</t>
  </si>
  <si>
    <t>169036</t>
  </si>
  <si>
    <t>RGP</t>
  </si>
  <si>
    <t>Датчик давления, РN10, М20х1,5</t>
  </si>
  <si>
    <t>818870</t>
  </si>
  <si>
    <t>Датчик Температуры Наружного Воздуха, Диапазон темп. -50...100ºС</t>
  </si>
  <si>
    <t>169082</t>
  </si>
  <si>
    <t>М3. Система снеготаяния</t>
  </si>
  <si>
    <t>Насос, G = 4,6 м³/ч, H = 3,5 м, 3х380 В, N = 0,75 кВт</t>
  </si>
  <si>
    <t>FX32-14-250-II (380В/50Гц)</t>
  </si>
  <si>
    <t>777226</t>
  </si>
  <si>
    <t>3.1</t>
  </si>
  <si>
    <t>Регулирующий клапан (трехходовой комплект), DN25, Kvs = 10 m3/ч, РN16, Тмакс. = 150°С, Фланцевое, Чугун</t>
  </si>
  <si>
    <t>FT3 DN25 Kvs 10/FR-1600N-230V</t>
  </si>
  <si>
    <t>030251</t>
  </si>
  <si>
    <t>3.2</t>
  </si>
  <si>
    <t>Балансировочный клапан, DN40, РN40, Приварное, Сталь</t>
  </si>
  <si>
    <t>КШСПРН-СП4040 Р</t>
  </si>
  <si>
    <t>763324</t>
  </si>
  <si>
    <t>3.3</t>
  </si>
  <si>
    <t>Кран шаровой, DN50, РN40, Тмакс. = 180°С, Привод Ручной, Приварное, Сталь 20</t>
  </si>
  <si>
    <t>КШСП-СП5040Р</t>
  </si>
  <si>
    <t>689753</t>
  </si>
  <si>
    <t>3.4</t>
  </si>
  <si>
    <t>3.5</t>
  </si>
  <si>
    <t>Обратный клапан, DN50, РN16, Тмакс. = 110°С, Межфланцевое, Серый чугун</t>
  </si>
  <si>
    <t>DCV5016</t>
  </si>
  <si>
    <t>231830</t>
  </si>
  <si>
    <t>3.6</t>
  </si>
  <si>
    <t>Дисковый Затвор, DN50, РN16, Тмакс. = 130°С, Межфланцевое, Высокопрочный чугун, Привод Ручной</t>
  </si>
  <si>
    <t>BV5016HH</t>
  </si>
  <si>
    <t>652728</t>
  </si>
  <si>
    <t>3.7</t>
  </si>
  <si>
    <t>Фильтр, DN50, РN16, Тмакс. = 180°С, Фланцевое, Серый чугун</t>
  </si>
  <si>
    <t>F5016M</t>
  </si>
  <si>
    <t>430195</t>
  </si>
  <si>
    <t>3.8</t>
  </si>
  <si>
    <t>Предохранительный Клапан, DN20, Тмакс. = 180°С, Резьбовое</t>
  </si>
  <si>
    <t>031110</t>
  </si>
  <si>
    <t>Датчик температуры, Lп.ч. = 80 мм, G1/2</t>
  </si>
  <si>
    <t>TS-D80 PT1000</t>
  </si>
  <si>
    <t>278710</t>
  </si>
  <si>
    <t>Термометр, Диаметр 100, 0..120 °С, G1/2, Lп.ч. = 64 мм</t>
  </si>
  <si>
    <t>297564</t>
  </si>
  <si>
    <t>РОСМА</t>
  </si>
  <si>
    <t>М4. ГВС</t>
  </si>
  <si>
    <t>ТО1</t>
  </si>
  <si>
    <t>Теплообменный аппарат, Q = 424 Мкал/ч, 19-32TLTM68, РN16, Тмакс =150°С</t>
  </si>
  <si>
    <t>FT 19</t>
  </si>
  <si>
    <t>790537</t>
  </si>
  <si>
    <t>Насос, G = 3,53 м³/ч, H = 6,6 м, 3х380 В, N = 0,75 кВт</t>
  </si>
  <si>
    <t>4.1</t>
  </si>
  <si>
    <t>Регулирующий клапан (двухходовой комплект), DN40, РN16, Kvs = m3/ч, Тмакс. = 150°С, Фланцевое, Чугун</t>
  </si>
  <si>
    <t>FT2 DN40 Kvs25/FR-1600N-230V</t>
  </si>
  <si>
    <t>749973</t>
  </si>
  <si>
    <t>4.2</t>
  </si>
  <si>
    <t>Балансировочный клапан, DN32, РN25, Тмакс. = 120°С, Резьбовое, Латунь</t>
  </si>
  <si>
    <t>HSSBV25-32</t>
  </si>
  <si>
    <t>268730</t>
  </si>
  <si>
    <t>HITERM</t>
  </si>
  <si>
    <t>4.3</t>
  </si>
  <si>
    <t>Балансировочный клапан, DN65, РN25, Приварное, Сталь</t>
  </si>
  <si>
    <t>КШСПРН-СП6525 Р</t>
  </si>
  <si>
    <t>763325</t>
  </si>
  <si>
    <t>4.4</t>
  </si>
  <si>
    <t>Кран шаровой, DN80, РN25, Тмакс. = 180°С, Привод Ручной, Приварное, Сталь 20</t>
  </si>
  <si>
    <t>КШСП-СП8025Р</t>
  </si>
  <si>
    <t>689755</t>
  </si>
  <si>
    <t>4.5</t>
  </si>
  <si>
    <t>4.6</t>
  </si>
  <si>
    <t>4.7</t>
  </si>
  <si>
    <t>Кран шаровой, DN40, РN25, Тмакс. = 150°С, Резьбовое, Латунь</t>
  </si>
  <si>
    <t>390093</t>
  </si>
  <si>
    <t>4.8</t>
  </si>
  <si>
    <t>Обратный клапан, DN40, Тмакс. = 150°С, Резьбовое, Латунь</t>
  </si>
  <si>
    <t>3 958</t>
  </si>
  <si>
    <t>376910</t>
  </si>
  <si>
    <t>AQUALINK</t>
  </si>
  <si>
    <t>4.9</t>
  </si>
  <si>
    <t>Обратный клапан, DN65, РN16, Тмакс. = 110°С, Межфланцевое, Серый чугун</t>
  </si>
  <si>
    <t>DCV6516</t>
  </si>
  <si>
    <t>231831</t>
  </si>
  <si>
    <t>4.10</t>
  </si>
  <si>
    <t>Дисковый Затвор, DN65, РN16, Тмакс. = 130°С, Межфланцевое, Высокопрочный чугун, Привод Ручной</t>
  </si>
  <si>
    <t>BV6516HH</t>
  </si>
  <si>
    <t>652729</t>
  </si>
  <si>
    <t>4.11</t>
  </si>
  <si>
    <t>Фильтр, DN40, РN16, Тмакс. = 150°С, Резьбовое, Латунь</t>
  </si>
  <si>
    <t>FW.210.08</t>
  </si>
  <si>
    <t>959179</t>
  </si>
  <si>
    <t>MVI</t>
  </si>
  <si>
    <t>4.12</t>
  </si>
  <si>
    <t>Фильтр, DN65, РN16, Тмакс. = 180°С, Фланцевое, Серый чугун</t>
  </si>
  <si>
    <t>F6516M</t>
  </si>
  <si>
    <t>430197</t>
  </si>
  <si>
    <t>4.13</t>
  </si>
  <si>
    <t>Термометр, Диаметр 100, 0..160 °С, G1/2, Lп.ч. = 64 мм</t>
  </si>
  <si>
    <t>732582</t>
  </si>
  <si>
    <t>М5. Вентиляция и ВТЗ</t>
  </si>
  <si>
    <t>Насос, G = 36,69 м³/ч, H = 6,5 м, 3х400 В, N = 4 кВт</t>
  </si>
  <si>
    <t>IS100-15-4/2-II</t>
  </si>
  <si>
    <t>253612</t>
  </si>
  <si>
    <t>2.1</t>
  </si>
  <si>
    <t>Вибровставка, DN125, РN16, Тмакс. = 75°С, Фланцевое</t>
  </si>
  <si>
    <t>EJF12516</t>
  </si>
  <si>
    <t>231938</t>
  </si>
  <si>
    <t>Контрольные стержни, DN125</t>
  </si>
  <si>
    <t>CM12516</t>
  </si>
  <si>
    <t>404445</t>
  </si>
  <si>
    <t>2.2</t>
  </si>
  <si>
    <t>Регулирующий клапан (двухходовой комплект), DN50, РN16, Kvs = m3/ч, Тмакс. = 150°С, Фланцевое, Чугун</t>
  </si>
  <si>
    <t>FT2 DN50 Kvs40/FR-1600N-230V</t>
  </si>
  <si>
    <t>750083</t>
  </si>
  <si>
    <t>2.3</t>
  </si>
  <si>
    <t>Балансировочный клапан, DN80, РN25, Приварное, Сталь</t>
  </si>
  <si>
    <t>КШСПРН-СП8025 Р</t>
  </si>
  <si>
    <t>722494</t>
  </si>
  <si>
    <t>2.4</t>
  </si>
  <si>
    <t>Кран шаровой, DN100, РN25, Тмакс. = 180°С, Привод Ручной, Приварное, Сталь 20</t>
  </si>
  <si>
    <t>КШСП-СП10025Р</t>
  </si>
  <si>
    <t>689756</t>
  </si>
  <si>
    <t>2.5</t>
  </si>
  <si>
    <t>2.6</t>
  </si>
  <si>
    <t>231834</t>
  </si>
  <si>
    <t>2.7</t>
  </si>
  <si>
    <t>652732</t>
  </si>
  <si>
    <t>2.8</t>
  </si>
  <si>
    <t>Фильтр, DN125, РN16, Тмакс. = 180°С, Фланцевое, Серый чугун</t>
  </si>
  <si>
    <t>F12516M</t>
  </si>
  <si>
    <t>430204</t>
  </si>
  <si>
    <t>2.9</t>
  </si>
  <si>
    <t>Предохранительный Клапан, DN32, Тмакс. = 180°С, Резьбовое</t>
  </si>
  <si>
    <t>025094</t>
  </si>
  <si>
    <t>М6. Коллектор отопления и ВОА</t>
  </si>
  <si>
    <t>Балансировочный клапан, DN50, РN16, Тмакс. = 120°С, Фланцевое, Чугун</t>
  </si>
  <si>
    <t>HSSBV16-50F</t>
  </si>
  <si>
    <t>333321</t>
  </si>
  <si>
    <t>М7. Коллектор вентиляции и ВТЗ</t>
  </si>
  <si>
    <t>Балансировочный клапан, DN40, РN25, Тмакс. = 120°С, Резьбовое, Латунь</t>
  </si>
  <si>
    <t>HSSBV25-40</t>
  </si>
  <si>
    <t>268731</t>
  </si>
  <si>
    <t>Балансировочный клапан, DN100, РN16, Тмакс. = 120°С, Фланцевое, Чугун</t>
  </si>
  <si>
    <t>HSSBV16-100F</t>
  </si>
  <si>
    <t>333325</t>
  </si>
  <si>
    <t>Кран шаровой, DN125, РN25, Тмакс. = 180°С, Привод Ручной, Приварное, Сталь 20</t>
  </si>
  <si>
    <t>КШСП-СП12525Р</t>
  </si>
  <si>
    <t>689759</t>
  </si>
  <si>
    <t>8</t>
  </si>
  <si>
    <t>Узел ввода</t>
  </si>
  <si>
    <t>Кран шаровой, DN15, РN40, Тмакс. = 180°С, Привод Ручной, Приварное, Сталь 20</t>
  </si>
  <si>
    <t>КШСП-СП1540Р</t>
  </si>
  <si>
    <t>689746</t>
  </si>
  <si>
    <t>Кран шаровой, DN32, РN40, Тмакс. = 180°С, Привод Ручной, Приварное, Сталь 20</t>
  </si>
  <si>
    <t>КШСП-СП3240Р</t>
  </si>
  <si>
    <t>689749</t>
  </si>
  <si>
    <t>Кран шаровой, DN150, РN25, Тмакс. = 180°С, Привод Ручной, Приварное, Сталь 20</t>
  </si>
  <si>
    <t>КШСП-СП15025Р</t>
  </si>
  <si>
    <t>693596</t>
  </si>
  <si>
    <t>Кран шаровой, DN150, РN16, Тмакс. = 180°С, Привод Ручной, Фланцевое, Сталь 20</t>
  </si>
  <si>
    <t>КШСФ-СП15016Р</t>
  </si>
  <si>
    <t>689766</t>
  </si>
  <si>
    <t>Грязевик, DN150, РN16</t>
  </si>
  <si>
    <t>589293</t>
  </si>
  <si>
    <t>Фильтр, DN150, РN16, Тмакс. = 180°С, Фланцевое, Серый чугун</t>
  </si>
  <si>
    <t>F15016M</t>
  </si>
  <si>
    <t>430206</t>
  </si>
  <si>
    <t>Часть 4. Наружные сети теплоснабжения 03-01/07.21П-ИОС.4.4.СО</t>
  </si>
  <si>
    <t>Подземная прокладка.</t>
  </si>
  <si>
    <t>1.1.</t>
  </si>
  <si>
    <t>Труба стальная бесшовная горячедеформированная ГОСТ 53383-2009 гр. В из стали 20 в изоляции ППУ-345 в оболочке из полиэтилена тип 1 с системой ОДК по ГОСТ 30732-2020</t>
  </si>
  <si>
    <t>ГОСТ 30732-2020</t>
  </si>
  <si>
    <t>1.1.1.</t>
  </si>
  <si>
    <t>Труба Ст 159х5,0-1-ППУ-ПЭ</t>
  </si>
  <si>
    <t>ИОС4.4.ГЧ Лист 1 ИОС4.4.ТЧ Лист 6</t>
  </si>
  <si>
    <t>1.2.</t>
  </si>
  <si>
    <t>Отвод стальной бесшовный приварной крутоизогнутый по ГОСТ 17375-2001 из стали марки Ст20 ГОСТ 1050-74 в изоляции ППУ-345 с системой ОДК по ГОСТ 30732-2020</t>
  </si>
  <si>
    <t>1.2.1.</t>
  </si>
  <si>
    <t>Отвод стальной бесшовный приварной крутоизогнутый по ГОСТ 17375-2001 из стали марки Ст20 ГОСТ 1050-74 в изоляции ППУ-345 с системой ОДК по ГОСТ 30732-2020 90º-159х5,0/250</t>
  </si>
  <si>
    <t>1-ППУ-ПЭ</t>
  </si>
  <si>
    <t>ИОС4.4.ГЧ Лист 1</t>
  </si>
  <si>
    <t>1.3.</t>
  </si>
  <si>
    <t>Опоры неподвижные щитовые Опора щитовая неподвижная для трубопроводов в изоляции ППУ с проводниками ОДК в ПЭ оболочке диаметрами:</t>
  </si>
  <si>
    <t>ИОС4.4.ГЧ Лист 1 ИОС4.4.ТЧ л.8</t>
  </si>
  <si>
    <t>1.3.1.</t>
  </si>
  <si>
    <t>Опоры неподвижные щитовые Опора щитовая неподвижная для трубопроводов в изоляции ППУ с проводниками ОДК в ПЭ оболочке диаметрами: 2хØ159х5</t>
  </si>
  <si>
    <t>НО-1-2п 2xD159х5/250ППУ-П с ОДК с. 3.903 кл. 14 в. 1-1</t>
  </si>
  <si>
    <t>Э159x5-20-3 ТС-666.00.00-02</t>
  </si>
  <si>
    <t>Н2</t>
  </si>
  <si>
    <t>1.3.2.</t>
  </si>
  <si>
    <t>Бетон М100</t>
  </si>
  <si>
    <t>ГОСТ 26633-2015</t>
  </si>
  <si>
    <t>Подбетонка 2,5х0,5х0,2м</t>
  </si>
  <si>
    <t>1.3.3.</t>
  </si>
  <si>
    <t>Труба ст. бесшовная Ду100</t>
  </si>
  <si>
    <t>Труба 108х4.0 В-20 ГОСТ 53383-2009</t>
  </si>
  <si>
    <t>Водопропускные трубы в щите 2х0,2м</t>
  </si>
  <si>
    <t>1.4.</t>
  </si>
  <si>
    <t>Прокладка в непроходных каналах</t>
  </si>
  <si>
    <t>ИОС4.4.ГЧ Лист 1 ИОС4.4.ТЧ л.7</t>
  </si>
  <si>
    <t>1.4.1.</t>
  </si>
  <si>
    <t>Лоток Л11-8 (L=2970мм)</t>
  </si>
  <si>
    <t>серия 3.006.1-2.87.1-11</t>
  </si>
  <si>
    <t>1.4.2.</t>
  </si>
  <si>
    <t>Плита П12-15 (L=2990мм)</t>
  </si>
  <si>
    <t>серия 3.006.1-2.87.2-33</t>
  </si>
  <si>
    <t>1.4.3.</t>
  </si>
  <si>
    <t>Бетон М200 В15</t>
  </si>
  <si>
    <t>Зачеканка швов</t>
  </si>
  <si>
    <t>1.4.4.</t>
  </si>
  <si>
    <t>Жидкое стекло</t>
  </si>
  <si>
    <t>ГОСТ 13078-81</t>
  </si>
  <si>
    <t>В бетон</t>
  </si>
  <si>
    <t>1.4.5.</t>
  </si>
  <si>
    <t>Праймер битумный ТЕХНОНИКОЛЬ 01</t>
  </si>
  <si>
    <t>ТУ 5775-011-17925162-2003</t>
  </si>
  <si>
    <t>л</t>
  </si>
  <si>
    <t>гидроизоляция</t>
  </si>
  <si>
    <t>1.4.6.</t>
  </si>
  <si>
    <t>Мастика МГБ</t>
  </si>
  <si>
    <t>ТУ 5775-004-96637222-2013</t>
  </si>
  <si>
    <t>1.4.7.</t>
  </si>
  <si>
    <t>Наплавляемая кровля технониколь Унифлекс ХПП</t>
  </si>
  <si>
    <t>ГОСТ 30547-97</t>
  </si>
  <si>
    <t>1.4.8.</t>
  </si>
  <si>
    <t>Опорная подушка ОП-2</t>
  </si>
  <si>
    <t>Сер. 3.006.1-8 вып.3-1</t>
  </si>
  <si>
    <t>1.4.9.</t>
  </si>
  <si>
    <t>Опора скользящая Д 159/250 для канальной прокладки СПО</t>
  </si>
  <si>
    <t>СПО-159/250.200 А 1-487-1997.01.000</t>
  </si>
  <si>
    <t>1.4.10.</t>
  </si>
  <si>
    <t>Монолитный участок в составе:</t>
  </si>
  <si>
    <t>МУ1</t>
  </si>
  <si>
    <t>Заделка торцов лотков на углах поворотов ИОС4.4.ГЧ Лист 1 ИОС4.4.ТЧ л.7</t>
  </si>
  <si>
    <t>1.4.10.1.</t>
  </si>
  <si>
    <t>D8AIII</t>
  </si>
  <si>
    <t>ГОСТ 5781-82*</t>
  </si>
  <si>
    <t>1.4.10.2.</t>
  </si>
  <si>
    <t>Бетон кл. B25W6F100</t>
  </si>
  <si>
    <t>1.4.11.</t>
  </si>
  <si>
    <t>Узел ввода футляров в канал УВФ1 в составе:</t>
  </si>
  <si>
    <t>УВФ1</t>
  </si>
  <si>
    <t>1.4.11.1.</t>
  </si>
  <si>
    <t>1.4.11.2.</t>
  </si>
  <si>
    <t>1.4.11.3.</t>
  </si>
  <si>
    <t>1.4.11.4.</t>
  </si>
  <si>
    <t>А-III-10 ГОСТ 5781-82 L=1250</t>
  </si>
  <si>
    <t>1.4.11.5.</t>
  </si>
  <si>
    <t>А-III-10 ГОСТ 5781-82 L=550</t>
  </si>
  <si>
    <t>1.4.11.6.</t>
  </si>
  <si>
    <t>А-III-10 ГОСТ 5781-82 L=250</t>
  </si>
  <si>
    <t>1.5.</t>
  </si>
  <si>
    <t>Прокладка в футлярах из трубы стальной электросварной прямошовной из стали 3сп5 по ГОСТ 10705-80 с изоляцией типа «Весьма усиленная» ГОСТ 9.602-89</t>
  </si>
  <si>
    <t>ИОС4.4.ГЧ Лист 1 ИОС4.4.ТЧ л.8, 9</t>
  </si>
  <si>
    <t>1.5.1.</t>
  </si>
  <si>
    <t>Труба Ø426х8,0</t>
  </si>
  <si>
    <t>С</t>
  </si>
  <si>
    <t>учетом вводов в каналы на 0,3м</t>
  </si>
  <si>
    <t>1.5.2.</t>
  </si>
  <si>
    <t>Опора скользящая Д 159/250 для прокладки в футлярах</t>
  </si>
  <si>
    <t>ФСО-1-159/250/426 А 1-487-1997.04.000</t>
  </si>
  <si>
    <t>1.6.</t>
  </si>
  <si>
    <t>Дренаж</t>
  </si>
  <si>
    <t>ИОС4.4.ГЧ Лист 1 ИОС4.4.ТЧ л. 7</t>
  </si>
  <si>
    <t>1.6.1.</t>
  </si>
  <si>
    <t>Труба чугунная ТЧК-100</t>
  </si>
  <si>
    <t>ГОСТ 6942-98</t>
  </si>
  <si>
    <t>1.6.2.</t>
  </si>
  <si>
    <t>Труба стальная бесшовная горячедеформированная ГОСТ 53383-2009 гр. В из стали 20 в изоляции ППУ-345 в оболочке из полиэтилена тип 1 без системы ОДК по ГОСТ 30732-2020 Труба Ст 57х5,0-1-ППУ-ПЭ</t>
  </si>
  <si>
    <t>Закрытый выпуск от УТ-1</t>
  </si>
  <si>
    <t>1.6.3.</t>
  </si>
  <si>
    <t>Обр. клапан типа "Захлопка" Ду100</t>
  </si>
  <si>
    <t>А-397-80</t>
  </si>
  <si>
    <t>1.6.4.</t>
  </si>
  <si>
    <t>Хризотилцементная дренажная труба с перфорацией</t>
  </si>
  <si>
    <t>БНТ - Д 150 – 5000 ГОСТ 31416-2009</t>
  </si>
  <si>
    <t>1.6.5.</t>
  </si>
  <si>
    <t>Муфта асбоцементная БНМ-150</t>
  </si>
  <si>
    <t>ГОСТ 31416-2009</t>
  </si>
  <si>
    <t>1.6.6.</t>
  </si>
  <si>
    <t>Гравий фр. 3 -20</t>
  </si>
  <si>
    <t>1.7.</t>
  </si>
  <si>
    <t>Колодцы ж/б D=1м в составе:</t>
  </si>
  <si>
    <t>1.7.1.</t>
  </si>
  <si>
    <t>Кольцо стеновое КС 10-9</t>
  </si>
  <si>
    <t>3.900.1-14 вып. 1</t>
  </si>
  <si>
    <t>1.7.2.</t>
  </si>
  <si>
    <t>1.7.3.</t>
  </si>
  <si>
    <t>Плита перекрытия ПП 10-1</t>
  </si>
  <si>
    <t>1.7.4.</t>
  </si>
  <si>
    <t>Плита днища ПН-10</t>
  </si>
  <si>
    <t>1.7.5.</t>
  </si>
  <si>
    <t>Скоба ходовая МН-1</t>
  </si>
  <si>
    <t>ТПР 902-09-22.84</t>
  </si>
  <si>
    <t>1.7.6.</t>
  </si>
  <si>
    <t>Люк чугунный тип Т</t>
  </si>
  <si>
    <t>ГОСТ 3634-99</t>
  </si>
  <si>
    <t>1.7.7.</t>
  </si>
  <si>
    <t>Муфта защитная D110 (ПЭ)</t>
  </si>
  <si>
    <t>1.7.8.</t>
  </si>
  <si>
    <t>Муфта защитная D200 (ПЭ)</t>
  </si>
  <si>
    <t>1.7.9.</t>
  </si>
  <si>
    <t>Щебень гранитный Ку=0,98</t>
  </si>
  <si>
    <t>ГОСТ 8267-93*</t>
  </si>
  <si>
    <t>1.7.10.</t>
  </si>
  <si>
    <t>1.7.11.</t>
  </si>
  <si>
    <t>1.7.12.</t>
  </si>
  <si>
    <t>Битум строительный БН 90/10</t>
  </si>
  <si>
    <t>ГОСТ 6617-76</t>
  </si>
  <si>
    <t>1.7.13.</t>
  </si>
  <si>
    <t>Надземная прокладка.</t>
  </si>
  <si>
    <t>2.1.</t>
  </si>
  <si>
    <t>Кран шаровый приварной, полнопроходной, 09Г2С, Ру25, Ду150</t>
  </si>
  <si>
    <t>КШ.П.П.RS.150.25-02</t>
  </si>
  <si>
    <t>ALSO</t>
  </si>
  <si>
    <t>2.2.</t>
  </si>
  <si>
    <t>Кран шаровый приварной, редуцированный, 09Г2С, Ру40, Ду32</t>
  </si>
  <si>
    <t>КШ.П.RS.032.40-02</t>
  </si>
  <si>
    <t>Для кранов воздушников</t>
  </si>
  <si>
    <t>2.3.</t>
  </si>
  <si>
    <t>Труба стальная бесшовная горячедеформированная, Ду150</t>
  </si>
  <si>
    <t>2.4.</t>
  </si>
  <si>
    <t>Труба стальная бесшовная холоднодеформированная, Ду32</t>
  </si>
  <si>
    <t>Т 42х5 ГОСТ 8734-75 В20 ГОСТ 8733-74</t>
  </si>
  <si>
    <t>2.5.</t>
  </si>
  <si>
    <t>Отвод 90-159х5</t>
  </si>
  <si>
    <t>ГОСТ 17375-2001</t>
  </si>
  <si>
    <t>2.6.</t>
  </si>
  <si>
    <t>Отвод 90-1-42,4х5</t>
  </si>
  <si>
    <t>2.7.</t>
  </si>
  <si>
    <t>Антикоррозийная грунтовка Вектор 1025</t>
  </si>
  <si>
    <t>ТУ 5775−004−17045751−99</t>
  </si>
  <si>
    <t>2 слоя</t>
  </si>
  <si>
    <t>2.8.</t>
  </si>
  <si>
    <t>Цилиндры теплоизоляционные D159, δ=50 мм</t>
  </si>
  <si>
    <t>2.9.</t>
  </si>
  <si>
    <t>Цилиндры теплоизоляционные D42, δ=30 мм</t>
  </si>
  <si>
    <t>2.10.</t>
  </si>
  <si>
    <t>Кожухи из оцинкованного металла Т=0.5мм</t>
  </si>
  <si>
    <t>2.11.</t>
  </si>
  <si>
    <t>Опора скользящая Д 159/250</t>
  </si>
  <si>
    <t>2.12.</t>
  </si>
  <si>
    <t>Фундаментный блок ФБС 9-4-3</t>
  </si>
  <si>
    <t>Под скользящие опоры</t>
  </si>
  <si>
    <t>Тепловая камера ТК-1</t>
  </si>
  <si>
    <t>3.1.</t>
  </si>
  <si>
    <t>3.2.</t>
  </si>
  <si>
    <t>Кран шаровый приварной, редуцированный, 09Г2С, Ру40, Ду50</t>
  </si>
  <si>
    <t>3.3.</t>
  </si>
  <si>
    <t>3.4.</t>
  </si>
  <si>
    <t>Труба стальная бесшовная горячедеформированная, Ду50</t>
  </si>
  <si>
    <t>3.5.</t>
  </si>
  <si>
    <t>Отвод 90-57х5</t>
  </si>
  <si>
    <t>3.6.</t>
  </si>
  <si>
    <t>УСТРОЙСТВО МАНОМЕТРОВ, через шаровый кран, с угловым устройством отбора давления "КОЛЬЦО", Ст20, Тмакс=150°С</t>
  </si>
  <si>
    <t>3.6.1.</t>
  </si>
  <si>
    <t>Штуцер для усиления отверстий Ст20</t>
  </si>
  <si>
    <t>ЗКЧ 332.01-93</t>
  </si>
  <si>
    <t>3.6.2.</t>
  </si>
  <si>
    <t>Труба стальная бесшовная холоднодеформированная, Ду15</t>
  </si>
  <si>
    <t>3.6.3.</t>
  </si>
  <si>
    <t>Отвод 90-1-21,3х4</t>
  </si>
  <si>
    <t>3.6.4.</t>
  </si>
  <si>
    <t>Кран шаровый приварной, редуцированный, 09Г2С, Ру40, Ду15</t>
  </si>
  <si>
    <t>АЛСО</t>
  </si>
  <si>
    <t>3.6.5.</t>
  </si>
  <si>
    <t>Бобышка приварная для манометра Ст10, L=30мм, с резьбой G1/2</t>
  </si>
  <si>
    <t>№5 БП-ТМ-30-G1/2 ТУ 4218-001-4719015564-2015</t>
  </si>
  <si>
    <t>3.6.6.</t>
  </si>
  <si>
    <t>Устройство отборное давления прямое с резьбой G1/2. Труба Н-Р-21,3х2,8 ГОСТ 3262-75 Ст20 «кольцо» Ру 1,6МПа Тр.=0- +150°С</t>
  </si>
  <si>
    <t>ТУ 4218-008-51216464-01</t>
  </si>
  <si>
    <t>ООО «Ижора Автоматика Сервис»</t>
  </si>
  <si>
    <t>3.6.7.</t>
  </si>
  <si>
    <t>Кран пробковый под манометр, Gвр½"- Gвр½", Тмакс=200°С, Ру16</t>
  </si>
  <si>
    <t>MV25-015</t>
  </si>
  <si>
    <t>АДЛ</t>
  </si>
  <si>
    <t>3.6.8.</t>
  </si>
  <si>
    <t>Манометр избыточного давления ∅100, 0…2,5 МПа, G1/2, кл.точн. 1,5, IP54</t>
  </si>
  <si>
    <t>ТМ 5 1 0 Р.00 (0-2,5МПа) G1/2. 1,5 ТУ 4212-001-4719015564-2008</t>
  </si>
  <si>
    <t>3.7.</t>
  </si>
  <si>
    <t>Заглушка изоляции металлическая 57х650</t>
  </si>
  <si>
    <t>1 - в колодце на закр. Вып.</t>
  </si>
  <si>
    <t>3.8.</t>
  </si>
  <si>
    <t>Теплоизоляция трубопроводов и деталей трубопроводов методом нанесения ППУ-изоляции:</t>
  </si>
  <si>
    <t>3.8.1.</t>
  </si>
  <si>
    <t>ГОСТ 25129-2020</t>
  </si>
  <si>
    <t>м2/кг</t>
  </si>
  <si>
    <t>на 2 слоя | норма: 7,94/0,8</t>
  </si>
  <si>
    <t>3.8.2.</t>
  </si>
  <si>
    <t>Теплоизоляционное покрытие ППУ (60-80) кг/м3:</t>
  </si>
  <si>
    <t>3.8.3.</t>
  </si>
  <si>
    <t>Изолан А-125</t>
  </si>
  <si>
    <t>ТУ 2226-016-97445105-10 с изм.№1-2</t>
  </si>
  <si>
    <t>3.8.4.</t>
  </si>
  <si>
    <t>Воранат М229</t>
  </si>
  <si>
    <t>3.8.5.</t>
  </si>
  <si>
    <t>Верхнее (гидромеханозащитное) плотное покрытие ППУ (200-300) кг/м3</t>
  </si>
  <si>
    <t>3.8.6.</t>
  </si>
  <si>
    <t>Изолан А-105 МГ</t>
  </si>
  <si>
    <t>ТУ 20.16.40-008-97445105-18</t>
  </si>
  <si>
    <t>3.8.7.</t>
  </si>
  <si>
    <t>3.8.8.</t>
  </si>
  <si>
    <t>активатор Викат-105 МГ</t>
  </si>
  <si>
    <t>3.8.9.</t>
  </si>
  <si>
    <t>Эмаль ПФ-115</t>
  </si>
  <si>
    <t>ГОСТ 6465-2023</t>
  </si>
  <si>
    <t>на 3 слоя | норма: 20,99/2,73</t>
  </si>
  <si>
    <t>3.9.</t>
  </si>
  <si>
    <t>Камера тепловая 3,0х3,0х2.0</t>
  </si>
  <si>
    <t>Сер. 3.903 КЛ13 вып.1-3</t>
  </si>
  <si>
    <t>3.10.</t>
  </si>
  <si>
    <t>Люк средний для тепловых сетей С(В125)-ТС.2-60 с замком</t>
  </si>
  <si>
    <t>3.11.</t>
  </si>
  <si>
    <t>Лестница Л-1</t>
  </si>
  <si>
    <t>Сер. 3903 кл.13 вып. 1-3 л.90</t>
  </si>
  <si>
    <t>3.12.</t>
  </si>
  <si>
    <t>Водосборник М-3 с сеткой</t>
  </si>
  <si>
    <t>Сер. 3903 кл.13 вып. 1-3 л.88</t>
  </si>
  <si>
    <t>3.13.</t>
  </si>
  <si>
    <t>Опорное кольцо КО6</t>
  </si>
  <si>
    <t>ГОСТ 8020-90</t>
  </si>
  <si>
    <t>3.14.</t>
  </si>
  <si>
    <t>Неподвижная опора для 2-х труб НО-I-150-Т-2,0</t>
  </si>
  <si>
    <t>Сер. 3.903 кл.13 вып. 0-1 л.26</t>
  </si>
  <si>
    <t>3.15.</t>
  </si>
  <si>
    <t>Узел 1 заделки металлических опор</t>
  </si>
  <si>
    <t>3.903 КЛ13 вып.0-1 л. 17-18</t>
  </si>
  <si>
    <t>3.16.</t>
  </si>
  <si>
    <t>Узел 2 заделки металлических опор</t>
  </si>
  <si>
    <t>3.17.</t>
  </si>
  <si>
    <t>Опора неподвижная двухупорная для труб Ду150 мм Э 159х5-Ст3сп5</t>
  </si>
  <si>
    <t>с. 5.903-13 в. 7-95 ТС-660.00.00-08</t>
  </si>
  <si>
    <t>Н3</t>
  </si>
  <si>
    <t>3.18.</t>
  </si>
  <si>
    <t>Сальник для тепловых сетей Ду150</t>
  </si>
  <si>
    <t>3.903 КЛ13 вып.0-1 лист7-8</t>
  </si>
  <si>
    <t>3.19.</t>
  </si>
  <si>
    <t>Сальник для тепловых сетей Ду50</t>
  </si>
  <si>
    <t>3.20.</t>
  </si>
  <si>
    <t>Сальник для инженерных сетей Ду100</t>
  </si>
  <si>
    <t>3.903 КЛ13 вып.0-1 лист9-10</t>
  </si>
  <si>
    <t>3.21.</t>
  </si>
  <si>
    <t>Щебень М1200 фр. 20/40</t>
  </si>
  <si>
    <t>3.22.</t>
  </si>
  <si>
    <t>3.23.</t>
  </si>
  <si>
    <t>Битум БН 90/10</t>
  </si>
  <si>
    <t>кг / м2</t>
  </si>
  <si>
    <t>норма: 160/80</t>
  </si>
  <si>
    <t>Приямок для опуска трубопроводов под землю (узел УТ-2)</t>
  </si>
  <si>
    <t>4.1.</t>
  </si>
  <si>
    <t>Приямок ж/б для опуска трубопроводов из бетона М 200</t>
  </si>
  <si>
    <t>4.2.</t>
  </si>
  <si>
    <t>4.3.</t>
  </si>
  <si>
    <t>Отвод 90-159х6</t>
  </si>
  <si>
    <t>4.4.</t>
  </si>
  <si>
    <t>4.5.</t>
  </si>
  <si>
    <t>норма: 4/0,4</t>
  </si>
  <si>
    <t>4.6.</t>
  </si>
  <si>
    <t>4.7.</t>
  </si>
  <si>
    <t>4.8.</t>
  </si>
  <si>
    <t>4.9.</t>
  </si>
  <si>
    <t>4.10.</t>
  </si>
  <si>
    <t>4.11.</t>
  </si>
  <si>
    <t>4.12.</t>
  </si>
  <si>
    <t>4.13.</t>
  </si>
  <si>
    <t>норма: 9,42/1,23</t>
  </si>
  <si>
    <t>4.14.</t>
  </si>
  <si>
    <t>4.15.</t>
  </si>
  <si>
    <t>Швеллер 16У</t>
  </si>
  <si>
    <t>ГОСТ 8240-97</t>
  </si>
  <si>
    <t>Опорные конструкции под Н1</t>
  </si>
  <si>
    <t>Узел ввода ТС в ИТП</t>
  </si>
  <si>
    <t>Кран шаровый фланцевый, редуцированный, 09Г2С, Ру25, Ду80</t>
  </si>
  <si>
    <t>КШ.Ф.RS.080.25-02</t>
  </si>
  <si>
    <t>УСТРОЙСТВО МАНОМЕТРОВ, через шаровый кран, с устройством отбора давления "КОЛЬЦО", Ст20, Тмакс=150°С</t>
  </si>
  <si>
    <t>5.3.1.</t>
  </si>
  <si>
    <t>5.3.2.</t>
  </si>
  <si>
    <t>5.3.3.</t>
  </si>
  <si>
    <t>5.3.4.</t>
  </si>
  <si>
    <t>5.3.5.</t>
  </si>
  <si>
    <t>5.3.6.</t>
  </si>
  <si>
    <t>5.3.7.</t>
  </si>
  <si>
    <t>5.3.8.</t>
  </si>
  <si>
    <t>5.3.9.</t>
  </si>
  <si>
    <t>5.3.10.</t>
  </si>
  <si>
    <t>Труба стальная бесшовная горячедеформированная, Ду80</t>
  </si>
  <si>
    <t>5.3.11.</t>
  </si>
  <si>
    <t>5.3.12.</t>
  </si>
  <si>
    <t>5.3.13.</t>
  </si>
  <si>
    <t>5.3.14.</t>
  </si>
  <si>
    <t>Фланец стальной плоский приварной 150-25-01-1-В-Ст20-III</t>
  </si>
  <si>
    <t>ГОСТ 33259-2015</t>
  </si>
  <si>
    <t>5.3.15.</t>
  </si>
  <si>
    <t>Фланец стальной плоский приварной 80-25-01-1-В-Ст20-III</t>
  </si>
  <si>
    <t>5.3.16.</t>
  </si>
  <si>
    <t>Заглушка фланцевая Ду80, Py40</t>
  </si>
  <si>
    <t>АТК 24.200.02-90</t>
  </si>
  <si>
    <t>5.3.17.</t>
  </si>
  <si>
    <t>Сальник для теплосетей Ду150</t>
  </si>
  <si>
    <t>АО-07/20-ТС, л. 9</t>
  </si>
  <si>
    <t>5.3.18.</t>
  </si>
  <si>
    <t>Заглушка изоляции металлическая 159х650</t>
  </si>
  <si>
    <t>5.3.19.</t>
  </si>
  <si>
    <t>Антикоррозийная грунтовка</t>
  </si>
  <si>
    <t>Вектор 1025</t>
  </si>
  <si>
    <t>5.3.20.</t>
  </si>
  <si>
    <t>Цилиндры теплоизоляционные кашированные алюминиевой армированной фольгой D159, δ=50 мм</t>
  </si>
  <si>
    <t>КВ-100-159х50</t>
  </si>
  <si>
    <t>5.3.21.</t>
  </si>
  <si>
    <t>Цилиндры теплоизоляционные кашированные алюминиевой армированной фольгой D89, δ=40 мм</t>
  </si>
  <si>
    <t>5.3.22.</t>
  </si>
  <si>
    <t>Цилиндры теплоизоляционные кашированные алюминиевой армированной фольгой D42, δ=30 мм</t>
  </si>
  <si>
    <t>Материалы системы ОДК (уточнить отдельным проектом)</t>
  </si>
  <si>
    <t>ИОС4.4.ГЧ Лист 3</t>
  </si>
  <si>
    <t>Концевой элемент трубопровода с кабелем вывода Ду 150/250</t>
  </si>
  <si>
    <t>Концевой элемент трубопровода без кабеля вывода Ду 150/250</t>
  </si>
  <si>
    <t>Комплект заделки стыка с термоусаживаемой муфтой для трубы в ППУ/ПЭ изоляции в составе: - Муфта из термоусаживаемого полиэтилена; - Пенополиуретан двухкомпонентный в пенопакетах; - Лента термоусаживаемая; - Адгезив (лента клеевая); - Замковая пластина; - Дренажная пробка; - Герметизирующая (вварная, коническая) пробка; - Гильзы обжимные для соединения проводников СОДК; - Подставка (стойка, держатель) для проводников СОДК; - Припой для обжимных гильз. Поставляется вместе с канифолью. Тип припоя – трубчатый ПОС-60 или ПОС-61.</t>
  </si>
  <si>
    <t>Для трубы 159х5,0/150</t>
  </si>
  <si>
    <t>КЗС (Т) 159/250</t>
  </si>
  <si>
    <t>Терминал</t>
  </si>
  <si>
    <t>КТ-11</t>
  </si>
  <si>
    <t>ООО «Термолайн»</t>
  </si>
  <si>
    <t>Ковер стальной наземный</t>
  </si>
  <si>
    <t>Кабель силовой NUM 3х1,5 мм2</t>
  </si>
  <si>
    <t>Материалы и земляные работы</t>
  </si>
  <si>
    <t>Песок фр. 0,5 -1 Кф&gt;5 м/сут</t>
  </si>
  <si>
    <t>ГОСТ 8736-93</t>
  </si>
  <si>
    <t>Подсыпка</t>
  </si>
  <si>
    <t>Засыпка на 200мм над конструкциями ТС</t>
  </si>
  <si>
    <t>Щиты из досок обрезных толщиной 50мм для крепления стенок траншей</t>
  </si>
  <si>
    <t>м2 360</t>
  </si>
  <si>
    <t>Прокладка стальных футляров D426х8 методом ГНБ под дорогой</t>
  </si>
  <si>
    <t>5.5.</t>
  </si>
  <si>
    <t>СЕТИ СВЯЗИ</t>
  </si>
  <si>
    <t>ВОР 34</t>
  </si>
  <si>
    <t>Отвод 90° сегментный стальной оцинкованный</t>
  </si>
  <si>
    <t>ВОР, нет в СО. Проверить по ИОС.4.4 л.4: кожух изоляции отвода (в СО нет) или стальной отвод (в СО есть 90-159х5 и 90-42,4х5 по 4 шт = те же 4+4)?; Источник: 03-01/07.21П-ИОС.4.4.СО л. 4 (Файл: 03-01_07.21П- HCOM.pdf, стр.: 2)</t>
  </si>
  <si>
    <t>ВОР, нет в СО. Проверить по ИОС.4.4 л.4,5: кожух изоляции отвода (в СО нет) или стальной отвод (в СО есть 90-159х5 и 90-42,4х5 по 4 шт = те же 4+4)?; Источник: 03-01/07.21П-ИОС.4.4.СО л. 4,5 (Файл: 03- 01 07.21П-ИОС4.4.pdf, стр.: 4 5)</t>
  </si>
  <si>
    <t>ВОР 77</t>
  </si>
  <si>
    <t>Заглушка стальная фланцевая, номинальный диаметр 100 мм</t>
  </si>
  <si>
    <t>ВОР, нет в СО. Проверить: в СО есть заглушка фланцевая Ду80 Ру40, 2 шт — у ВОРа Ду100. Расхождение диаметра; Источник: 03-01/07.21П-ИОС.4.4.СО л. 4,5 (Файл: 03- 01 07.21П-ИОС4.4.pdf, стр.: 4 5)</t>
  </si>
  <si>
    <t>Часть 1. Сети связи (СКС, ЛВС, ТФ) 03-01/07.21П-ИОС.5.1.СО</t>
  </si>
  <si>
    <t>Структурированная кабельная система, ЛВС, ТФ</t>
  </si>
  <si>
    <t>Телекоммуникационный шкаф ТШ-СС.1</t>
  </si>
  <si>
    <t>Шкаф монтажный телекоммуникационный 19" напольный для распределительного и серверного оборудования 42U 800х1000х2055мм передняя и задняя перфорированные двери, ручка с замком, цвет серый (RAL 7035)</t>
  </si>
  <si>
    <t>ND-05C-42U80/100</t>
  </si>
  <si>
    <t>Cabeus</t>
  </si>
  <si>
    <t>Модуль вентиляторный 19", 2 вентилятора, с цифровым термодатчиком</t>
  </si>
  <si>
    <t>JG02</t>
  </si>
  <si>
    <t>7151c</t>
  </si>
  <si>
    <t>Выдвижная полка 19" для клавиатуры</t>
  </si>
  <si>
    <t>JE10</t>
  </si>
  <si>
    <t>7150c</t>
  </si>
  <si>
    <t>Вертикальный кабельный органайзер в шкаф 42U, металлический</t>
  </si>
  <si>
    <t>SH-05C42</t>
  </si>
  <si>
    <t>7078c</t>
  </si>
  <si>
    <t>Заглушка (Фальш-Панель) 19" 1U</t>
  </si>
  <si>
    <t>SH-J019-1U</t>
  </si>
  <si>
    <t>7080c</t>
  </si>
  <si>
    <t>Направляющие в шкаф глубиной 1000мм для установки серверного оборудования, пара, усиленные до 100кг</t>
  </si>
  <si>
    <t>JH05-10-100KG</t>
  </si>
  <si>
    <t>8529c</t>
  </si>
  <si>
    <t>Винт с шайбой и гайкой M6 для крепления 19" оборудования (1 шт)</t>
  </si>
  <si>
    <t>SH-J014</t>
  </si>
  <si>
    <t>7079c</t>
  </si>
  <si>
    <t>Медная шина заземления (покрытие никелем), 19" дюймов, в комплекте винты, шайбы</t>
  </si>
  <si>
    <t>CGB-1U-19</t>
  </si>
  <si>
    <t>7113c</t>
  </si>
  <si>
    <t>1.10</t>
  </si>
  <si>
    <t>Набор кабелей заземления (30см - 6 шт, 40см - 2шт, гайка с фланцем - 16 шт)</t>
  </si>
  <si>
    <t>GrW</t>
  </si>
  <si>
    <t>7708c</t>
  </si>
  <si>
    <t>1.11</t>
  </si>
  <si>
    <t>Кросс бокс оптический 19" на 16 SC (LC duplex) со сплайс-кассетой и КДЗС (без пигтейлов и проходных адаптеров)</t>
  </si>
  <si>
    <t>FO-19-16SC</t>
  </si>
  <si>
    <t>7035c</t>
  </si>
  <si>
    <t>1.12</t>
  </si>
  <si>
    <t>Проходной соединитель LC-LC duplex, MM (для многомодового кабеля), корпус пластмассовый</t>
  </si>
  <si>
    <t>DLC-DLC-MM</t>
  </si>
  <si>
    <t>7133c</t>
  </si>
  <si>
    <t>1.13</t>
  </si>
  <si>
    <t>Пигтейл LC 50/125 mm (OM4) 1.5м LSZH</t>
  </si>
  <si>
    <t>PT-LC-50-OM4</t>
  </si>
  <si>
    <t>8763c</t>
  </si>
  <si>
    <t>1.14</t>
  </si>
  <si>
    <t>Патч-панель 19" (1U), 24 порта RJ-45, категория 5e, Dual IDC, с задним кабельным организатором</t>
  </si>
  <si>
    <t>PL-24-Cat.5e-Dual IDC</t>
  </si>
  <si>
    <t>7000c</t>
  </si>
  <si>
    <t>1.15</t>
  </si>
  <si>
    <t>Патч-панель высокой плотности 19", 1U, 48 портов RJ-45, категория 5е, Dual IDC</t>
  </si>
  <si>
    <t>PLHD-48-Cat.5e-Dual IDC-1U</t>
  </si>
  <si>
    <t>7487c</t>
  </si>
  <si>
    <t>1.16</t>
  </si>
  <si>
    <t>Кабельный органайзер горизонтальный 19" 1U, 5 колец, металлический, цвет серый (RAL7035)</t>
  </si>
  <si>
    <t>JB08-1U-GY</t>
  </si>
  <si>
    <t>7916c</t>
  </si>
  <si>
    <t>1.17</t>
  </si>
  <si>
    <t>Блок евророзеток для 19" шкафов, горизонтальный, 6 розеток, 16А, без выключателя, шнур 2м, алюминиевый корпус, немецкий стандарт</t>
  </si>
  <si>
    <t>PDU-6P-2EU</t>
  </si>
  <si>
    <t>7290c</t>
  </si>
  <si>
    <t>1.18</t>
  </si>
  <si>
    <t>DIN-рейка 60см оцинкованная</t>
  </si>
  <si>
    <t>YDN10-0060</t>
  </si>
  <si>
    <t>IEK</t>
  </si>
  <si>
    <t>1.19</t>
  </si>
  <si>
    <t>Шина N "ноль" на DIN-изоляторе с никелевым покрытием</t>
  </si>
  <si>
    <t>ШНИ-6х9-10-Д-С IEK</t>
  </si>
  <si>
    <t>1.20</t>
  </si>
  <si>
    <t>Автоматический однополюсный выключатель 16А В S201 6кА</t>
  </si>
  <si>
    <t>2CDS251001R1165</t>
  </si>
  <si>
    <t>ABB</t>
  </si>
  <si>
    <t>1.21</t>
  </si>
  <si>
    <t>Выключатель нагрузки трехполюсный 80NA</t>
  </si>
  <si>
    <t>2CDE283001R0080</t>
  </si>
  <si>
    <t>1.22</t>
  </si>
  <si>
    <t>ИБП онлайн двойного преобразования с раздельным вводом байпас, 10кВА/9кВт</t>
  </si>
  <si>
    <t>СИПБ10КД.9-31/БПС</t>
  </si>
  <si>
    <t>АПСМ.435341.009-04.02</t>
  </si>
  <si>
    <t>Связь инжиниринг</t>
  </si>
  <si>
    <t>1.23</t>
  </si>
  <si>
    <t>Батарейный модуль с батареями 7,2 Ач</t>
  </si>
  <si>
    <t>БМСИПБ15-20КД (7,2Ач)</t>
  </si>
  <si>
    <t>АПСМ.563474.003</t>
  </si>
  <si>
    <t>1.24</t>
  </si>
  <si>
    <t>Малогабаритная аккумуляторная батарея 12 В / 7,2 Ач</t>
  </si>
  <si>
    <t>FM-6-7.2B</t>
  </si>
  <si>
    <t>1.25</t>
  </si>
  <si>
    <t>Карта удаленного управления для ИБП "Связь инжиниринг"</t>
  </si>
  <si>
    <t>NetAgent CY504</t>
  </si>
  <si>
    <t>CY504</t>
  </si>
  <si>
    <t>1.26</t>
  </si>
  <si>
    <t>Монтажный комплект рельс 3U для 19" стойки</t>
  </si>
  <si>
    <t>Rail Kit 19" 3U</t>
  </si>
  <si>
    <t>АПСМ.304137.002</t>
  </si>
  <si>
    <t>1.27</t>
  </si>
  <si>
    <t>Ethernet-коммутатор MES3316F, 12 портов 1000Base-X(SFP), 4 комбинированных порта 10/100/1000Base-T/1000Base-X(SFP), 4 порта 10GBase-R (SFP+), L3, 2 слота для модулей питания + 2* Модуль питания PM160-220/12, 220V AC, 160W</t>
  </si>
  <si>
    <t>MES3316F + 2* PM160-220/12</t>
  </si>
  <si>
    <t>Eltex</t>
  </si>
  <si>
    <t>1.28</t>
  </si>
  <si>
    <t>Сертификат на консультационные услуги по вопросам эксплуатации оборудования Eltex MES/ESR/ME Aggregation, пакет BASIC-UN: безлимитное количество обращений 8х5, 3 календарных года</t>
  </si>
  <si>
    <t>SC-TS-BASIC-UN3Y</t>
  </si>
  <si>
    <t>1.29</t>
  </si>
  <si>
    <t>Услуга по отправке оборудования на замену на следующий рабочий день (next business shiping) для оборудования Eltex MES/ESR, DDP город России (кроме городов Крайнего Севера), подписка 3 календарных года</t>
  </si>
  <si>
    <t>NBS-SWITCH-R3Y</t>
  </si>
  <si>
    <t>1.30</t>
  </si>
  <si>
    <t>Опция EMS-MES-aggregation системы Eltex. EMS для управления и мониторинга сетевыми элементами Eltex: 1 сетевой элемент MES-3000 или MES-5000</t>
  </si>
  <si>
    <t>EMS-MES-aggregation</t>
  </si>
  <si>
    <t>1.31</t>
  </si>
  <si>
    <t>Ethernet-коммутатор MES2324P, 24 порта 10/100/1000BASE-T (RJ-45) PoE/PoE+, 4 порта 10GBASE-R (SFP+)/1000BASE-X (SFP), L3, 170-264 В AC</t>
  </si>
  <si>
    <t>MES2324P</t>
  </si>
  <si>
    <t>1.32</t>
  </si>
  <si>
    <t>Сервисный контракт на коммутационное оборудование Eltex MES, режим взаимодействия - 8х5, 3 календарных года</t>
  </si>
  <si>
    <t>SC-MES-Access-B3Y</t>
  </si>
  <si>
    <t>1.33</t>
  </si>
  <si>
    <t>1.34</t>
  </si>
  <si>
    <t>Опция EMS-MES-access системы Eltex.EMS для управления и мониторинга сетевыми элементами Eltex: 1 сетевой элемент MES-1000, MES-2000</t>
  </si>
  <si>
    <t>EMS-MES-access</t>
  </si>
  <si>
    <t>1.35</t>
  </si>
  <si>
    <t>Ethernet-коммутатор MES2348B, 48 портов 10/100/1000 Base-T, 4 порта 10GBase-R (SFP+)/1000Base-X (SFP), L3, 220V AC, 12V DC</t>
  </si>
  <si>
    <t>MES2348B_AC</t>
  </si>
  <si>
    <t>1.36</t>
  </si>
  <si>
    <t>1.37</t>
  </si>
  <si>
    <t>1.38</t>
  </si>
  <si>
    <t>1.39</t>
  </si>
  <si>
    <t>VoIP-шлюз TAU-16.IP: 16хFXS, 2хRJ-45-10/100/1000, SIP/H.323, 1U, AC 220В</t>
  </si>
  <si>
    <t>TAU-16.IP-S</t>
  </si>
  <si>
    <t>1.40</t>
  </si>
  <si>
    <t>Кабель UTP-25-X: 25-парный кабель длиной 4 метра, оконеченный разъемами TELCO-50</t>
  </si>
  <si>
    <t>UTP-25-4</t>
  </si>
  <si>
    <t>1.41</t>
  </si>
  <si>
    <t>Модуль питания PM160-220/12, 220В AC, 160 Вт</t>
  </si>
  <si>
    <t>PM160-220/12</t>
  </si>
  <si>
    <t>1.42</t>
  </si>
  <si>
    <t>Опция EMS-TAU системы Eltex.EMS для управления и мониторинга сетевыми элементами Eltex: 1 сетевой элемент TAU-72.IP/TAU-36.IP/TAU- 32M.IP/TAU-24.IP/TAU-16.IP</t>
  </si>
  <si>
    <t>EMS-TAU</t>
  </si>
  <si>
    <t>1.43</t>
  </si>
  <si>
    <t>Контроллер Wi-Fi</t>
  </si>
  <si>
    <t>1.44</t>
  </si>
  <si>
    <t>Сервер DEPO Storm 1420Q1: Intel® Xeon® E-2234, 16 ГБ, 2 x 300 ГБ SAS-накопитель, Сдвоенный блок питания 400 Вт (2х400 Вт)</t>
  </si>
  <si>
    <t>DEPO Storm 1420Q1 E-2234/16GBUE2/L9341-4i/2Q300G10_35/2GLAN_i210/4D/3E/PCIe/IPMI+/2PS400/RMK/ONS3S</t>
  </si>
  <si>
    <t>Depo</t>
  </si>
  <si>
    <t>1.45</t>
  </si>
  <si>
    <t>Опция WLC. Софт контроллер со встроенным решением AAA и порталом авторизации для одной точки доступа Eltex</t>
  </si>
  <si>
    <t>WLC</t>
  </si>
  <si>
    <t>1.46</t>
  </si>
  <si>
    <t>Опция Airtune для 1 точки доступа Элтекс</t>
  </si>
  <si>
    <t>Airtune</t>
  </si>
  <si>
    <t>1.47</t>
  </si>
  <si>
    <t>Услуга по отправке оборудования на замену на следующий рабочий день (next business shiping) для оборудования Eltex WEP/WOP, DDP город России (кроме городов Крайнего Севера), подписка 5 календарных лет</t>
  </si>
  <si>
    <t>NBS-WIAN-R5Y</t>
  </si>
  <si>
    <t>1.48</t>
  </si>
  <si>
    <t>Сервисный контракт на техническую поддержку по точкам доступа Wi-Fi, режим взаимодействия - 8х5, 5 календарных лет</t>
  </si>
  <si>
    <t>SC-WLAN-BASIK-UN5Y</t>
  </si>
  <si>
    <t>1.49</t>
  </si>
  <si>
    <t>Wi-Fi точки доступа</t>
  </si>
  <si>
    <t>1.50</t>
  </si>
  <si>
    <t>Беспроводная точка доступа 802.11a/b/g/n/ac/ax, 2.4 ГГц, 5 ГГц; радиоинтерфейс с MU-MIMO 2х2; 1 порт 100/1000/2500BASE-T (RJ-45)</t>
  </si>
  <si>
    <t>WEP-3ax</t>
  </si>
  <si>
    <t>1.51</t>
  </si>
  <si>
    <t>Точка доступа 802.11 ac (5G WiFi), 2.4/5GHz; 3х3 MIMO;. 2 порта 10/100/1000 Base-T, 1 порт 100/1000Base-X(SFP), 6 разьемов N-типа для подключения внешних антен, 48 В DC-PoE+</t>
  </si>
  <si>
    <t>WOP-12ac</t>
  </si>
  <si>
    <t>1.52</t>
  </si>
  <si>
    <t>Марштуризатор</t>
  </si>
  <si>
    <t>1.53</t>
  </si>
  <si>
    <t>Сервисный маршрутизатор ESR-12VF: 8хEthernet 10/100/1000 Base-T; 1х1000Base-X (SFP); 1хRS-232 (RJ-45); 2 порта USB2.0</t>
  </si>
  <si>
    <t>ESR-12VF</t>
  </si>
  <si>
    <t>1.54</t>
  </si>
  <si>
    <t>1.55</t>
  </si>
  <si>
    <t>1.56</t>
  </si>
  <si>
    <t>Опция EMS-ESR системы Eltex.EMS для управления и мониторинга серии маршрутизаторов 1000/1200/1700: 1 сетевой элемент ESR</t>
  </si>
  <si>
    <t>EMS-ESR</t>
  </si>
  <si>
    <t>1.57</t>
  </si>
  <si>
    <t>Сервер управления сетью</t>
  </si>
  <si>
    <t>1.58</t>
  </si>
  <si>
    <t>Сервер DEPO Storm 3450Z1: Microsoft® Windows Server 2019 Standard (16 ядер), RU, 2 x Intel® Xeon® Silver 4208, 128 Гб, 2 x 240 ГБ SSD SATA-накопитель, 2 x 1000 ГБ SATA-накопитель (7200 об/мин) 2.5" (2 шт.), 3 x 300 ГБ SAS-накопитель (10000 об/мин) 2.5", Сетевая карта (мезонин), 2 порта, 10 Гбит/с, SFP+, трансиверы 1 Гбит/с, RJ-45, Сдвоенный блок питания 800 Вт (2х800 Вт)</t>
  </si>
  <si>
    <t>DEPO Storm 3450Z1 2K19RSt_16C/2xS4208/128GBRE4/L9361-4i/2DT240/2T1000G7/2T1000G7/3Q300G10/10HSDA4N/24D/3E/M2SFP10T1G/IPMI+/800W2HS/RMK/ONS3S</t>
  </si>
  <si>
    <t>1.59</t>
  </si>
  <si>
    <t>Телекоммуникационный шкаф ТШ-СС.3</t>
  </si>
  <si>
    <t>1.60</t>
  </si>
  <si>
    <t>Шкаф монтажный телекоммуникационный 19" напольный для распределительного и серверного оборудования 42U (ШхГхВ) 800х1000х2055mm передняя и задняя перфорированные двери, ручка с замком, цвет серый (RAL 7035)</t>
  </si>
  <si>
    <t>1.61</t>
  </si>
  <si>
    <t>1.62</t>
  </si>
  <si>
    <t>1.63</t>
  </si>
  <si>
    <t>1.64</t>
  </si>
  <si>
    <t>1.65</t>
  </si>
  <si>
    <t>Заглушка (Фальш-Панель) 19" 4U</t>
  </si>
  <si>
    <t>SH-J019-4U</t>
  </si>
  <si>
    <t>7082c</t>
  </si>
  <si>
    <t>1.66</t>
  </si>
  <si>
    <t>1.67</t>
  </si>
  <si>
    <t>1.68</t>
  </si>
  <si>
    <t>Набор кабелей заземления (30см - 6 шт, 40см- 2шт, гайка с фланцем - 16 шт)</t>
  </si>
  <si>
    <t>1.69</t>
  </si>
  <si>
    <t>1.70</t>
  </si>
  <si>
    <t>1.71</t>
  </si>
  <si>
    <t>Автоматический двухполюсный выключатель 16А C S202 6кА</t>
  </si>
  <si>
    <t>2CDS252001R0164</t>
  </si>
  <si>
    <t>1.72</t>
  </si>
  <si>
    <t>Блок евророзеток для 19" шкафов, горизонтальный, 8 розеток, 10 А, выключатель, алюминиевый корпус, шнур 2 м, вилка IEC 320 C14</t>
  </si>
  <si>
    <t>PDU-8P-2IEC</t>
  </si>
  <si>
    <t>1.73</t>
  </si>
  <si>
    <t>Разъем IEC 60320 C20 220в. 16A на кабель</t>
  </si>
  <si>
    <t>Hyperline</t>
  </si>
  <si>
    <t>1.74</t>
  </si>
  <si>
    <t>Кросс бокс оптический 19" на 8 SC (LC duplex) со сплайс-кассетой и КДЗС (без пигтейлов и проходных адаптеров)</t>
  </si>
  <si>
    <t>FO-19-8SC</t>
  </si>
  <si>
    <t>7033c</t>
  </si>
  <si>
    <t>1.75</t>
  </si>
  <si>
    <t>1.76</t>
  </si>
  <si>
    <t>1.77</t>
  </si>
  <si>
    <t>1.78</t>
  </si>
  <si>
    <t>Патч-панель высокой плотности 19", 1U, 48 портов RJ-45, категория 5е Dual IDC</t>
  </si>
  <si>
    <t>1.79</t>
  </si>
  <si>
    <t>1.80</t>
  </si>
  <si>
    <t>1.81</t>
  </si>
  <si>
    <t>1.82</t>
  </si>
  <si>
    <t>1.83</t>
  </si>
  <si>
    <t>Опция EMS-MES-access системы Eltex. EMS для управления и мониторинга сетевыми элементами Eltex: 1 сетевой элемент MES-1000, MES-2000</t>
  </si>
  <si>
    <t>1.84</t>
  </si>
  <si>
    <t>1.85</t>
  </si>
  <si>
    <t>1.86</t>
  </si>
  <si>
    <t>1.87</t>
  </si>
  <si>
    <t>1.88</t>
  </si>
  <si>
    <t>VoIP-шлюз TAU-16.IP: 16хFXS, 2хRJ-45-10/100/1000, SIP/H.323, 1U, AC, 220В</t>
  </si>
  <si>
    <t>1.89</t>
  </si>
  <si>
    <t>1.90</t>
  </si>
  <si>
    <t>1.91</t>
  </si>
  <si>
    <t>Опция EMS-TAU системы Eltex. EMS для управления и мониторинга сетевыми элементами Eltex: 1 сетевой элемент TAU-72.IP/TAU-36.IP/TAU- 32M.IP/TAU-24.IP/TAU-16.IP</t>
  </si>
  <si>
    <t>1.92</t>
  </si>
  <si>
    <t>ИБП онлайн двойного преобразования с встроенными аккумуляторами, 3кВа/3кВт</t>
  </si>
  <si>
    <t>СИПБ3КА.9-11</t>
  </si>
  <si>
    <t>АПСМ.435241.019-02</t>
  </si>
  <si>
    <t>1.93</t>
  </si>
  <si>
    <t>Батарейный модуль с установкой в стойку</t>
  </si>
  <si>
    <t>БМСИПБ1,5-3КА.9-11</t>
  </si>
  <si>
    <t>АПСМ.563473.005</t>
  </si>
  <si>
    <t>1.94</t>
  </si>
  <si>
    <t>Монтажный комплект рельс 2U для 19" стойки</t>
  </si>
  <si>
    <t>Rail Kit 19" 2U</t>
  </si>
  <si>
    <t>АПСМ.304137.001</t>
  </si>
  <si>
    <t>1.95</t>
  </si>
  <si>
    <t>Карта удаленного управления SNMP</t>
  </si>
  <si>
    <t>1.96</t>
  </si>
  <si>
    <t>Телекоммуникационный шкаф ТШ-СС.4</t>
  </si>
  <si>
    <t>1.97</t>
  </si>
  <si>
    <t>1.98</t>
  </si>
  <si>
    <t>1.99</t>
  </si>
  <si>
    <t>1.100</t>
  </si>
  <si>
    <t>Трансиверы</t>
  </si>
  <si>
    <t>1.101</t>
  </si>
  <si>
    <t>SFP трансивер для 10/100/1000 BASE-T</t>
  </si>
  <si>
    <t>FH-ST2</t>
  </si>
  <si>
    <t>1.102</t>
  </si>
  <si>
    <t>SFP трансивер 1,25 GE модуль 550м, MM, 2 волокна, 850 nm, LC, DDM</t>
  </si>
  <si>
    <t>FH-S8512CDL05</t>
  </si>
  <si>
    <t>1.103</t>
  </si>
  <si>
    <t>Подсистема рабочего места</t>
  </si>
  <si>
    <t>1.104</t>
  </si>
  <si>
    <t>Опалубка металлическая для лючка</t>
  </si>
  <si>
    <t>88234</t>
  </si>
  <si>
    <t>ДКС</t>
  </si>
  <si>
    <t>Пом. 187</t>
  </si>
  <si>
    <t>1.105</t>
  </si>
  <si>
    <t>Крышка опалубки для монтажа лючка на 12 модулей</t>
  </si>
  <si>
    <t>88212</t>
  </si>
  <si>
    <t>1.106</t>
  </si>
  <si>
    <t>Лючок напольный "In-liner Front" 12 модулей</t>
  </si>
  <si>
    <t>88012</t>
  </si>
  <si>
    <t>1.107</t>
  </si>
  <si>
    <t>Каркас для монтажа электроустановочных изделий серии "45х45 мм" на 2 модуля</t>
  </si>
  <si>
    <t>F0000L</t>
  </si>
  <si>
    <t>1.108</t>
  </si>
  <si>
    <t>Лицевая панель 80х80мм для модулей 45х45 (Mosaic)</t>
  </si>
  <si>
    <t>FF-80х80</t>
  </si>
  <si>
    <t>7453c</t>
  </si>
  <si>
    <t>В т.ч. 5 ЗИП</t>
  </si>
  <si>
    <t>1.109</t>
  </si>
  <si>
    <t>Вставка 45х22,5 (Mosaic) для 1 модуля формата Keystone Jack</t>
  </si>
  <si>
    <t>FP-22,5-1M</t>
  </si>
  <si>
    <t>7006c</t>
  </si>
  <si>
    <t>Для ТВ розетки</t>
  </si>
  <si>
    <t>1.110</t>
  </si>
  <si>
    <t>Вставка 45х45 (Mosaic) для 2 модулей формата Keystone Jack</t>
  </si>
  <si>
    <t>FP-45-2M</t>
  </si>
  <si>
    <t>7005c</t>
  </si>
  <si>
    <t>1.111</t>
  </si>
  <si>
    <t>Подрозетник под бетон/кирпич 68х45 мм</t>
  </si>
  <si>
    <t>1.112</t>
  </si>
  <si>
    <t>Корпус внешней настенной розетки на 1 Keystone</t>
  </si>
  <si>
    <t>MB-1</t>
  </si>
  <si>
    <t>7445c</t>
  </si>
  <si>
    <t>Для Wi-Fi</t>
  </si>
  <si>
    <t>1.113</t>
  </si>
  <si>
    <t>Вставка Keystone Jack RJ-45, категория 5e, заделка тип 110, белая</t>
  </si>
  <si>
    <t>KJ-RJ45-Cat.5e-90</t>
  </si>
  <si>
    <t>7008c</t>
  </si>
  <si>
    <t>В т.ч. 10 ЗИП</t>
  </si>
  <si>
    <t>1.114</t>
  </si>
  <si>
    <t>Кабельные линии и монтажные материалы</t>
  </si>
  <si>
    <t>1.115</t>
  </si>
  <si>
    <t>Патч-корд U/UTP, категория 5е, 2xRJ45/8p8c, неэкранированный, серый, LSZH, 1м</t>
  </si>
  <si>
    <t>PC-UTP-RJ45-CAT.5E-1m-LSZH</t>
  </si>
  <si>
    <t>8863c</t>
  </si>
  <si>
    <t>1.116</t>
  </si>
  <si>
    <t>Патч-корд U/UTP, категория 5е, 2xRJ45/8p8c, неэкранированный, серый, LSZH, 2м</t>
  </si>
  <si>
    <t>PC-UTP-RJ45-CAT.5E-2m-LSZH</t>
  </si>
  <si>
    <t>8865c</t>
  </si>
  <si>
    <t>1.117</t>
  </si>
  <si>
    <t>Патч-корд U/UTP, категория 5е, 2xRJ45/8p8c, неэкранированный, серый, LSZH, 3м</t>
  </si>
  <si>
    <t>PC-UTP-RJ45-CAT.5E-3m-LSZH</t>
  </si>
  <si>
    <t>8866c</t>
  </si>
  <si>
    <t>1.118</t>
  </si>
  <si>
    <t>Патч-корд U/UTP, категория 5е, 2xRJ45/8p8c, неэкранированный, серый, LSZH, 5м</t>
  </si>
  <si>
    <t>PC-UTP-RJ45-CAT.5E-5m-LSZH</t>
  </si>
  <si>
    <t>8867c</t>
  </si>
  <si>
    <t>1.119</t>
  </si>
  <si>
    <t>Кабель витая пара UTP (U/UTP), категория 5e, 4 пары (24 AWG), одножильный, серый, LSZH, нг(А)-HF, (305 м), для внутренней прокладки</t>
  </si>
  <si>
    <t>UTP-4P-Cat.5e-SOLID-LSZH-GY</t>
  </si>
  <si>
    <t>9776c</t>
  </si>
  <si>
    <t>В т.ч. 10% ЗИП, проект - 8050шт.!</t>
  </si>
  <si>
    <t>1.120</t>
  </si>
  <si>
    <t>Кабель волоконно-оптический 50/125 (OM4) многомодовый, 16 волокон, плотное буферное покрытие (tight buffer), для внутренней прокладки (-25C ~ +50), LSZH, маджента RAL 4010</t>
  </si>
  <si>
    <t>TB-A-7-16T-D-K-LSZH-IN-25</t>
  </si>
  <si>
    <t>9238c</t>
  </si>
  <si>
    <t>В т.ч. 10% ЗИП</t>
  </si>
  <si>
    <t>1.121</t>
  </si>
  <si>
    <t>Кабель волоконно-оптический 50/125 (OM4) многомодовый, 8 волокон, плотное буферное покрытие (tight buffer), для внутренней прокладки (-25C ~ +50), LSZH, маджента RAL 4010</t>
  </si>
  <si>
    <t>TB-A-7-08T-E-K-LSZH-IN-25</t>
  </si>
  <si>
    <t>9232c</t>
  </si>
  <si>
    <t>1.122</t>
  </si>
  <si>
    <t>Шнур оптический duplex LC-LC 50/125 mm OM4 2м LSZH</t>
  </si>
  <si>
    <t>FOP-50-OM4-LC-LC-2m</t>
  </si>
  <si>
    <t>9102c</t>
  </si>
  <si>
    <t>1.123</t>
  </si>
  <si>
    <t>Коннектор RJ-45 под витую пару, категория 5e, универсальный (для одножильного и многожилильного)</t>
  </si>
  <si>
    <t>8P8C Коннектор RJ-45</t>
  </si>
  <si>
    <t>7009c</t>
  </si>
  <si>
    <t>1.124</t>
  </si>
  <si>
    <t>Изолирующий колпачок для разъемов RJ-45, серый, d-6.1 мм</t>
  </si>
  <si>
    <t>CAP-GY</t>
  </si>
  <si>
    <t>7011c</t>
  </si>
  <si>
    <t>1.125</t>
  </si>
  <si>
    <t>Гофрированная труба 20 мм</t>
  </si>
  <si>
    <t>D20</t>
  </si>
  <si>
    <t>91920</t>
  </si>
  <si>
    <t>1.126</t>
  </si>
  <si>
    <t>Держатель с защелкой и дюбелем 20 мм</t>
  </si>
  <si>
    <t>51320</t>
  </si>
  <si>
    <t>1.127</t>
  </si>
  <si>
    <t>Хомут стандартный 2,5 мм 135 мм</t>
  </si>
  <si>
    <t>25305</t>
  </si>
  <si>
    <t>1.128</t>
  </si>
  <si>
    <t>Бирка жесткая треугольная для контрольных кабелей</t>
  </si>
  <si>
    <t>У-136</t>
  </si>
  <si>
    <t>1.129</t>
  </si>
  <si>
    <t>Труба стальная DN25, толщина стенки 3,2 мм</t>
  </si>
  <si>
    <t>33,5х3,2 ГОСТ 3262-75</t>
  </si>
  <si>
    <t>ООО «АлеВас»</t>
  </si>
  <si>
    <t>1.130</t>
  </si>
  <si>
    <t>Труба стальная DN50, толщина стенки 3,2 мм</t>
  </si>
  <si>
    <t>60х3,5 ГОСТ 3262-75</t>
  </si>
  <si>
    <t>1.131</t>
  </si>
  <si>
    <t>Крепеж для троса к балке горизонтальный</t>
  </si>
  <si>
    <t>CM611014</t>
  </si>
  <si>
    <t>1.132</t>
  </si>
  <si>
    <t>Огнестойкий герметик DS 20кг</t>
  </si>
  <si>
    <t>DS1201</t>
  </si>
  <si>
    <t>1.133</t>
  </si>
  <si>
    <t>Огнестойкая пена DN (325 мл)</t>
  </si>
  <si>
    <t>DN1201</t>
  </si>
  <si>
    <t>Система комплексного приема телевидения</t>
  </si>
  <si>
    <t>Антенна телевизионная, коллективная, каналы 21-60</t>
  </si>
  <si>
    <t>Меридиан-12F</t>
  </si>
  <si>
    <t>satellite.ru</t>
  </si>
  <si>
    <t>Мачта антенная, 5м с пяткой и кольцом для оттяжек</t>
  </si>
  <si>
    <t>МА50</t>
  </si>
  <si>
    <t>Комплект заземления антенной мачты</t>
  </si>
  <si>
    <t>КЗМ</t>
  </si>
  <si>
    <t>Стеновое телескопическое крепления для мачт</t>
  </si>
  <si>
    <t>СКт 50-85</t>
  </si>
  <si>
    <t>ООО ”Радиотехник”</t>
  </si>
  <si>
    <t>Анкерный болт высокопрочный М10</t>
  </si>
  <si>
    <t>М10 15х106</t>
  </si>
  <si>
    <t>ООО "Хангинг"</t>
  </si>
  <si>
    <t>Антенный усилитель</t>
  </si>
  <si>
    <t>БРИЗ-1.1</t>
  </si>
  <si>
    <t>ООО "ПЛАНАР"</t>
  </si>
  <si>
    <t>Инжектор питания для антенного усилителя</t>
  </si>
  <si>
    <t>БП-01 12/150 ВХ</t>
  </si>
  <si>
    <t>Грозозащита</t>
  </si>
  <si>
    <t>TS2006</t>
  </si>
  <si>
    <t>RTM</t>
  </si>
  <si>
    <t>Переход FF-FF (тип F818)</t>
  </si>
  <si>
    <t>RTM-FF-FF-P100</t>
  </si>
  <si>
    <t>2.10</t>
  </si>
  <si>
    <t>Широкополосный усилитель</t>
  </si>
  <si>
    <t>SD1500-1</t>
  </si>
  <si>
    <t>2.11</t>
  </si>
  <si>
    <t>Ответвитель на два направления, 20дБ</t>
  </si>
  <si>
    <t>TAH-220F</t>
  </si>
  <si>
    <t>2.12</t>
  </si>
  <si>
    <t>Ответвитель на три направления, 20дБ</t>
  </si>
  <si>
    <t>TAH-320F</t>
  </si>
  <si>
    <t>2.13</t>
  </si>
  <si>
    <t>Ответвитель на четыре направления, 16дБ</t>
  </si>
  <si>
    <t>TAH-416F</t>
  </si>
  <si>
    <t>2.14</t>
  </si>
  <si>
    <t>Делитель на четыре направления</t>
  </si>
  <si>
    <t>SAH408F</t>
  </si>
  <si>
    <t>2.15</t>
  </si>
  <si>
    <t>Разъем F11TW (тип F829/11U) для RG-11</t>
  </si>
  <si>
    <t>RTM-F11TW-P50</t>
  </si>
  <si>
    <t>2.16</t>
  </si>
  <si>
    <t>Разъем F06TW (тип F810) для RG-6</t>
  </si>
  <si>
    <t>RTM-F06TW-P100</t>
  </si>
  <si>
    <t>2.17</t>
  </si>
  <si>
    <t>Нагрузка 75 Ом</t>
  </si>
  <si>
    <t>F823</t>
  </si>
  <si>
    <t>2.18</t>
  </si>
  <si>
    <t>Аттенюатор, 6 дБ</t>
  </si>
  <si>
    <t>RTM-AT106FF</t>
  </si>
  <si>
    <t>2.19</t>
  </si>
  <si>
    <t>Аттенюатор, 3 дБ</t>
  </si>
  <si>
    <t>RTM-AT103FF</t>
  </si>
  <si>
    <t>2.20</t>
  </si>
  <si>
    <t>TV розетка Mosaic «Звезда» 1 модуль, диаметр 9,52 мм (белый), 1.5 дБ</t>
  </si>
  <si>
    <t>078793</t>
  </si>
  <si>
    <t>Legrand</t>
  </si>
  <si>
    <t>2.21</t>
  </si>
  <si>
    <t>Кабель магистральный</t>
  </si>
  <si>
    <t>РК 75-7-327нг(А)-HF</t>
  </si>
  <si>
    <t>Паритет</t>
  </si>
  <si>
    <t>В т.ч. ЗИП 10%</t>
  </si>
  <si>
    <t>2.22</t>
  </si>
  <si>
    <t>Кабель абонентский</t>
  </si>
  <si>
    <t>РК 75-4,8-321нг(А)-HF</t>
  </si>
  <si>
    <t>2.23</t>
  </si>
  <si>
    <t>Гофрированная труба 16 мм</t>
  </si>
  <si>
    <t>D16</t>
  </si>
  <si>
    <t>91916</t>
  </si>
  <si>
    <t>2.24</t>
  </si>
  <si>
    <t>Держатель с защелкой и дюбелем 16 мм</t>
  </si>
  <si>
    <t>51316</t>
  </si>
  <si>
    <t>2.25</t>
  </si>
  <si>
    <t>Труба гофрированная из полиамида 23мм</t>
  </si>
  <si>
    <t>PA612329F2</t>
  </si>
  <si>
    <t>2.26</t>
  </si>
  <si>
    <t>Скоба металлическая однолапковая Д.25-26</t>
  </si>
  <si>
    <t>53344R</t>
  </si>
  <si>
    <t>2.27</t>
  </si>
  <si>
    <t>Саморез 3,5х50 мм с дюбелем М6х45</t>
  </si>
  <si>
    <t>СМ06541</t>
  </si>
  <si>
    <t>2.28</t>
  </si>
  <si>
    <t>2.29</t>
  </si>
  <si>
    <t>У136</t>
  </si>
  <si>
    <t>2.30</t>
  </si>
  <si>
    <t>2.31</t>
  </si>
  <si>
    <t>2.32</t>
  </si>
  <si>
    <t>Система проводного радиовещания</t>
  </si>
  <si>
    <t>Шкаф телекоммуникационный напольный 18U (600×600) дверь стекло</t>
  </si>
  <si>
    <t>ШТК-М-18.6.6-1ААА</t>
  </si>
  <si>
    <t>30144521500</t>
  </si>
  <si>
    <t>ЦМО</t>
  </si>
  <si>
    <t>ТШ.ТРК</t>
  </si>
  <si>
    <t>Проходной соединитель SC-SC, SM (для одномодового кабеля), simplex</t>
  </si>
  <si>
    <t>SC-SC-SM</t>
  </si>
  <si>
    <t>7023c</t>
  </si>
  <si>
    <t>Пигтейл SC 9/125 sm 1.5м LSZH</t>
  </si>
  <si>
    <t>PT-SC-9</t>
  </si>
  <si>
    <t>7328c</t>
  </si>
  <si>
    <t>Шнур оптический simplex SC-SC 9/125 sm 2м LSZH</t>
  </si>
  <si>
    <t>FOP(s)-9-SC-SC-2m</t>
  </si>
  <si>
    <t>7386c</t>
  </si>
  <si>
    <t>Панель заземления горизонтальная/вертикальная 19" 500 мм / 200 А</t>
  </si>
  <si>
    <t>ПЗ-19-500.200А</t>
  </si>
  <si>
    <t>30517720600</t>
  </si>
  <si>
    <t>Комплект монтажный № 2 (винт, шайба, гайка с защелкой), упаковка 50шт.</t>
  </si>
  <si>
    <t>КМ-2-50</t>
  </si>
  <si>
    <t>14050900200</t>
  </si>
  <si>
    <t>Блок розеток Rem-10 без шнура с инд., 9 Sсhuko, вход IEC 60320 C14, 10A, алюм., 19"</t>
  </si>
  <si>
    <t>R-10-9S-I-440-Z</t>
  </si>
  <si>
    <t>30112226902</t>
  </si>
  <si>
    <t>3.9</t>
  </si>
  <si>
    <t>Шнур питания с заземлением IEC 60320 C13/IEC 60320 C14, 10 А / 250 В (3 х 1,0), длина 1,8 м</t>
  </si>
  <si>
    <t>R-10-Cord-C13-C14-1.8</t>
  </si>
  <si>
    <t>99900000006</t>
  </si>
  <si>
    <t>3.10</t>
  </si>
  <si>
    <t>1-пол. автоматический выключатель 6A 4,5kA (хар-ка C)</t>
  </si>
  <si>
    <t>ВА47-29 1Р 6А</t>
  </si>
  <si>
    <t>MVA20-1-006-C</t>
  </si>
  <si>
    <t>3.11</t>
  </si>
  <si>
    <t>ШНИ-8х12-6-КС-С</t>
  </si>
  <si>
    <t>3.12</t>
  </si>
  <si>
    <t>Ограничитель на DIN-рейку (металл)</t>
  </si>
  <si>
    <t>YXD10</t>
  </si>
  <si>
    <t>3.13</t>
  </si>
  <si>
    <t>3.14</t>
  </si>
  <si>
    <t>Источник бесперебойного питания 1000VA/900W 230V, 2U</t>
  </si>
  <si>
    <t>SKAT-UPS 1000 RACK 492</t>
  </si>
  <si>
    <t>Бастион</t>
  </si>
  <si>
    <t>3.15</t>
  </si>
  <si>
    <t>Аккумуляторная батарея Delta (12V / 55Ah)</t>
  </si>
  <si>
    <t>DTM 1255 L</t>
  </si>
  <si>
    <t>Delta</t>
  </si>
  <si>
    <t>3.16</t>
  </si>
  <si>
    <t>Коммутатор доступа 8 портов 10/100/1000BASE-T, 2 порта Combo 10/100/1000BASE-T/100BASE-FX/1000BASE-X, L2, 110-250 В AC</t>
  </si>
  <si>
    <t>MES2408C</t>
  </si>
  <si>
    <t>3.17</t>
  </si>
  <si>
    <t>Модуль SFP CareLink (BIDI 1.25G Tx1550/Rx1310nm 10km SC SMF)</t>
  </si>
  <si>
    <t>CL-SFP-WDM-10-55SC DD</t>
  </si>
  <si>
    <t>Carelink</t>
  </si>
  <si>
    <t>Клиентская сторона</t>
  </si>
  <si>
    <t>3.18</t>
  </si>
  <si>
    <t>Модуль SFP CareLink (BIDI 1.25G Tx1310/Rx1550nm 10km SC SMF)</t>
  </si>
  <si>
    <t>CL-SFP-WDM-10-31SC DD</t>
  </si>
  <si>
    <t>Станционная сторона</t>
  </si>
  <si>
    <t>3.19</t>
  </si>
  <si>
    <t>VoIP шлюз</t>
  </si>
  <si>
    <t>TAU-2M.IP</t>
  </si>
  <si>
    <t>3.20</t>
  </si>
  <si>
    <t>Усилитель-коммутатор звуковых сигналов РТС-2000 ОК/IP (оконечный комплект) со встроенным приемным IP модулем</t>
  </si>
  <si>
    <t>РТС-2000 ОК 3ПР/IP/ПВК/ВЧ</t>
  </si>
  <si>
    <t>ПО «РТС»</t>
  </si>
  <si>
    <t>3.21</t>
  </si>
  <si>
    <t>Усилитель мощности</t>
  </si>
  <si>
    <t>РТС-2000 УМ-500</t>
  </si>
  <si>
    <t>3.22</t>
  </si>
  <si>
    <t>Радиорозетка</t>
  </si>
  <si>
    <t>РПВ-2</t>
  </si>
  <si>
    <t>ОО "БелТИЗ"</t>
  </si>
  <si>
    <t>3.23</t>
  </si>
  <si>
    <t>3.24</t>
  </si>
  <si>
    <t>Трехпрограммный приемник, 30В</t>
  </si>
  <si>
    <t>Нейва ПТ-322</t>
  </si>
  <si>
    <t>Октябрь ФГУП ПО</t>
  </si>
  <si>
    <t>3.25</t>
  </si>
  <si>
    <t>Коробка ответвительная</t>
  </si>
  <si>
    <t>УК-2П</t>
  </si>
  <si>
    <t>3.26</t>
  </si>
  <si>
    <t>Коробка ограничительная</t>
  </si>
  <si>
    <t>УК-2Р</t>
  </si>
  <si>
    <t>3.27</t>
  </si>
  <si>
    <t>Кабель экранированный</t>
  </si>
  <si>
    <t>КПСТЭТнг(А)-HF 1х2х1</t>
  </si>
  <si>
    <t>СПКБ-Техно</t>
  </si>
  <si>
    <t>3.28</t>
  </si>
  <si>
    <t>3.29</t>
  </si>
  <si>
    <t>Провод заземления ж.з.</t>
  </si>
  <si>
    <t>ПВ3 1х4</t>
  </si>
  <si>
    <t>3.30</t>
  </si>
  <si>
    <t>Кабель распределительный</t>
  </si>
  <si>
    <t>КПСВВнг(А)-LS 1х2х1,5</t>
  </si>
  <si>
    <t>НПП ”Спецкабель”</t>
  </si>
  <si>
    <t>3.31</t>
  </si>
  <si>
    <t>3.32</t>
  </si>
  <si>
    <t>3.33</t>
  </si>
  <si>
    <t>3.34</t>
  </si>
  <si>
    <t>3.35</t>
  </si>
  <si>
    <t>3.36</t>
  </si>
  <si>
    <t>3.37</t>
  </si>
  <si>
    <t>Система часофикации</t>
  </si>
  <si>
    <t>Часовая станция</t>
  </si>
  <si>
    <t>СВР-01-1</t>
  </si>
  <si>
    <t>ООО «СИСТЕМЫ ВРЕМЕНИ»</t>
  </si>
  <si>
    <t>Приемник сигналов точного времени GPS/ГЛОНАСС для часовой станции СВР-01-1</t>
  </si>
  <si>
    <t>СВР-07.011</t>
  </si>
  <si>
    <t>Вторичные часы 30 см</t>
  </si>
  <si>
    <t>СВР-03-30</t>
  </si>
  <si>
    <t>Кабель синхронизации</t>
  </si>
  <si>
    <t>КПСТТнг(А)-HF 1х2х1</t>
  </si>
  <si>
    <t>Система связи МГН</t>
  </si>
  <si>
    <t>5.1</t>
  </si>
  <si>
    <t>Пульт селекторной связи на 24 абонента</t>
  </si>
  <si>
    <t>GC-1036F4</t>
  </si>
  <si>
    <t>ООО «СКБ ТЕЛСИ»</t>
  </si>
  <si>
    <t>5.2</t>
  </si>
  <si>
    <t>Пульт селекторной связи на 12 абонентов</t>
  </si>
  <si>
    <t>GC-1036F2</t>
  </si>
  <si>
    <t>5.3</t>
  </si>
  <si>
    <t>Штольц 150*250 тр.60*30 стойка</t>
  </si>
  <si>
    <t>5.4</t>
  </si>
  <si>
    <t>Громкоговорящее абонентское устройство</t>
  </si>
  <si>
    <t>GC-2001W3</t>
  </si>
  <si>
    <t>5.5</t>
  </si>
  <si>
    <t>GC-2001P4</t>
  </si>
  <si>
    <t>5.6</t>
  </si>
  <si>
    <t>Информационно-тактильная табличка, с надписью шрифтом Брайля "ВЫЗОВ ПЕРСОНАЛА"</t>
  </si>
  <si>
    <t>MP-010B1</t>
  </si>
  <si>
    <t>5.7</t>
  </si>
  <si>
    <t>Табличка тактильная с пиктограммой "SOS"</t>
  </si>
  <si>
    <t>MP-010R1</t>
  </si>
  <si>
    <t>5.8</t>
  </si>
  <si>
    <t>Табличка тактильная с пиктограммой "SOS с трубкой"</t>
  </si>
  <si>
    <t>MP-010R2</t>
  </si>
  <si>
    <t>5.9</t>
  </si>
  <si>
    <t>Кнопка сброса</t>
  </si>
  <si>
    <t>GC-0421W1</t>
  </si>
  <si>
    <t>5.10</t>
  </si>
  <si>
    <t>Цифровая влагозащищенная кнопка вызова со шнуром для санузла</t>
  </si>
  <si>
    <t>MP-0423W1</t>
  </si>
  <si>
    <t>5.11</t>
  </si>
  <si>
    <t>Устройство сигнальное светозвуковое</t>
  </si>
  <si>
    <t>GC-0611W2</t>
  </si>
  <si>
    <t>5.12</t>
  </si>
  <si>
    <t>GC-0611W3</t>
  </si>
  <si>
    <t>5.13</t>
  </si>
  <si>
    <t>Источник бесперебойного питания</t>
  </si>
  <si>
    <t>ББП-50 DIN</t>
  </si>
  <si>
    <t>5.14</t>
  </si>
  <si>
    <t>Аккумуляторная батарея 7Ач</t>
  </si>
  <si>
    <t>5.15</t>
  </si>
  <si>
    <t>DIN-рейка 50см</t>
  </si>
  <si>
    <t>5.16</t>
  </si>
  <si>
    <t>5.17</t>
  </si>
  <si>
    <t>ОКЛ СПЕЦКАБЛАЙН-КиТ-ГФ20 - 400 м (СПЕЦЛАН UTP-5нг(А)-FRHF 4х2х0,5 - 65м)</t>
  </si>
  <si>
    <t>ТУ 16.К99-081-2016</t>
  </si>
  <si>
    <t>Спецкабель</t>
  </si>
  <si>
    <t>5.18</t>
  </si>
  <si>
    <t>5.19</t>
  </si>
  <si>
    <t>5.20</t>
  </si>
  <si>
    <t>5.21</t>
  </si>
  <si>
    <t>5.22</t>
  </si>
  <si>
    <t>5.23</t>
  </si>
  <si>
    <t>5.24</t>
  </si>
  <si>
    <t>Система оповещения по сигналам РАСЦО</t>
  </si>
  <si>
    <t>6.1.</t>
  </si>
  <si>
    <t>Рупорный оповещатель, 120В</t>
  </si>
  <si>
    <t>ГР‑25.02 МЕТА</t>
  </si>
  <si>
    <t>МЕТА</t>
  </si>
  <si>
    <t>6.2.</t>
  </si>
  <si>
    <t>ГР‑50.02 МЕТА</t>
  </si>
  <si>
    <t>6.3.</t>
  </si>
  <si>
    <t>ГР‑100.02 МЕТА</t>
  </si>
  <si>
    <t>6.4.</t>
  </si>
  <si>
    <t>Электромегафон</t>
  </si>
  <si>
    <t>МЕТА 2620</t>
  </si>
  <si>
    <t>6.5.</t>
  </si>
  <si>
    <t>Коробка огнестойкая</t>
  </si>
  <si>
    <t>МЕТА 7403‑4</t>
  </si>
  <si>
    <t>6.6.</t>
  </si>
  <si>
    <t>Кабель огнестойкий</t>
  </si>
  <si>
    <t>КПСЭнг(А)-FRHF 1х2х1,5</t>
  </si>
  <si>
    <t>6.7.</t>
  </si>
  <si>
    <t>6.8.</t>
  </si>
  <si>
    <t>6.9.</t>
  </si>
  <si>
    <t>6.10.</t>
  </si>
  <si>
    <t>6.11.</t>
  </si>
  <si>
    <t>6.12.</t>
  </si>
  <si>
    <t>6.13.</t>
  </si>
  <si>
    <t>Кабеленесущие конструкции</t>
  </si>
  <si>
    <t>7.1.</t>
  </si>
  <si>
    <t>Лоток неперфорированный 200х50 L3000</t>
  </si>
  <si>
    <t>35024</t>
  </si>
  <si>
    <t>7.2.</t>
  </si>
  <si>
    <t>Гайка с насечкой, препятствующей откручиванию М6</t>
  </si>
  <si>
    <t>CM100600</t>
  </si>
  <si>
    <t>7.3.</t>
  </si>
  <si>
    <t>Винт с крестообразным шлицем М6х10</t>
  </si>
  <si>
    <t>CM010610</t>
  </si>
  <si>
    <t>доп. по ИОС-5.1.СО</t>
  </si>
  <si>
    <t>7.4.</t>
  </si>
  <si>
    <t>Перегородка SEP L3000 Н50</t>
  </si>
  <si>
    <t>7.5.</t>
  </si>
  <si>
    <t>7.6.</t>
  </si>
  <si>
    <t>7.7.</t>
  </si>
  <si>
    <t>Крышка на лоток с заземлением осн.200 L3000, толщ.1,2 мм</t>
  </si>
  <si>
    <t>7.8.</t>
  </si>
  <si>
    <t>Винт для электрического соединения М5х8</t>
  </si>
  <si>
    <t>CM030508</t>
  </si>
  <si>
    <t>7.9.</t>
  </si>
  <si>
    <t>Угол CPO 45 горизонтальный 45° 200х50 в комплекте с крепежными элементами и соединительными пластинами, необходимыми для монтажа</t>
  </si>
  <si>
    <t>36064K</t>
  </si>
  <si>
    <t>7.10.</t>
  </si>
  <si>
    <t>Перегородка SEP для угла CPO H50, в комплекте с крепежными элементами и необходимыми для монтажа</t>
  </si>
  <si>
    <t>SSG00500K</t>
  </si>
  <si>
    <t>7.11.</t>
  </si>
  <si>
    <t>Крышка на угол CPO 45 горизонтальный 45° осн.200</t>
  </si>
  <si>
    <t>38024</t>
  </si>
  <si>
    <t>7.12.</t>
  </si>
  <si>
    <t>7.13.</t>
  </si>
  <si>
    <t>Никелированная пластина для заземления PTCE</t>
  </si>
  <si>
    <t>37501</t>
  </si>
  <si>
    <t>7.14.</t>
  </si>
  <si>
    <t>Угол CPO 90 горизонтальный 90° 200х50 в комплекте с крепежными элементами и соединительными пластинами, необходимыми для монтажа</t>
  </si>
  <si>
    <t>36004K</t>
  </si>
  <si>
    <t>7.15.</t>
  </si>
  <si>
    <t>7.16.</t>
  </si>
  <si>
    <t>Крышка на угол CPO 90 горизонтальный 90° осн.200</t>
  </si>
  <si>
    <t>38004</t>
  </si>
  <si>
    <t>7.17.</t>
  </si>
  <si>
    <t>7.18.</t>
  </si>
  <si>
    <t>7.19.</t>
  </si>
  <si>
    <t>Горизонтальный изменяемый угол СРО 0-45град. 200х50</t>
  </si>
  <si>
    <t>36010</t>
  </si>
  <si>
    <t>7.20.</t>
  </si>
  <si>
    <t>7.21.</t>
  </si>
  <si>
    <t>7.22.</t>
  </si>
  <si>
    <t>7.23.</t>
  </si>
  <si>
    <t>Крышка для угла горизонтального изменяемого угла CPO 0-45 осн.200</t>
  </si>
  <si>
    <t>38012</t>
  </si>
  <si>
    <t>7.24.</t>
  </si>
  <si>
    <t>Угол CS 45 вертикальный внутр. 45° 200/50 в комплекте с крепежными элементами и соединительными пластинами, необходимыми для монтажа</t>
  </si>
  <si>
    <t>36724K</t>
  </si>
  <si>
    <t>7.25.</t>
  </si>
  <si>
    <t>Перегородка SEP для углов CS 45, H50, в комплекте с крепежными элементами и необходимыми для монтажа</t>
  </si>
  <si>
    <t>SSC40500K</t>
  </si>
  <si>
    <t>7.26.</t>
  </si>
  <si>
    <t>Крышка на угол CS 45 вертикальный внутр. 45° осн.200</t>
  </si>
  <si>
    <t>38224</t>
  </si>
  <si>
    <t>7.27.</t>
  </si>
  <si>
    <t>7.28.</t>
  </si>
  <si>
    <t>7.29.</t>
  </si>
  <si>
    <t>Угол CD 45 вертикальный внеш. 45° 200х50 в комплекте с крепежными элементами и соединительными пластинами, необходимыми для монтажа</t>
  </si>
  <si>
    <t>36844K</t>
  </si>
  <si>
    <t>7.30.</t>
  </si>
  <si>
    <t>Перегородка SEP для углов CD 45 H50, в комплекте с крепежными элементами и необходимыми для монтажа</t>
  </si>
  <si>
    <t>SSD40500K</t>
  </si>
  <si>
    <t>7.31.</t>
  </si>
  <si>
    <t>Крышка на угол CD 45 вертикальный внеш. 45° осн.200</t>
  </si>
  <si>
    <t>7.32.</t>
  </si>
  <si>
    <t>7.33.</t>
  </si>
  <si>
    <t>7.34.</t>
  </si>
  <si>
    <t>Ответвитель Т-образный 50х200, 1,2 мм, в комплекте с крепежными элементами и соединительными пластинами, необходимыми для монтажа</t>
  </si>
  <si>
    <t>STN520K</t>
  </si>
  <si>
    <t>7.35.</t>
  </si>
  <si>
    <t>Крышка на Т-образный ответвитель 200, 1,2 мм, в комплекте с крепежными элементами необходимыми для монтажа</t>
  </si>
  <si>
    <t>SKTN200K</t>
  </si>
  <si>
    <t>7.36.</t>
  </si>
  <si>
    <t>Пластина крепежная GSV H50 (4 шт.) в комплекте с метизами, необходимымидля монтажа</t>
  </si>
  <si>
    <t>30013K</t>
  </si>
  <si>
    <t>7.37.</t>
  </si>
  <si>
    <t>Лоток неперфорированный 300х50 L3000</t>
  </si>
  <si>
    <t>35025</t>
  </si>
  <si>
    <t>7.38.</t>
  </si>
  <si>
    <t>7.39.</t>
  </si>
  <si>
    <t>7.40.</t>
  </si>
  <si>
    <t>36480</t>
  </si>
  <si>
    <t>7.41.</t>
  </si>
  <si>
    <t>7.42.</t>
  </si>
  <si>
    <t>7.43.</t>
  </si>
  <si>
    <t>Крышка на лоток с заз осн. 300 L3000 толщ.1,5 мм</t>
  </si>
  <si>
    <t>3552515</t>
  </si>
  <si>
    <t>7.44.</t>
  </si>
  <si>
    <t>7.45.</t>
  </si>
  <si>
    <t>Угол CPO 90 горизонтальный 90° 300х50 в комплекте с крепежными элементами и соединительными пластинами, необходимыми для монтажа</t>
  </si>
  <si>
    <t>36005K</t>
  </si>
  <si>
    <t>7.46.</t>
  </si>
  <si>
    <t>7.47.</t>
  </si>
  <si>
    <t>Крышка на угол CPO 90 горизонтальный 90° осн.300</t>
  </si>
  <si>
    <t>38005</t>
  </si>
  <si>
    <t>7.48.</t>
  </si>
  <si>
    <t>7.49.</t>
  </si>
  <si>
    <t>7.50.</t>
  </si>
  <si>
    <t>Горизонтальный изменяемый угол СРО 0-45град. 300х50</t>
  </si>
  <si>
    <t>36011</t>
  </si>
  <si>
    <t>7.51.</t>
  </si>
  <si>
    <t>7.52.</t>
  </si>
  <si>
    <t>7.53.</t>
  </si>
  <si>
    <t>7.54.</t>
  </si>
  <si>
    <t>Крышка для угла горизонтального изменяемого угла CPO 0-45 осн.300</t>
  </si>
  <si>
    <t>38013</t>
  </si>
  <si>
    <t>7.55.</t>
  </si>
  <si>
    <t>Угол CPO 45 горизонтальный 45° 300х50 в комплекте с крепежными элементами и соединительными пластинами, необходимыми для монтажа</t>
  </si>
  <si>
    <t>36065K</t>
  </si>
  <si>
    <t>7.56.</t>
  </si>
  <si>
    <t>7.57.</t>
  </si>
  <si>
    <t>Крышка на угол CPO 45 горизонтальный 45° осн.300</t>
  </si>
  <si>
    <t>7.58.</t>
  </si>
  <si>
    <t>7.59.</t>
  </si>
  <si>
    <t>7.60.</t>
  </si>
  <si>
    <t>STN530K</t>
  </si>
  <si>
    <t>7.61.</t>
  </si>
  <si>
    <t>SKTN300K</t>
  </si>
  <si>
    <t>7.62.</t>
  </si>
  <si>
    <t>Угол CS 45 вертикальный внутр. 45° 300/50 в комплекте с крепежными элементами и соединительными пластинами, необходимыми для монтажа</t>
  </si>
  <si>
    <t>36725K</t>
  </si>
  <si>
    <t>7.63.</t>
  </si>
  <si>
    <t>7.64.</t>
  </si>
  <si>
    <t>Крышка на угол CS 45 вертикальный внутр. 45° осн.300</t>
  </si>
  <si>
    <t>38225</t>
  </si>
  <si>
    <t>7.65.</t>
  </si>
  <si>
    <t>7.66.</t>
  </si>
  <si>
    <t>7.67.</t>
  </si>
  <si>
    <t>Угол CD 45 вертикальный внеш. 45° 300х50 в комплекте с крепежными элементами и соединительными пластинами, необходимыми для монтажа</t>
  </si>
  <si>
    <t>36845K</t>
  </si>
  <si>
    <t>7.68.</t>
  </si>
  <si>
    <t>7.69.</t>
  </si>
  <si>
    <t>Крышка на угол CD 45 вертикальный внеш. 45° осн.300</t>
  </si>
  <si>
    <t>38265</t>
  </si>
  <si>
    <t>7.70.</t>
  </si>
  <si>
    <t>7.71.</t>
  </si>
  <si>
    <t>7.72.</t>
  </si>
  <si>
    <t>Проволочный лоток 300х50 L3000</t>
  </si>
  <si>
    <t>FC5030</t>
  </si>
  <si>
    <t>7.73.</t>
  </si>
  <si>
    <t>Крепежный комплект No1 для монтажа пров. Лотка</t>
  </si>
  <si>
    <t>CM350001</t>
  </si>
  <si>
    <t>7.74.</t>
  </si>
  <si>
    <t>Тип 1 (DKC-2018.B5.11)</t>
  </si>
  <si>
    <t>1 этаж; доп. по ИОС-5.1.СО</t>
  </si>
  <si>
    <t>7.75.</t>
  </si>
  <si>
    <t>Крепление к потолку SSM</t>
  </si>
  <si>
    <t>BSF2901</t>
  </si>
  <si>
    <t>7.76.</t>
  </si>
  <si>
    <t>П-образный профиль PSM, L1000, толщ.2,5 мм</t>
  </si>
  <si>
    <t>BPM2910</t>
  </si>
  <si>
    <t>7.77.</t>
  </si>
  <si>
    <t>7.78.</t>
  </si>
  <si>
    <t>Гайка с насечкой, препятствующей откручиванию М8</t>
  </si>
  <si>
    <t>CM100800</t>
  </si>
  <si>
    <t>7.79.</t>
  </si>
  <si>
    <t>Болт с шестигранной головкой и неполной резьбой М8х60</t>
  </si>
  <si>
    <t>CM020860</t>
  </si>
  <si>
    <t>7.80.</t>
  </si>
  <si>
    <t>Болт с шестигранной головкой и неполной резьбой М8х70</t>
  </si>
  <si>
    <t>CM020870</t>
  </si>
  <si>
    <t>7.81.</t>
  </si>
  <si>
    <t>Стандартный анкер с болтом М10</t>
  </si>
  <si>
    <t>CM431060</t>
  </si>
  <si>
    <t>7.82.</t>
  </si>
  <si>
    <t>Консоль ВМ осн. 200 мм</t>
  </si>
  <si>
    <t>BBM5020</t>
  </si>
  <si>
    <t>7.83.</t>
  </si>
  <si>
    <t>Винт с гладкой головкой и квадратным подголовником М6х16</t>
  </si>
  <si>
    <t>CM010616</t>
  </si>
  <si>
    <t>7.84.</t>
  </si>
  <si>
    <t>Крепление лотка; доп. по ИОС-5.1.СО</t>
  </si>
  <si>
    <t>7.85.</t>
  </si>
  <si>
    <t>Гайка с насечкой М6</t>
  </si>
  <si>
    <t>7.86.</t>
  </si>
  <si>
    <t>Тип 2</t>
  </si>
  <si>
    <t>2 этаж; доп. по ИОС-5.1.СО</t>
  </si>
  <si>
    <t>7.87.</t>
  </si>
  <si>
    <t>Консоль с опорой ML осн. 300</t>
  </si>
  <si>
    <t>BBL5030</t>
  </si>
  <si>
    <t>7.88.</t>
  </si>
  <si>
    <t>Анкер стандартный с болтом</t>
  </si>
  <si>
    <t>CM430850</t>
  </si>
  <si>
    <t>7.89.</t>
  </si>
  <si>
    <t>М6</t>
  </si>
  <si>
    <t>СМ010610</t>
  </si>
  <si>
    <t>Крепление лотка</t>
  </si>
  <si>
    <t>7.90.</t>
  </si>
  <si>
    <t>СМ100600</t>
  </si>
  <si>
    <t>7.91.</t>
  </si>
  <si>
    <t>Тип 3 (DKC-2018.B5.16)</t>
  </si>
  <si>
    <t>7.92.</t>
  </si>
  <si>
    <t>Профиль BPM-21 длиной 500мм</t>
  </si>
  <si>
    <t>BPM2105</t>
  </si>
  <si>
    <t>7.93.</t>
  </si>
  <si>
    <t>Профиль BPM-21 длиной 700мм</t>
  </si>
  <si>
    <t>BPM2107</t>
  </si>
  <si>
    <t>7.94.</t>
  </si>
  <si>
    <t>Гайка шестигранная М8</t>
  </si>
  <si>
    <t>М8</t>
  </si>
  <si>
    <t>CM110800</t>
  </si>
  <si>
    <t>7.95.</t>
  </si>
  <si>
    <t>Шайба с узкими полями DIN 125</t>
  </si>
  <si>
    <t>CM240800</t>
  </si>
  <si>
    <t>7.96.</t>
  </si>
  <si>
    <t>Шпилька М8 длиной 1000мм</t>
  </si>
  <si>
    <t>CM200801</t>
  </si>
  <si>
    <t>7.97.</t>
  </si>
  <si>
    <t>7.98.</t>
  </si>
  <si>
    <t>7.99.</t>
  </si>
  <si>
    <t>CM240600</t>
  </si>
  <si>
    <t>7.100.</t>
  </si>
  <si>
    <t>Тип 4 (DKC-2018.B5.11)</t>
  </si>
  <si>
    <t>7.101.</t>
  </si>
  <si>
    <t>7.102.</t>
  </si>
  <si>
    <t>7.103.</t>
  </si>
  <si>
    <t>7.104.</t>
  </si>
  <si>
    <t>7.105.</t>
  </si>
  <si>
    <t>7.106.</t>
  </si>
  <si>
    <t>7.107.</t>
  </si>
  <si>
    <t>7.108.</t>
  </si>
  <si>
    <t>Консоль ВМ осн. 300 мм</t>
  </si>
  <si>
    <t>BBM5030</t>
  </si>
  <si>
    <t>7.109.</t>
  </si>
  <si>
    <t>7.110.</t>
  </si>
  <si>
    <t>7.111.</t>
  </si>
  <si>
    <t>7.112.</t>
  </si>
  <si>
    <t>Тип 5 (DKC-2018.B5.12)</t>
  </si>
  <si>
    <t>7.113.</t>
  </si>
  <si>
    <t>Крепление к профнастилу V-образное</t>
  </si>
  <si>
    <t>М10</t>
  </si>
  <si>
    <t>CM331000</t>
  </si>
  <si>
    <t>7.114.</t>
  </si>
  <si>
    <t>Болт с шестигранной головкой DIN 933</t>
  </si>
  <si>
    <t>M10х120</t>
  </si>
  <si>
    <t>CM081012</t>
  </si>
  <si>
    <t>7.115.</t>
  </si>
  <si>
    <t>Шайба кузовная Ø10 DIN 9021</t>
  </si>
  <si>
    <t>СМ121000</t>
  </si>
  <si>
    <t>7.116.</t>
  </si>
  <si>
    <t>Гайка М10 DIN 934</t>
  </si>
  <si>
    <t>СМ111000</t>
  </si>
  <si>
    <t>7.117.</t>
  </si>
  <si>
    <t>Шайба кузовная DIN 9021</t>
  </si>
  <si>
    <t>СМ240800</t>
  </si>
  <si>
    <t>7.118.</t>
  </si>
  <si>
    <t>Гайка шестигранная DIN 934</t>
  </si>
  <si>
    <t>СМ110800</t>
  </si>
  <si>
    <t>7.119.</t>
  </si>
  <si>
    <t>Шпилька М8 длиной 2000мм</t>
  </si>
  <si>
    <t>М8х2000</t>
  </si>
  <si>
    <t>СМ200802</t>
  </si>
  <si>
    <t>7.120.</t>
  </si>
  <si>
    <t>ВОР 100</t>
  </si>
  <si>
    <t>Кабель оптический ИКБ-Т-А12-6.0</t>
  </si>
  <si>
    <t>ВОР, нет в СО — ПРОВЕРИТЬ: та же длина 160 м, что у поз. 1.121 (ВОК 8 волокон), марка иная; Источник: 03-01/07.21П-ИОС.5.1.СО л.6 (Файл: Том СС 03- 0107.21П-ИОС.5.1.pdf, стр.: 1 2 3 4)</t>
  </si>
  <si>
    <t>ВОР 133</t>
  </si>
  <si>
    <t>Кабель магистральный РК 75-7-327нг(А)-№ Паритет</t>
  </si>
  <si>
    <t>ВОР, нет в СО — ДУБЛЬ поз. 2.21 (добавлена по СО), исключить из закупки; Источник: 03-01/07.21П-ИОС.5.1.СО л.7 (Файл: Том СС 03- 0107.21П-ИОС.5.1.pdf, стр.: 1 2 3 4)</t>
  </si>
  <si>
    <t>ВОР 134</t>
  </si>
  <si>
    <t>Кабель видео Паритет РК 75-4,8-321нг(А)-№(250м)</t>
  </si>
  <si>
    <t>ВОР, нет в СО — ДУБЛЬ поз. 2.22 (добавлена по СО), исключить из закупки; Источник: 03-01/07.21П-ИОС.5.1.СО л.7 (Файл: Том СС 03- 0107.21П-ИОС.5.1.pdf, стр.: 1 2 3 4)</t>
  </si>
  <si>
    <t>ВОР 183</t>
  </si>
  <si>
    <t>Часовая станция СВР-01-1 ООО «СИСТЕМЫ ВРЕМЕНИ»</t>
  </si>
  <si>
    <t>ВОР, нет в СО — ДУБЛЬ поз. 4.1 (добавлена по СО), исключить из закупки; Источник: 03-01/07.21П-ИОС.5.1.СО л.9 (Файл: Том СС 03- 0107.21П-ИОС.5.1.pdf, стр.: 1 2 3 4)</t>
  </si>
  <si>
    <t>Приемник сигналов точного времени GPS/ГЛОНАСС для часовой станции СВР-011 СВР-07.011 ООО «СИСТЕМЫ ВРЕМЕНИ»</t>
  </si>
  <si>
    <t>ВОР, нет в СО — ДУБЛЬ поз. 4.2 (добавлена по СО), исключить из закупки; Источник: 03-01/07.21П-ИОС.5.1.СО л.9 (Файл: Том СС 03- 0107.21П-ИОС.5.1.pdf, стр.: 1 2 3 4)</t>
  </si>
  <si>
    <t>Вторичные часы 30 см СВР-03-30 ООО «СИСТЕМЫ ВРЕМЕНИ»</t>
  </si>
  <si>
    <t>ВОР, нет в СО — ДУБЛЬ поз. 4.3 (добавлена по СО), исключить из закупки; Источник: 03-01/07.21П-ИОС.5.1.СО л.9 (Файл: Том СС 03- 0107.21П-ИОС.5.1.pdf, стр.: 1 2 3 4)</t>
  </si>
  <si>
    <t>Часть 2. Комплексные системы безопасности 03-01/07.21П-ИОС.5.2.СО</t>
  </si>
  <si>
    <t>Система охранного телевидения</t>
  </si>
  <si>
    <t>Телекоммуникационный шкаф ТШ-СС.2</t>
  </si>
  <si>
    <t>Шкаф монтажный телекоммуникационный 19" напольный для распределительного и серверного оборудования 42U 800х1000х2055mm (ШхГхВ) передняя и задняя перфорированные двери, ручка с замком, цвет серый (RAL 7035)</t>
  </si>
  <si>
    <t>Автоматический однополюсный выключатель 10А В S201 6кА</t>
  </si>
  <si>
    <t>2CDS251001R0104</t>
  </si>
  <si>
    <t>Блок евророзеток для 19" шкафов, горизонтальный, 8 розеток, 10 A, выключатель, алюминиевый корпус, шнур 2 м, вилка IEC 320 C14</t>
  </si>
  <si>
    <t>Патч-панель высокой плотности 19", 1U, 48 портов RJ-45, категория 5e, Dual IDC</t>
  </si>
  <si>
    <t>Полка 19” выдвижная для шкафов и стоек глубиной 1000 мм, цвет черный (RAL 9004)</t>
  </si>
  <si>
    <t>JE05-1000-BK</t>
  </si>
  <si>
    <t>8632c</t>
  </si>
  <si>
    <t>Опция EMS-MES-aggregation системы Eltex.EMS для управления и мониторинга сетевыми элементами Eltex: 1 сетевой элемент MES-3000 или MES-5000</t>
  </si>
  <si>
    <t>Ethernet-коммутатор MES2348P, 48 портов 10/100/1000 Base-T (PoE/PoE+), 4 порта 10GBase-R (SFP+)/1000Base-X (SFP), L3, 2 слота для модулей питания + 1* Модуль питания PM950-220/56, 220V AC, 950W</t>
  </si>
  <si>
    <t>MES2348P + 1* PM950-220/56</t>
  </si>
  <si>
    <t>IP-видеорегистратор TRASSIR NVR-7800R/128-S</t>
  </si>
  <si>
    <t>NVR-7800R/128-S</t>
  </si>
  <si>
    <t>Trassir</t>
  </si>
  <si>
    <t>ВР.2</t>
  </si>
  <si>
    <t>IP-видеорегистратор TRASSIR NeuroStation 8800R/64</t>
  </si>
  <si>
    <t>NeuroStation 8800R/64</t>
  </si>
  <si>
    <t>ВР.1</t>
  </si>
  <si>
    <t>Жесткий диск 3.5" HDD 14 Тбайт Western Digital</t>
  </si>
  <si>
    <t>WD141PURP</t>
  </si>
  <si>
    <t>Интеграция TRASSIR с АРМ "Орион Про" (НВП "Болид")</t>
  </si>
  <si>
    <t>8 портовый KVM Переключатель с 17" KVM Консолью, 1280 x 1024, PS/2, USB</t>
  </si>
  <si>
    <t>CL5708M-ATA-RG</t>
  </si>
  <si>
    <t>Aten</t>
  </si>
  <si>
    <t>KVM кабель 1.2м, VGA, USB для соединения ПК</t>
  </si>
  <si>
    <t>2L-5202U</t>
  </si>
  <si>
    <t>Конвертер HDMI-VGA</t>
  </si>
  <si>
    <t>VC810-AT</t>
  </si>
  <si>
    <t>Шкаф телекоммуникационный настенный разобранный 19" 12U 600х600х635mm (ШхГхВ) дверь стекло, цвет серый (RAL 7035)</t>
  </si>
  <si>
    <t>SH-05F-12U60/60-R</t>
  </si>
  <si>
    <t>10736c</t>
  </si>
  <si>
    <t>Выключатель нагрузки ABB Basic M 2P 16A</t>
  </si>
  <si>
    <t>BMD51216</t>
  </si>
  <si>
    <t>Патч-панель 19", 1U, 24 порта RJ-45, категория 5e, Dual IDC, с задним кабельным организатором</t>
  </si>
  <si>
    <t>Ethernet-коммутатор 24 порта 10/100/1000 Base-T (PoE/PoE+), 4 порта 10GBase-R (SFP+)/1000Base-X (SFP), L3</t>
  </si>
  <si>
    <t>MES2324P_AC</t>
  </si>
  <si>
    <t>ИБП онлайн двойного преобразования с встроенными аккумуляторами, 1.5кВа/1.5кВт</t>
  </si>
  <si>
    <t>СИПБ1,5КA.10-11</t>
  </si>
  <si>
    <t>АПСМ.435241.019 -02</t>
  </si>
  <si>
    <t>SNMP DL801</t>
  </si>
  <si>
    <t>DL801</t>
  </si>
  <si>
    <t>Шкаф монтажный телекоммуникационный 19" напольный для распределительного и серверного оборудования 18U 600х600х988mm (ШхГхВ) передняя стеклянная и задняя сплошная металлическая двери, ручка с замком, цвет серый (RAL 7035)</t>
  </si>
  <si>
    <t>SH-05C-18U60/60</t>
  </si>
  <si>
    <t>7043c</t>
  </si>
  <si>
    <t>ТШ.СБ.1, ТШ.СБ.2</t>
  </si>
  <si>
    <t>ИБП онлайн двойного преобразования с встроенными аккумуляторами 3кВт/3кВа</t>
  </si>
  <si>
    <t>СИПБ3КA.10-11</t>
  </si>
  <si>
    <t>Батарейный модуль с установкой в стойку для ИБП СИПБ3КА.10-11</t>
  </si>
  <si>
    <t>БМСИПБ2-3КА.10-11</t>
  </si>
  <si>
    <t>Разъем IEC 60320 C19 220в.16A на кабель контакты на винтах (плоские контакты внутри разъема)</t>
  </si>
  <si>
    <t>IEC-320-C19</t>
  </si>
  <si>
    <t>9648c</t>
  </si>
  <si>
    <t>SFP 1,25 GE модуль 550м, MM, 2 волокна, 850 nm, LC, DDM</t>
  </si>
  <si>
    <t>Видеокамеры</t>
  </si>
  <si>
    <t>IP-камера купольная, 2 Мп, , 1/2.8" CMOS, 1920×1080, 2.7 ~ 13.5 мм</t>
  </si>
  <si>
    <t>TR-D3223WDZIR3</t>
  </si>
  <si>
    <t>Монтажная коробка для камеры TR-D3223WDZIR3</t>
  </si>
  <si>
    <t>TR-JB303</t>
  </si>
  <si>
    <t>IP-камера цилидрическая, 2 Мп, , 1/2.7" CMOS, 1920×1080, 2.7 ~ 13.5 мм</t>
  </si>
  <si>
    <t>TR-D2123IR6 v6</t>
  </si>
  <si>
    <t>Монтажная коробка для камеры TR-D2123IR6 v6</t>
  </si>
  <si>
    <t>TR-JB302</t>
  </si>
  <si>
    <t>IP-камера цилидрическая уличная, 5 Мп, 1/2.8" CMOS, 1920×1080, 2.7 ~ 13.5 мм</t>
  </si>
  <si>
    <t>TR-D2153IR6</t>
  </si>
  <si>
    <t>Монтажная коробка для камеры TR-D2153IR6</t>
  </si>
  <si>
    <t>Поворотная IP-камера для улицы, 5 Мп, 1/2.8" CMOS, 1920×1080, 4.9 ~ 156 мм</t>
  </si>
  <si>
    <t>TR-D6254IR15</t>
  </si>
  <si>
    <t>PoE удлинитель 10/100/1000M Gigabit Ethernet</t>
  </si>
  <si>
    <t>E-PoE-1G</t>
  </si>
  <si>
    <t>Osonovo</t>
  </si>
  <si>
    <t>АРМ</t>
  </si>
  <si>
    <t>Удаленное рабочее место TRASSIR Client 8/128</t>
  </si>
  <si>
    <t>TRASSIR Client 8/128</t>
  </si>
  <si>
    <t>ARM.1.1-ARM.1.4</t>
  </si>
  <si>
    <t>32" TFT-LED Монитор</t>
  </si>
  <si>
    <t>DS-D5032QE</t>
  </si>
  <si>
    <t>ARM.1.1, ARM.1.2</t>
  </si>
  <si>
    <t>Кронштейн настенный для мониторов 32”</t>
  </si>
  <si>
    <t>TECHNO-11 BLACK</t>
  </si>
  <si>
    <t>Монитор 27'', TFT-LED Экран</t>
  </si>
  <si>
    <t>DS-D5027FN</t>
  </si>
  <si>
    <t>ARM.1.1, ARM.1.2, ARM.1.3, ARM.1.4</t>
  </si>
  <si>
    <t>Кабель HDMI 3м</t>
  </si>
  <si>
    <t>2L-7D03H / 2L-7D03H</t>
  </si>
  <si>
    <t>ATEN</t>
  </si>
  <si>
    <t>ARM.1.1, ARM.1.3, ARM.1.4</t>
  </si>
  <si>
    <t>Кабель HDMI 10м</t>
  </si>
  <si>
    <t>2L-7D10H / 2L-7D10H</t>
  </si>
  <si>
    <t>ARM.1.2</t>
  </si>
  <si>
    <t>Конвертер интерфейса из DisplayPort в HDMI</t>
  </si>
  <si>
    <t>VC985-AT</t>
  </si>
  <si>
    <t>ИБП онлайн двойного преобразования с встроенными аккумуляторами 2кВт/2кВа</t>
  </si>
  <si>
    <t>СИПБ2КA.10-11</t>
  </si>
  <si>
    <t>UPS.СБ.2.3 UPS.СБ.2.4</t>
  </si>
  <si>
    <t>Кабели питания IEC 320 C19 - SCHUKO</t>
  </si>
  <si>
    <t>PWC-IEC19-SHM-1.8-BK</t>
  </si>
  <si>
    <t>PC-UTP-RJ45-Cat.5e-2m-LSZH</t>
  </si>
  <si>
    <t>В т.ч. 7 ЗИП</t>
  </si>
  <si>
    <t>PC-UTP-RJ45-Cat.5e-3m-LSZH</t>
  </si>
  <si>
    <t>В т.ч. 10% ЗИП, проект - 10000шт.!</t>
  </si>
  <si>
    <t>Коннектор RJ-45 под витую пару, категория 5e, универсальный (для одножильного и многожил)</t>
  </si>
  <si>
    <t>В т.ч.2 ЗИП</t>
  </si>
  <si>
    <t>Кабель-канал</t>
  </si>
  <si>
    <t>110х50</t>
  </si>
  <si>
    <t>01050</t>
  </si>
  <si>
    <t>Накладка на стык крышек фронтальная</t>
  </si>
  <si>
    <t>09504</t>
  </si>
  <si>
    <t>Накладка на стык профилей (для оснований коробов)</t>
  </si>
  <si>
    <t>01009</t>
  </si>
  <si>
    <t>Заглушка</t>
  </si>
  <si>
    <t>01005</t>
  </si>
  <si>
    <t>Угол плоский</t>
  </si>
  <si>
    <t>01003</t>
  </si>
  <si>
    <t>Угол внутренний</t>
  </si>
  <si>
    <t>01051</t>
  </si>
  <si>
    <t>СИСТЕМА ОХРАННО-ТРЕВОЖНОЙ СИГНАЛИЗАЦИИ</t>
  </si>
  <si>
    <t>Пульт контроля и управления охранно-пожарный</t>
  </si>
  <si>
    <t>С2000М</t>
  </si>
  <si>
    <t>АЦДР.426469.027</t>
  </si>
  <si>
    <t>ООО НВП «Болид»</t>
  </si>
  <si>
    <t>Клавиатура</t>
  </si>
  <si>
    <t>С2000-К</t>
  </si>
  <si>
    <t>Блок индикации с клавиатурой</t>
  </si>
  <si>
    <t>С2000-БКИ</t>
  </si>
  <si>
    <t>Резервированный источник питания, 12В, 80 Ач</t>
  </si>
  <si>
    <t>РИП-12 исп.56</t>
  </si>
  <si>
    <t>G.1</t>
  </si>
  <si>
    <t>Аккумуляторная батарея 12В 40Ач</t>
  </si>
  <si>
    <t>АБ 1240С</t>
  </si>
  <si>
    <t>Резервированный источник питания, 12В, 17 Ач</t>
  </si>
  <si>
    <t>РИП-12 исп.50</t>
  </si>
  <si>
    <t>G.2, G.3</t>
  </si>
  <si>
    <t>Аккумуляторная батарея 12В 17Ач</t>
  </si>
  <si>
    <t>АБ 1217С</t>
  </si>
  <si>
    <t>Резервированный источник питания, 12В, 7 Ач</t>
  </si>
  <si>
    <t>РИП-12 исп.54</t>
  </si>
  <si>
    <t>G.4</t>
  </si>
  <si>
    <t>Аккумуляторная батарея 12В 7Ач</t>
  </si>
  <si>
    <t>АБ 1207С</t>
  </si>
  <si>
    <t>Повторитель интерфейса RS-485</t>
  </si>
  <si>
    <t>С2000-ПИ</t>
  </si>
  <si>
    <t>Преобразователь интерфейса RS-485 / Ethernet</t>
  </si>
  <si>
    <t>С2000-Ethernet</t>
  </si>
  <si>
    <t>Контроллер двухпроводной линии связи</t>
  </si>
  <si>
    <t>С2000-КДЛ</t>
  </si>
  <si>
    <t>Изолятор короткого замыкания</t>
  </si>
  <si>
    <t>БРИЗ</t>
  </si>
  <si>
    <t>Извещатель магнитоконтактный адресный</t>
  </si>
  <si>
    <t>С2000-СМК исп.01</t>
  </si>
  <si>
    <t>Извещатель объемный оптико-электронный адресный</t>
  </si>
  <si>
    <t>С2000-Шик</t>
  </si>
  <si>
    <t>Извещатель звуковой адресный</t>
  </si>
  <si>
    <t>С2000-СТ исп.03</t>
  </si>
  <si>
    <t>Извещатель охранный звуковой неадресный</t>
  </si>
  <si>
    <t>Patrol-501</t>
  </si>
  <si>
    <t>С2000-ИК исп.03</t>
  </si>
  <si>
    <t>Кнопка тревожная</t>
  </si>
  <si>
    <t>С2000-КТ</t>
  </si>
  <si>
    <t>Адресный расширитель</t>
  </si>
  <si>
    <t>С2000-АР1</t>
  </si>
  <si>
    <t>Корпус металлический навесной 600х800х250</t>
  </si>
  <si>
    <t>ЩПНз 6825</t>
  </si>
  <si>
    <t>ЭЛМА</t>
  </si>
  <si>
    <t>ШОС</t>
  </si>
  <si>
    <t>DIN-рейка оцинкованная 45см</t>
  </si>
  <si>
    <t>YDN10-0045</t>
  </si>
  <si>
    <t>Сервер ОПС-СКД127 исп.01 c ПО: Сервер Орион, Оперативная задача исп.127, Администратор базы данных, Генератор отчетов, Учет рабочего времени</t>
  </si>
  <si>
    <t>ОПС-СКД127 исп.01</t>
  </si>
  <si>
    <t>S.1</t>
  </si>
  <si>
    <t>Рабочая станция оператора с возможностью подключения 2 мониторов (1x DP/HDMI, 1x HDMI). Исполнение 19" 2U. Конфигурация ID3, 1x Intel Core i5 gen11, ОЗУ 16GB, LAN1Gbit/s, ОС - SSD 128GB 2.5" SATA. Windows 10 IoT Enterprise Value. БП 500Вт, вес нет/брут 12/20кг, габариты WxLxH 427х430х88мм, для шкафов глубиной от 600мм. Встроенная защита ОС от оператора. Встроенная система мониторинга Диспетчер VIDEOMAX. В комплекте: клавиатура USB, мышь USB, салазки SR20</t>
  </si>
  <si>
    <t>VIDEOMAX-URM-2M-19"-ID3</t>
  </si>
  <si>
    <t>Videomax</t>
  </si>
  <si>
    <t>ARM2.1, ARM2.2</t>
  </si>
  <si>
    <t>Монитор 21.5'', TFT-LED Экран</t>
  </si>
  <si>
    <t>DS-D5022QE-B</t>
  </si>
  <si>
    <t>ПО “Монитор Орион Про”</t>
  </si>
  <si>
    <t>ПО “Администратор базы данных”</t>
  </si>
  <si>
    <t>Телефонный аппарат экстренного вызова МЧС и служб экстренной помощи</t>
  </si>
  <si>
    <t>Гранит-202 GSM АН-3К</t>
  </si>
  <si>
    <t>2.33</t>
  </si>
  <si>
    <t>Кабель, интерфейс RS485</t>
  </si>
  <si>
    <t>СПБК-Техно</t>
  </si>
  <si>
    <t>2.34</t>
  </si>
  <si>
    <t>Кабель питания</t>
  </si>
  <si>
    <t>2.35</t>
  </si>
  <si>
    <t>Кабель, шлейф сигнализации</t>
  </si>
  <si>
    <t>КПСТТнг(А)-HF 2х2х1</t>
  </si>
  <si>
    <t>2.36</t>
  </si>
  <si>
    <t>Кабель ДПЛС</t>
  </si>
  <si>
    <t>КПСТТнг(А)-HF 1х2х0.75</t>
  </si>
  <si>
    <t>2.37</t>
  </si>
  <si>
    <t>2.38</t>
  </si>
  <si>
    <t>2.39</t>
  </si>
  <si>
    <t>2.40</t>
  </si>
  <si>
    <t>2.41</t>
  </si>
  <si>
    <t>2.42</t>
  </si>
  <si>
    <t>2.43</t>
  </si>
  <si>
    <t>2.44</t>
  </si>
  <si>
    <t>2.45</t>
  </si>
  <si>
    <t>2.46</t>
  </si>
  <si>
    <t>2.47</t>
  </si>
  <si>
    <t>2.48</t>
  </si>
  <si>
    <t>2.49</t>
  </si>
  <si>
    <t>2.50</t>
  </si>
  <si>
    <t>2.51</t>
  </si>
  <si>
    <t>СИСТЕМА КОНТРОЛЯ И УПРАВЛЕНИЯ ДОСТУПОМ</t>
  </si>
  <si>
    <t>Считыватель бесконтактный настольный</t>
  </si>
  <si>
    <t>Proxy-USB-MA</t>
  </si>
  <si>
    <t>Комплект видеодомофона на 1 абонента</t>
  </si>
  <si>
    <t>KIT-Vista</t>
  </si>
  <si>
    <t>Falcon EYE</t>
  </si>
  <si>
    <t>Типовая точка доступа 1 в составе:</t>
  </si>
  <si>
    <t>Контроллер доступа</t>
  </si>
  <si>
    <t>С2000-2</t>
  </si>
  <si>
    <t>Считыватель бесконтактный EM-Marine, HID</t>
  </si>
  <si>
    <t>Proxy–3A</t>
  </si>
  <si>
    <t>Кнопка выход</t>
  </si>
  <si>
    <t>ST-EX010</t>
  </si>
  <si>
    <t>Smartec</t>
  </si>
  <si>
    <t>Доводчик двери, 60-85 кг</t>
  </si>
  <si>
    <t>DC-20.4/1050/085-A2-SL</t>
  </si>
  <si>
    <t>Apecs</t>
  </si>
  <si>
    <t>Замок электромагнитный со встроенным герконом</t>
  </si>
  <si>
    <t>AL-200FB</t>
  </si>
  <si>
    <t>Экскон</t>
  </si>
  <si>
    <t>Резервированный источник питания 12В 2А</t>
  </si>
  <si>
    <t>РИП-12 исп.54 (РИП-12-2/7П2-Р- RS)</t>
  </si>
  <si>
    <t>Типовая точка доступа 2 в составе:</t>
  </si>
  <si>
    <t>Считыватель бесконтактный</t>
  </si>
  <si>
    <t>Matrix-III (мод. E H)</t>
  </si>
  <si>
    <t>Ironlogic</t>
  </si>
  <si>
    <t>Доводчик двери, 100-120 кг</t>
  </si>
  <si>
    <t>DC-20.5/1200/120-A1-BR</t>
  </si>
  <si>
    <t>AL-350FB-MG</t>
  </si>
  <si>
    <t>Типовая точка доступа 3 в составе:</t>
  </si>
  <si>
    <t>Устройство аварийной разблокировки</t>
  </si>
  <si>
    <t>ИОПР513/101-3</t>
  </si>
  <si>
    <t>Фактор Спецэлектро- ника</t>
  </si>
  <si>
    <t>Типовая точка доступа 4 в составе:</t>
  </si>
  <si>
    <t>3.38</t>
  </si>
  <si>
    <t>3.39</t>
  </si>
  <si>
    <t>Типовая точка доступа 5 в составе:</t>
  </si>
  <si>
    <t>3.40</t>
  </si>
  <si>
    <t>3.41</t>
  </si>
  <si>
    <t>3.42</t>
  </si>
  <si>
    <t>3.43</t>
  </si>
  <si>
    <t>3.44</t>
  </si>
  <si>
    <t>3.45</t>
  </si>
  <si>
    <t>3.46</t>
  </si>
  <si>
    <t>3.47</t>
  </si>
  <si>
    <t>Типовая точка доступа 6 в составе:</t>
  </si>
  <si>
    <t>3.48</t>
  </si>
  <si>
    <t>3.49</t>
  </si>
  <si>
    <t>3.50</t>
  </si>
  <si>
    <t>3.51</t>
  </si>
  <si>
    <t>3.52</t>
  </si>
  <si>
    <t>3.53</t>
  </si>
  <si>
    <t>3.54</t>
  </si>
  <si>
    <t>3.55</t>
  </si>
  <si>
    <t>3.56</t>
  </si>
  <si>
    <t>3.57</t>
  </si>
  <si>
    <t>3.58</t>
  </si>
  <si>
    <t>КПСТТнг(А)-HF 1х2х0.5</t>
  </si>
  <si>
    <t>3.59</t>
  </si>
  <si>
    <t>Кабель видеонаблюдения</t>
  </si>
  <si>
    <t>КВК-П-2нг(А)-HF 2х0,75</t>
  </si>
  <si>
    <t>3.60</t>
  </si>
  <si>
    <t>проект - 200шт.!</t>
  </si>
  <si>
    <t>3.61</t>
  </si>
  <si>
    <t>Коробка коммутационная на 12 контактов</t>
  </si>
  <si>
    <t>JB727</t>
  </si>
  <si>
    <t>CQR</t>
  </si>
  <si>
    <t>3.62</t>
  </si>
  <si>
    <t>3.63</t>
  </si>
  <si>
    <t>3.64</t>
  </si>
  <si>
    <t>3.65</t>
  </si>
  <si>
    <t>3.66</t>
  </si>
  <si>
    <t>3.67</t>
  </si>
  <si>
    <t>3.68</t>
  </si>
  <si>
    <t>3.69</t>
  </si>
  <si>
    <t>3.70</t>
  </si>
  <si>
    <t>Ручной высокочувствительный металлодетектор</t>
  </si>
  <si>
    <t>Блокпост РД-300</t>
  </si>
  <si>
    <t>Блокпост</t>
  </si>
  <si>
    <t>3.71</t>
  </si>
  <si>
    <t>Карта Em-marine</t>
  </si>
  <si>
    <t>3.72</t>
  </si>
  <si>
    <t>Карт-принтер</t>
  </si>
  <si>
    <t>Fargo C50</t>
  </si>
  <si>
    <t>51712</t>
  </si>
  <si>
    <t>Fargo</t>
  </si>
  <si>
    <t>3.73</t>
  </si>
  <si>
    <t>Картридж 1/2 многоразовый</t>
  </si>
  <si>
    <t>FARGO YMCKO</t>
  </si>
  <si>
    <t>45014</t>
  </si>
  <si>
    <t>3.74</t>
  </si>
  <si>
    <t>Чистящий комплект</t>
  </si>
  <si>
    <t>86177</t>
  </si>
  <si>
    <t>3.75</t>
  </si>
  <si>
    <t>Пластиковая карта [заготовка для карт-принтеров] HQ TK 4100 ISO номерная с чипом Em Marine RFID LF 125 кГц [цвет белый, размер CR-80, толщина 0,76мм (30mil)</t>
  </si>
  <si>
    <t>HQ TK 4100 ISO</t>
  </si>
  <si>
    <t>3.76</t>
  </si>
  <si>
    <t>Пластиковые наклейки CR-80</t>
  </si>
  <si>
    <t>FARGO UltraCard</t>
  </si>
  <si>
    <t>82266</t>
  </si>
  <si>
    <t>Часть 3. Автоматизация и диспетчеризация 03-01/07.21П-ИОС.5.3.СО</t>
  </si>
  <si>
    <t>Автоматизация общеобменной вентиляции и кондиционирования</t>
  </si>
  <si>
    <t>1. Щиты и пульты</t>
  </si>
  <si>
    <t>Щит управления с комплектом КИП</t>
  </si>
  <si>
    <t>ЩУВ-П1В1</t>
  </si>
  <si>
    <t>ЩУВ-П2В2</t>
  </si>
  <si>
    <t>ЩУВ-П3В3</t>
  </si>
  <si>
    <t>ЩУВ-П4В4</t>
  </si>
  <si>
    <t>ЩУВ-П5В5</t>
  </si>
  <si>
    <t>ЩУВ-П6</t>
  </si>
  <si>
    <t>ЩУВ-П7</t>
  </si>
  <si>
    <t>ЩУВ-П8</t>
  </si>
  <si>
    <t>ЩУВ-П9</t>
  </si>
  <si>
    <t>ЩУВ-П10</t>
  </si>
  <si>
    <t>ЩУВ-П11</t>
  </si>
  <si>
    <t>ЩУВ-П12</t>
  </si>
  <si>
    <t>ЩУВ-П13</t>
  </si>
  <si>
    <t>ЩУВ-П14</t>
  </si>
  <si>
    <t>ЩУВ-П15</t>
  </si>
  <si>
    <t>ЩУВ-П16</t>
  </si>
  <si>
    <t>ЩУВ-П17</t>
  </si>
  <si>
    <t>ЩУВ-П18</t>
  </si>
  <si>
    <t>ЩУВ-П19</t>
  </si>
  <si>
    <t>ЩУВ-П20</t>
  </si>
  <si>
    <t>ЩУВ-П21</t>
  </si>
  <si>
    <t>ЩУВ-В1</t>
  </si>
  <si>
    <t>ЩУВ-В2; в СО номер 1.22 повторяется</t>
  </si>
  <si>
    <t>Настенный контроллер WING/Volcano</t>
  </si>
  <si>
    <t>Арт. 1-4-0101-0438</t>
  </si>
  <si>
    <t>“VTS”</t>
  </si>
  <si>
    <t>ПУ-А1…ПУ-А8</t>
  </si>
  <si>
    <t>Управляющий блок ротации и резервированием</t>
  </si>
  <si>
    <t>БУРР-1М</t>
  </si>
  <si>
    <t>“Алекс Электроникс”</t>
  </si>
  <si>
    <t>БУРР-К1, БУРР-К2, БУРР-К6</t>
  </si>
  <si>
    <t>Исполнительный блок ротации</t>
  </si>
  <si>
    <t>БИС-1М</t>
  </si>
  <si>
    <t>БИС-К1.1, БИС-К1.1р, БИС-К2.1, БИС-К2.1р, БИС-К6.1, БИС-К6.1р</t>
  </si>
  <si>
    <t>2. Кабели и провода</t>
  </si>
  <si>
    <t>доп. по ИОС-5.3.СО</t>
  </si>
  <si>
    <t>Кабели силовой, экранированный, не распространяющие горение, с изоляцией и оболочкой из полимерных композиций, не содержащих галогенов</t>
  </si>
  <si>
    <t>ППГЭнг(А)-HF 4х4</t>
  </si>
  <si>
    <t>ЗАО «СПКБ Техно»</t>
  </si>
  <si>
    <t>ППГЭнг(А)-HF 4х2.5</t>
  </si>
  <si>
    <t>Кабели силовой не распространяющие горение с изоляцией и оболочкой из полимерных композиций, не содержащих галогенов</t>
  </si>
  <si>
    <t>ППГнг(А)-HF 4х2,5</t>
  </si>
  <si>
    <t>ППГнг(А)-HF 3х1.5</t>
  </si>
  <si>
    <t>Кабели контрольный, экранированный, не распространяющие горение, с изоляцией и оболочкой из полимерных композиций, не содержащих галогенов</t>
  </si>
  <si>
    <t>КППГЭнг(А)-HF 4х0.75</t>
  </si>
  <si>
    <t>Кабели контрольный не распространяющие горение, с изоляцией и оболочкой из полимерных композиций, не содержащих галогенов</t>
  </si>
  <si>
    <t>КППГнг(А)-HF 7х0.75</t>
  </si>
  <si>
    <t>КППГнг(А)-HF 2х0.75</t>
  </si>
  <si>
    <t>3. Изделия и материалы для электропроводок</t>
  </si>
  <si>
    <t>Труба гофрированная легкая с протяжкой d20</t>
  </si>
  <si>
    <t>Держатель с защелкой d20</t>
  </si>
  <si>
    <t>51020</t>
  </si>
  <si>
    <t>Труба гофрированная легкая с протяжкой d32</t>
  </si>
  <si>
    <t>91932</t>
  </si>
  <si>
    <t>Держатель с защелкой d32</t>
  </si>
  <si>
    <t>51032</t>
  </si>
  <si>
    <t>Труба стальная водогазопроводная, 32мм</t>
  </si>
  <si>
    <t>Универсальна противопожарная пена</t>
  </si>
  <si>
    <t>CP660</t>
  </si>
  <si>
    <t>Hilti</t>
  </si>
  <si>
    <t>Лоток неперфорированный, 150х50х3000</t>
  </si>
  <si>
    <t>35023</t>
  </si>
  <si>
    <t>Крышка лотка прямая, осн. 150мм, L=3000</t>
  </si>
  <si>
    <t>35523</t>
  </si>
  <si>
    <t>Угол горизонтальный, 90 гр., 150х50</t>
  </si>
  <si>
    <t>CPO90</t>
  </si>
  <si>
    <t>36003К</t>
  </si>
  <si>
    <t>Крышка угла горизонтального, 150мм</t>
  </si>
  <si>
    <t>38003</t>
  </si>
  <si>
    <t>Угол горизонтальный, 45 гр., 150х50</t>
  </si>
  <si>
    <t>CPO45</t>
  </si>
  <si>
    <t>36063К</t>
  </si>
  <si>
    <t>38023</t>
  </si>
  <si>
    <t>Соединительная накладка для основания лотка, В=150</t>
  </si>
  <si>
    <t>CGB</t>
  </si>
  <si>
    <t>37353</t>
  </si>
  <si>
    <t>Соединительная накладка для крышек лотка, В=150</t>
  </si>
  <si>
    <t>CGC</t>
  </si>
  <si>
    <t>37393</t>
  </si>
  <si>
    <t>Соединительная пластина, H=50</t>
  </si>
  <si>
    <t>GTO</t>
  </si>
  <si>
    <t>37301</t>
  </si>
  <si>
    <t>Заглушка цельная, 150х50</t>
  </si>
  <si>
    <t>37243</t>
  </si>
  <si>
    <t>Струбцина М10</t>
  </si>
  <si>
    <t>СМ301000</t>
  </si>
  <si>
    <t>Гайка с насечкой М10</t>
  </si>
  <si>
    <t>СМ101000</t>
  </si>
  <si>
    <t>Шпилька резьбовая M8х3000</t>
  </si>
  <si>
    <t>Профиль, 48х29, L=3м, толщина 1,5 мм</t>
  </si>
  <si>
    <t>BPL-29</t>
  </si>
  <si>
    <t>BPL2930</t>
  </si>
  <si>
    <t>Стандартный анкер с болтом M8</t>
  </si>
  <si>
    <t>Анкер забивной, стальной М8</t>
  </si>
  <si>
    <t>Болт, М8</t>
  </si>
  <si>
    <t>Гайка, М8</t>
  </si>
  <si>
    <t>Шайба, М8</t>
  </si>
  <si>
    <t>Крепежный ремешок (хомут)</t>
  </si>
  <si>
    <t>Шуруп для металлического каркаса, d=5,5мм</t>
  </si>
  <si>
    <t>Клейкая лента для IP44 на стык лотков</t>
  </si>
  <si>
    <t>37557</t>
  </si>
  <si>
    <t>Клейкая лента для IP44 на борт лотка</t>
  </si>
  <si>
    <t>37558</t>
  </si>
  <si>
    <t>Стяжки 200х3,5, упаковка 100шт.</t>
  </si>
  <si>
    <t>Бирка кабельная маркировочная (треугольник 55х55х55мм)</t>
  </si>
  <si>
    <t>Автоматизация индивидуального теплового пункта</t>
  </si>
  <si>
    <t>Модуль управления</t>
  </si>
  <si>
    <t>АМПЕРУС ТГР4(М)-Отп2(4.5)Fт.р-Отп2(2.1)F-Отп2(1-1.6А)-ГВС1(0.63-1А))</t>
  </si>
  <si>
    <t>507526</t>
  </si>
  <si>
    <t>“Элита-Центр”</t>
  </si>
  <si>
    <t>ЩУ-ИТП; доп. по ИОС-5.3.СО</t>
  </si>
  <si>
    <t>Система узла учета тепловой энергии в составе:</t>
  </si>
  <si>
    <t>1.2.1</t>
  </si>
  <si>
    <t>Шкаф УУТЭ на базе вычислителя ТВ7-04М</t>
  </si>
  <si>
    <t>ТВ7-04М</t>
  </si>
  <si>
    <t>029811</t>
  </si>
  <si>
    <t>ШУУУТЭ; доп. по ИОС-5.3.СО</t>
  </si>
  <si>
    <t>1.2.2</t>
  </si>
  <si>
    <t>Преобразователь расхода DN80, Диапазон расхода (0,36-90) м3/час, Класс точности B, фланцевое</t>
  </si>
  <si>
    <t>Питерфлоу РС (L)</t>
  </si>
  <si>
    <t>503303</t>
  </si>
  <si>
    <t>FE1, FE2; доп. по ИОС-5.3.СО</t>
  </si>
  <si>
    <t>1.2.3</t>
  </si>
  <si>
    <t>Датчик температуры, Lп.ч.=100мм</t>
  </si>
  <si>
    <t>КТСП</t>
  </si>
  <si>
    <t>310682</t>
  </si>
  <si>
    <t>ТE1, ТE2</t>
  </si>
  <si>
    <t>1.2.4</t>
  </si>
  <si>
    <t>Гильза, Lп.ч.=100мм</t>
  </si>
  <si>
    <t>310689</t>
  </si>
  <si>
    <t>1.2.5</t>
  </si>
  <si>
    <t>Датчик давления, М20*1.5, 0…16бар</t>
  </si>
  <si>
    <t>3339205</t>
  </si>
  <si>
    <t>РE1, РE2</t>
  </si>
  <si>
    <t>1.2.6</t>
  </si>
  <si>
    <t>Бобышка приварная, L=35мм, М20*1.5</t>
  </si>
  <si>
    <t>310691</t>
  </si>
  <si>
    <t>1.2.7</t>
  </si>
  <si>
    <t>переходник датчика давления, М20*1.5(внутр.)-G1/2</t>
  </si>
  <si>
    <t>ППГнг(А)-HF 3х1,5</t>
  </si>
  <si>
    <t>ППГнг(А)-HF 4х1.5</t>
  </si>
  <si>
    <t>КППГЭнг(А)-HF 2х0.75</t>
  </si>
  <si>
    <t>КППГЭнг(А)-HF 4х1.5</t>
  </si>
  <si>
    <t>Автоматизация холодоснабжения</t>
  </si>
  <si>
    <t>1. Кабели и провода</t>
  </si>
  <si>
    <t>ППГнг(А)-HF 4х2.5</t>
  </si>
  <si>
    <t>Кабели контрольный, не распространяющие горение, с изоляцией и оболочкой из полимерных композиций, не содержащих галогенов</t>
  </si>
  <si>
    <t>2. Изделия и материалы для электропроводок</t>
  </si>
  <si>
    <t>Система комплексной диспетчеризации</t>
  </si>
  <si>
    <t>1. Приборы и средства автоматизации</t>
  </si>
  <si>
    <t>Лифтовой блок v7.2</t>
  </si>
  <si>
    <t>ЛБ7.2</t>
  </si>
  <si>
    <t>ЛНГС.465213.270-10</t>
  </si>
  <si>
    <t>“Лифт-Комплекс ДС”</t>
  </si>
  <si>
    <t>Модуль переговорной связи</t>
  </si>
  <si>
    <t>ЛНГС.465213.099.400-05</t>
  </si>
  <si>
    <t>Переговорное устройство</t>
  </si>
  <si>
    <t>УП7.2</t>
  </si>
  <si>
    <t>ЛНГС.465213.270.500-02</t>
  </si>
  <si>
    <t>ППУЭ-Н</t>
  </si>
  <si>
    <t>ЛНГС.465213.300.300</t>
  </si>
  <si>
    <t>2. Щиты и пульты</t>
  </si>
  <si>
    <t>Щит ЩДК в составе:</t>
  </si>
  <si>
    <t>Корпус щита с монтажной панелью, 800х600х300мм, IP66</t>
  </si>
  <si>
    <t>NSYCRN86300P</t>
  </si>
  <si>
    <t>“Schneider Electric”</t>
  </si>
  <si>
    <t>DIN-рейка 35х7,5 мм длиной 1000 мм</t>
  </si>
  <si>
    <t>02140-RET10</t>
  </si>
  <si>
    <t>Фиксатор на DIN-рейку</t>
  </si>
  <si>
    <t>ФК-102-01</t>
  </si>
  <si>
    <t>32057DEK</t>
  </si>
  <si>
    <t>«DEKraft»</t>
  </si>
  <si>
    <t>Короб перфорированный, серый 40х80, 2м</t>
  </si>
  <si>
    <t>01127RL</t>
  </si>
  <si>
    <t>Выключатель нагрузки iSW 1П 20A</t>
  </si>
  <si>
    <t>A9S60120</t>
  </si>
  <si>
    <t>Автоматический выключатель .iC60N 1П 6A C</t>
  </si>
  <si>
    <t>A9F79106</t>
  </si>
  <si>
    <t>Розетка щитовая iPC DIN 2П+T 16A 250В НЕМ</t>
  </si>
  <si>
    <t>A9A15310</t>
  </si>
  <si>
    <t>Трансформатор 220В/24В 63ВА</t>
  </si>
  <si>
    <t>ITR63VA</t>
  </si>
  <si>
    <t>Программируемы логический контроллер</t>
  </si>
  <si>
    <t>Matrix-22-22-70-0</t>
  </si>
  <si>
    <t>“Segnetics”</t>
  </si>
  <si>
    <t>Преобразователь ModBus RTU/ModBus TCP IP</t>
  </si>
  <si>
    <t>MGATE 5118-T MOXA</t>
  </si>
  <si>
    <t>“ИНСАТ”</t>
  </si>
  <si>
    <t>Сигнальная лампа W 220В</t>
  </si>
  <si>
    <t>XB7EV07MP</t>
  </si>
  <si>
    <t>Проходной клеммный блок, 2,5мм2, серый</t>
  </si>
  <si>
    <t>NSYTRV22</t>
  </si>
  <si>
    <t>Проходной клеммный блок, 2,5мм2, синий</t>
  </si>
  <si>
    <t>NSYTRV22BL</t>
  </si>
  <si>
    <t>Проходной клеммный блок, 2,5мм2, желто-зеленый</t>
  </si>
  <si>
    <t>NSYTRV22PE</t>
  </si>
  <si>
    <t>Шильда</t>
  </si>
  <si>
    <t>Провод 0,5мм2, белый</t>
  </si>
  <si>
    <t>ПВ-3</t>
  </si>
  <si>
    <t>Провод 0,5мм2, красный</t>
  </si>
  <si>
    <t>Провод 0,5мм2, синий</t>
  </si>
  <si>
    <t>Штыревой наконечник 0,5-8, уп. 100шт</t>
  </si>
  <si>
    <t>НШВИ</t>
  </si>
  <si>
    <t>47460</t>
  </si>
  <si>
    <t>“КВТ”</t>
  </si>
  <si>
    <t>3. АРМ</t>
  </si>
  <si>
    <t>Установка сервера для монтажа в 19-дюймовую стойку в составе:</t>
  </si>
  <si>
    <t>3.1.1</t>
  </si>
  <si>
    <t>iROBO-2000-40i5TRHN-G3 Промышленный компьютер 4U/19"/C236/Intel Core-i5 6400/2,7ГГц/2х4Гб DDR4/2х1Тб SATA HDD-ES HotSwap/RAID 0,1,5,10/DVD-RW/DVI-D,2xDP/2xГб/LAN/IPMI/10xUSB/1xCOM/mSATA/Audio/Video 2Gb GT730/WinSrv2012/БП 400Вт ATX</t>
  </si>
  <si>
    <t>C30030678</t>
  </si>
  <si>
    <t>iROBO</t>
  </si>
  <si>
    <t>3.1.2</t>
  </si>
  <si>
    <t>AMK808-17CBRU (AMK808-17CBRUS) 1U консоль для 19" стойки 17" TFT LCD монитор, клавиатура, комплект 8 х 1.8м кабель Combo VGA/KB/Mouse, 8 портов Combo KVM, Touchpad, одиночные направляющие, стальной корпус, Черный, Русский</t>
  </si>
  <si>
    <t>5528700R</t>
  </si>
  <si>
    <t>Автоматизированное рабочее место в составе:</t>
  </si>
  <si>
    <t>3.2.1</t>
  </si>
  <si>
    <t>iROBO-3000-00i6-G3 Компактный промышленный компьютер/C236/Intel Core-i5 6400 2.7ГГц/2х4Гб DDR4/2х1000Гб SATA HDD(серверный)/DVD-RW/DVI-D, 2xDP/2xГб/LAN/10xUSB/1xCOM/mSATA/2xPCI/2xPCIe-16(x16,x4)/1xPCIe-8(x1)/2xPCIe-4(x4,x1)/Audio/400Вт/ATX/GT730-SL-2GD3/KBD+MOUSE/Win7</t>
  </si>
  <si>
    <t>C30030688</t>
  </si>
  <si>
    <t>3.2.2</t>
  </si>
  <si>
    <t>Монитор</t>
  </si>
  <si>
    <t>DELL P2419H</t>
  </si>
  <si>
    <t>DELL</t>
  </si>
  <si>
    <t>3.2.3</t>
  </si>
  <si>
    <t>Принтер лазерный</t>
  </si>
  <si>
    <t>ECOSYS P3045dn</t>
  </si>
  <si>
    <t>KYOCERA</t>
  </si>
  <si>
    <t>3.2.4</t>
  </si>
  <si>
    <t>ИБП двойного преобразования с встроенными аккумуляторами</t>
  </si>
  <si>
    <t>СИПБ1,5КА.8-11</t>
  </si>
  <si>
    <t>Парус-Электро</t>
  </si>
  <si>
    <t>3.2.5</t>
  </si>
  <si>
    <t>Микрофон USB</t>
  </si>
  <si>
    <t>ATR4750-USB</t>
  </si>
  <si>
    <t>Audio-Technica</t>
  </si>
  <si>
    <t>4. Программное обеспечение для АРМ</t>
  </si>
  <si>
    <t>Исполнительная система, архивный сервер на неограниченное количество архивируемых параметров и внешних точек ввода-вывода</t>
  </si>
  <si>
    <t>MAS-U PRO</t>
  </si>
  <si>
    <t>ИнСАТ</t>
  </si>
  <si>
    <t>Клиентская исполнительная система с функцией управления на одно рабочее место</t>
  </si>
  <si>
    <t>MAS-CLIENT</t>
  </si>
  <si>
    <t>OPC-сервер Modbus RTU/ASCII/TCP на одно рабочее место без ограничения на количество тегов. Защита - USB-ключ</t>
  </si>
  <si>
    <t>MODBUS UNIVERSAL MASTEROPC SERVER U DONGLE</t>
  </si>
  <si>
    <t>Кабель симметричный для промышленного интерфейса RS-485, групповой прокладки, с пониженным дымо- и газовыделением</t>
  </si>
  <si>
    <t>ТехноКИПнг(А)-HF 1х2х0,6</t>
  </si>
  <si>
    <t>Огнестойкая кабельная линия (ОКЛ) в составе:</t>
  </si>
  <si>
    <t>Кабель интерфейсный огнестойкий</t>
  </si>
  <si>
    <t>КИнг(А)-FRHF 2х2х0.5</t>
  </si>
  <si>
    <t>ООО «ПожТехКабель»</t>
  </si>
  <si>
    <t>Труба гофрированная ПВХ, Ø20</t>
  </si>
  <si>
    <t>Скоба металлическая однолапковая, Ø20</t>
  </si>
  <si>
    <t>Дюбель металлический с саморезом 5х30мм</t>
  </si>
  <si>
    <t>“DKC”</t>
  </si>
  <si>
    <t>Автоматизация обогрева кровли</t>
  </si>
  <si>
    <t>Датчик температуры и влажности</t>
  </si>
  <si>
    <t>ПВТ100-H5.И.5</t>
  </si>
  <si>
    <t>“ОВЕН”</t>
  </si>
  <si>
    <t>ТМЕ1, ТМЕ2</t>
  </si>
  <si>
    <t>Шкаф обогрева кровли ШУВК1 в составе:</t>
  </si>
  <si>
    <t>ШУВК-1; доп. по ИОС-5.3.СО</t>
  </si>
  <si>
    <t>Корпус щита с монтажной панелью, 1000х800х300мм, IP65 ST</t>
  </si>
  <si>
    <t>R5ST1083</t>
  </si>
  <si>
    <t>«DKC»</t>
  </si>
  <si>
    <t>01107RL</t>
  </si>
  <si>
    <t>Программируемое реле</t>
  </si>
  <si>
    <t>ПР200-24.4.2.0</t>
  </si>
  <si>
    <t>Модуль дискретного вывода</t>
  </si>
  <si>
    <t>МУ210-401</t>
  </si>
  <si>
    <t>Блок питания</t>
  </si>
  <si>
    <t>БП30Б-Д3-24</t>
  </si>
  <si>
    <t>Сигнальная лампа в сборе, зеленый, 220В, АС/DC</t>
  </si>
  <si>
    <t>MTB2-BV633</t>
  </si>
  <si>
    <t>“MEYERTEC”</t>
  </si>
  <si>
    <t>Сигнальная лампа в сборе, красный, 220В, АС/DC</t>
  </si>
  <si>
    <t>MTB2-BV634</t>
  </si>
  <si>
    <t>Промежуточное реле в компактном корпусе 200V AC, 2Н.О.</t>
  </si>
  <si>
    <t>MR-207A</t>
  </si>
  <si>
    <t>“KIPPRIBOR”</t>
  </si>
  <si>
    <t>Колодка монтажная</t>
  </si>
  <si>
    <t>PFY-022BE/2</t>
  </si>
  <si>
    <t>Зажим пластмассовый удерживающий</t>
  </si>
  <si>
    <t>BS 2/15Р</t>
  </si>
  <si>
    <t>Модуль LED-индикации 230V AC/DC</t>
  </si>
  <si>
    <t>LM-EN 230V AC/DC</t>
  </si>
  <si>
    <t>Контактор модульный 4NO</t>
  </si>
  <si>
    <t>MK103-063A-230B-40</t>
  </si>
  <si>
    <t>18088DEK</t>
  </si>
  <si>
    <t>“DEKraft”</t>
  </si>
  <si>
    <t>Реле времени 2 контакта 230V AC/DC c независимыми уставками</t>
  </si>
  <si>
    <t>ORT-2T-AC230V</t>
  </si>
  <si>
    <t>“IEK”</t>
  </si>
  <si>
    <t>Выключатель дифференциального тока 4Р, 32А, 30мА</t>
  </si>
  <si>
    <t>ДИФ101-4Р-032А-030-С</t>
  </si>
  <si>
    <t>15023DEK</t>
  </si>
  <si>
    <t>Выключатель нагрузки iSW 1П 63A</t>
  </si>
  <si>
    <t>Клемма винтовая</t>
  </si>
  <si>
    <t>3Н101-16-70А-07</t>
  </si>
  <si>
    <t>32406DEK</t>
  </si>
  <si>
    <t>Клемма проходная винтовая 2.5мм2, серый</t>
  </si>
  <si>
    <t>MTU-2.5</t>
  </si>
  <si>
    <t>Клемма проходная винтовая 2.5мм2, синий</t>
  </si>
  <si>
    <t>MTU-2.5BL</t>
  </si>
  <si>
    <t>Клемма проходная винтовая 2.5мм2, желто-зеленый</t>
  </si>
  <si>
    <t>MTU-2.5PE</t>
  </si>
  <si>
    <t>Заглушки торцевые</t>
  </si>
  <si>
    <t>MTU-P</t>
  </si>
  <si>
    <t>Монтажная площадка</t>
  </si>
  <si>
    <t>Наклейка “Высокое напряжение”</t>
  </si>
  <si>
    <t>Наклейка “Земля”</t>
  </si>
  <si>
    <t>Гермоввод</t>
  </si>
  <si>
    <t>PG48</t>
  </si>
  <si>
    <t>PG21</t>
  </si>
  <si>
    <t>PG11</t>
  </si>
  <si>
    <t>Шкаф обогрева кровли ШУВК2 в составе:</t>
  </si>
  <si>
    <t>ШУВК-2</t>
  </si>
  <si>
    <t>2.52</t>
  </si>
  <si>
    <t>2.53</t>
  </si>
  <si>
    <t>2.54</t>
  </si>
  <si>
    <t>2.55</t>
  </si>
  <si>
    <t>2.56</t>
  </si>
  <si>
    <t>2.57</t>
  </si>
  <si>
    <t>2.58</t>
  </si>
  <si>
    <t>2.59</t>
  </si>
  <si>
    <t>2.60</t>
  </si>
  <si>
    <t>2.61</t>
  </si>
  <si>
    <t>2.62</t>
  </si>
  <si>
    <t>2.63</t>
  </si>
  <si>
    <t>2.64</t>
  </si>
  <si>
    <t>2.65</t>
  </si>
  <si>
    <t>2.66</t>
  </si>
  <si>
    <t>2.67</t>
  </si>
  <si>
    <t>2.68</t>
  </si>
  <si>
    <t>2.69</t>
  </si>
  <si>
    <t>2.70</t>
  </si>
  <si>
    <t>2.71</t>
  </si>
  <si>
    <t>3. Кабели и провода</t>
  </si>
  <si>
    <t>4. Изделия и материалы для электропроводок</t>
  </si>
  <si>
    <t>Коробка клеммная, 130х130х77, IP66, мембраны</t>
  </si>
  <si>
    <t>DK0606G</t>
  </si>
  <si>
    <t>62000007</t>
  </si>
  <si>
    <t>“HENSEL”</t>
  </si>
  <si>
    <t>ПБ2.</t>
  </si>
  <si>
    <t>ПОЖАРНАЯ СИГНАЛИЗАЦИЯ И ОПОВЕЩЕНИЕ (03-01/07.21П-ПБ2.СО)</t>
  </si>
  <si>
    <t>Система пожарной сигнализации</t>
  </si>
  <si>
    <t>С2000М исп.02</t>
  </si>
  <si>
    <t>С2000-КДЛ-2и</t>
  </si>
  <si>
    <t>Резервированный источник питанияя 12 В,3 А</t>
  </si>
  <si>
    <t>РИП-12 исп. 50</t>
  </si>
  <si>
    <t>Прибор приемно-контрольный охранно-пожарный</t>
  </si>
  <si>
    <t>Сигнал-20П</t>
  </si>
  <si>
    <t>Сигнал-10</t>
  </si>
  <si>
    <t>С2000-4</t>
  </si>
  <si>
    <t>Контрольно-пусковой блок</t>
  </si>
  <si>
    <t>С2000-КПБ</t>
  </si>
  <si>
    <t>Блок сигнально-пусковой адресный</t>
  </si>
  <si>
    <t>С2000-СП2</t>
  </si>
  <si>
    <t>С2000-СП2 исп.02</t>
  </si>
  <si>
    <t>С2000-СП4/220</t>
  </si>
  <si>
    <t>Внешняя кнопка функционального теста</t>
  </si>
  <si>
    <t>ПКУ-15-21.111-54У2</t>
  </si>
  <si>
    <t>Электротехник</t>
  </si>
  <si>
    <t>Шкаф с резервированным источником питания</t>
  </si>
  <si>
    <t>ШПС-12 исп.10</t>
  </si>
  <si>
    <t>Извещатель пожарный дымовой оптико-электронный адресно-аналоговый</t>
  </si>
  <si>
    <t>ДИП-34А-04 (ИП 212-34А)</t>
  </si>
  <si>
    <t>Извещатель пожарный тепловой максимально-дифференциальный адресно- аналоговый</t>
  </si>
  <si>
    <t>С2000-ИП-02-02</t>
  </si>
  <si>
    <t>Извещатель пожарный ручной адресный</t>
  </si>
  <si>
    <t>ИПР 513-3АМ исп.01</t>
  </si>
  <si>
    <t>Устройство дистанционного пуска адресное (пуск дымоудаления)</t>
  </si>
  <si>
    <t>УДП 513-3АМ исп.02</t>
  </si>
  <si>
    <t>Устройство дистанционного пуска адресное (пуск пожаротушения)</t>
  </si>
  <si>
    <t>УДП 513-3АМ</t>
  </si>
  <si>
    <t>Адресный расширитель на две зоны сигнализации</t>
  </si>
  <si>
    <t>С2000-АР2 исп.02</t>
  </si>
  <si>
    <t>Извещатель пожарный тепловой максимальный неадресный</t>
  </si>
  <si>
    <t>ИП 105-1 G "Сауна-150"</t>
  </si>
  <si>
    <t>Магнито-контакт</t>
  </si>
  <si>
    <t>Извещатель пожарный дымовой оптико-электронный линейный</t>
  </si>
  <si>
    <t>С2000-ИПДЛ</t>
  </si>
  <si>
    <t>Модуль подключения нагрузки</t>
  </si>
  <si>
    <t>МПН</t>
  </si>
  <si>
    <t>Оповещатель световой "Выход"</t>
  </si>
  <si>
    <t>Кристалл-12 ”Выход”</t>
  </si>
  <si>
    <t>Электротехника и Авто- матика</t>
  </si>
  <si>
    <t>Оповещатель световой "Пожарная насосная"</t>
  </si>
  <si>
    <t>Кристалл-12 "Пожарная насосная"</t>
  </si>
  <si>
    <t>Оповещатель световой "Безопасная зона"</t>
  </si>
  <si>
    <t>Кристалл-12 "Безопасная зона"</t>
  </si>
  <si>
    <t>Оповещатель световой "Стрелка влево"</t>
  </si>
  <si>
    <t>Кристалл-12 "Стрелка вправо"</t>
  </si>
  <si>
    <t>Оповещатель охранно-пожарный свето-звуковой Феникс-С (красный)</t>
  </si>
  <si>
    <t>ПКИ-СП12</t>
  </si>
  <si>
    <t>Комтид</t>
  </si>
  <si>
    <t>Оповещатель охранно-пожарный световой стробоскопический</t>
  </si>
  <si>
    <t>Маяк-12Ст</t>
  </si>
  <si>
    <t>Извещатель охранный магнитноконтактный адресный</t>
  </si>
  <si>
    <t>С2000-СМК исп. 06</t>
  </si>
  <si>
    <t>Шкаф контрольно-пусковой управления вентиляцией, мощность управляе- мого двигателя, 4кВт</t>
  </si>
  <si>
    <t>ШКП-4</t>
  </si>
  <si>
    <t>Шкаф контрольно-пусковой управления вентиляцией, мощность управляе- мого двигателя, 10кВт</t>
  </si>
  <si>
    <t>ШКП-10</t>
  </si>
  <si>
    <t>Шкаф управления 2 вентиляторами и электрокалорифером</t>
  </si>
  <si>
    <t>ШУВ-2 (3/0,23кВт; 400/230; 54; 24/24; -/ЭК(13,0кВт; 400; ДТ); 3хРВ)</t>
  </si>
  <si>
    <t>ООО ”Системы пожар- ной безопасности”</t>
  </si>
  <si>
    <t>Шкаф управления 2 задвижками ШУЗ-2</t>
  </si>
  <si>
    <t>ШК1402-26-М СВТ65.220(230).000</t>
  </si>
  <si>
    <t>Свит</t>
  </si>
  <si>
    <t>Коммутационная огнестойкая коробка</t>
  </si>
  <si>
    <t>КМ-О 8К-IP41</t>
  </si>
  <si>
    <t>Гефест</t>
  </si>
  <si>
    <t>Подключение С2000-СП4/220</t>
  </si>
  <si>
    <t>КМ-О 2К-IP41</t>
  </si>
  <si>
    <t>Подключение С2000-СМК</t>
  </si>
  <si>
    <t>ОКЛ СПЕЦКАБЛАЙН-КиТ-ГФ20 - 450 м (КПСэнг(А)-FRHF 1х2х0,75 - 450м)</t>
  </si>
  <si>
    <t>RS-485</t>
  </si>
  <si>
    <t>ОКЛ СПЕЦКАБЛАЙН-КиТ-ГФ20 - 580 м (КПСнг(А)-FRHF 2х2х0,5 - 580м)</t>
  </si>
  <si>
    <t>Шлейф клапанов</t>
  </si>
  <si>
    <t>ОКЛ СПЕЦКАБЛАЙН-КиТ-ГФ20 - 150 м (КПСнг(А)-FRHF 1х2х0,5 - 150м)</t>
  </si>
  <si>
    <t>Шлейф</t>
  </si>
  <si>
    <t>ОКЛ СПЕЦКАБЛАЙН-КиТ-ГФ20 - 400 м (КПСнг(А)-FRHF 1х2х1,5 - 400м)</t>
  </si>
  <si>
    <t>Питание</t>
  </si>
  <si>
    <t>ОКЛ СПЕЦКАБЛАЙН-КиТ-ГФ20 - 5420 м (КПСнг(А)-FRHF 1х2х0,75 - 5420)</t>
  </si>
  <si>
    <t>ДПЛС</t>
  </si>
  <si>
    <t>ОКЛ СПЕЦКАБЛАЙН-КиТ-ГФ20 - 1650 м (КПСнг(А)-FRHF 1х2х1 - 1650м)</t>
  </si>
  <si>
    <t>Световое и звуко- вое оповещение</t>
  </si>
  <si>
    <t>ОКЛ СПЕЦКАБЛАЙН-КиТ-ГФ25 - 500 м (КунРс Внг(А)-FRHF 2х1,5 - 500м)</t>
  </si>
  <si>
    <t>Подключение кла- панов к С2000- СП4</t>
  </si>
  <si>
    <t>ОКЛ СПЕЦКАБЛАЙН-КиТ-ГФ25 - 100 м (КунРс Внг(А)-FRHF 3х1,5 - 100 м)</t>
  </si>
  <si>
    <t>ОКЛ СПЕЦКАБЛАЙН-К2Д 70/40×25 - 15 м (КПСэнг(А)-FRHF 1х2х0.75 - 25 м + КПСнг(А)-FRHF 1х2х1 - 25 м + КПСнг(А)-FRHF 1х2х0,75 – 50 м + КПСнг(А)-FRHF 1х2х1,5 – 10 м)</t>
  </si>
  <si>
    <t>ТУ 16.К99-065-2014</t>
  </si>
  <si>
    <t>ОКЛ СПЕЦКАБЛАЙН-К2Д 50/25×25 - 10 м (КПСэнг(А)-FRHF 1х2х0,75 – 10 м + КПСнг(А)-FRHF 1х2х0,75 - 10 м - КПСнг(А)-FRHF 1х2х1,5 - 10 м)</t>
  </si>
  <si>
    <t>Система речевого оповещения</t>
  </si>
  <si>
    <t>Усилительно-коммутационный комплекс</t>
  </si>
  <si>
    <t>МЕТА 8801-02</t>
  </si>
  <si>
    <t>НПП МЕТА</t>
  </si>
  <si>
    <t>Пульт микрофонный</t>
  </si>
  <si>
    <t>МЕТА 18580-8</t>
  </si>
  <si>
    <t>Речевой оповещатель типа АСР-03.1.6, 100В</t>
  </si>
  <si>
    <t>АСР-03.1.6 100В</t>
  </si>
  <si>
    <t>Речевой оповещатель типа АСР-06.1.6, 100В</t>
  </si>
  <si>
    <t>АСР-06.1.6 100В</t>
  </si>
  <si>
    <t>Рупорный оповещатель типа ГР-50.02, 100В</t>
  </si>
  <si>
    <t>ГР-50.02 100В</t>
  </si>
  <si>
    <t>Коробка огнестойкая на 4 контакта</t>
  </si>
  <si>
    <t>МЕТА 7403-4</t>
  </si>
  <si>
    <t>ОКЛ СПЕЦКАБЛАЙН-КиТ-ГФ20 - 1500 м (КПСЭнг(А)-FRHF 1х2х1,5 - 1500м)</t>
  </si>
  <si>
    <t>ОКЛ СПЕЦКАБЛАЙН-КиТ-ГФ20 - 90 м (СПЕЦЛАН UTP-5нг(А)-FRHF 4х2х0,5 - 90м)</t>
  </si>
  <si>
    <t>ВОР 76</t>
  </si>
  <si>
    <t>Провод в коробах, сечением: до 6 мм2</t>
  </si>
  <si>
    <t>ВОР 02-01-13, нет в ПБ2.СО; Источник: 03-01/07.21П-ПБ2.СО л.3 (Файл: 03-01_07.21П-nb2.pdf, стр.: 1 2 3)</t>
  </si>
  <si>
    <t>ВОР 81</t>
  </si>
  <si>
    <t>Короба пластмассовые: шириной до 40 мм</t>
  </si>
  <si>
    <t>ВОР 02-01-13, нет в ПБ2.СО; Источник: 03-01/07.21П-ПБ2.СО л.3 (Файл: 03-01_07.21П-ПБ2.pdf, стр.: 1 2 3)</t>
  </si>
  <si>
    <t>Громкоговоритель настольный</t>
  </si>
  <si>
    <t>ВОР 02-01-13, нет в ПБ2.СО — возможно = пульт микрофонный МЕТА 18580-8 — проверить; Источник: 03-01/07.21П-ПБ2.СО л.3 (Файл: 03-01_07.21П-ПБ2.pdf, стр.: 1 2 3)</t>
  </si>
  <si>
    <t>ВОР 79</t>
  </si>
  <si>
    <t>Звонок</t>
  </si>
  <si>
    <t>03-01/07.21П-ПС.С л.9</t>
  </si>
  <si>
    <t>ВОР 02-01-13, нет в ПБ2.СО</t>
  </si>
  <si>
    <t>ТХ.2.</t>
  </si>
  <si>
    <t>ОБОРУДОВАНИЕ, МЕБЕЛЬ И ИНВЕНТАРЬ ПО ПОМЕЩЕНИЯМ (03-01/07.21П-ТХ.2.СО)</t>
  </si>
  <si>
    <t>101</t>
  </si>
  <si>
    <t>Тамбур</t>
  </si>
  <si>
    <t>101.1</t>
  </si>
  <si>
    <t>101.</t>
  </si>
  <si>
    <t>102</t>
  </si>
  <si>
    <t>Вестибюль совмещенный с зонами ожидания и отдыха</t>
  </si>
  <si>
    <t>м01</t>
  </si>
  <si>
    <t>Банкетка параметрическая. - Габаритный размер 1000х450х450м; - Материал фанера ФСФ сорт 2/2 15мм; - Радиусная шлифовка кромки; - Обработка антисептическими составами</t>
  </si>
  <si>
    <t>Торговая сеть Россия</t>
  </si>
  <si>
    <t>р01</t>
  </si>
  <si>
    <t>Стойка ресепшн п-образная (согласно дизайн-проекту) Габаритный размер 1600х2800х1100мм; - Материал МДФ 16мм Ламинированная</t>
  </si>
  <si>
    <t>Кресло компьютерное (с подлокотниками, колеса, газлифт, материал обивки – к/з); 620х620х955-1135(h) мм</t>
  </si>
  <si>
    <t>Персональный компьютер (моноблок) с периферией, источник бесперебойного питания, сетевой фильтр шнур 3 м; Э: 1 ф., 220 В, 0,6 кВт, подключение к интернету, локальной сети</t>
  </si>
  <si>
    <t>11</t>
  </si>
  <si>
    <t>Многофункциональное устройство (копир/сканер/принтер), цветная печать, формат А4, А3; Э: 1ф, 220В, 0.9кВт</t>
  </si>
  <si>
    <t>Лампа настольная, 0,1 кВт, 220 В</t>
  </si>
  <si>
    <t>б/п</t>
  </si>
  <si>
    <t>Корзина для мусора Габариты (ВШГ) 332х250х250 мм</t>
  </si>
  <si>
    <t>Телефон</t>
  </si>
  <si>
    <t>Учитывается разделом СС</t>
  </si>
  <si>
    <t>103</t>
  </si>
  <si>
    <t>Гардероб для зрителей и персонала</t>
  </si>
  <si>
    <t>м28</t>
  </si>
  <si>
    <t>Стул для посетителей (материал обивки – к/з); 540х440х820 (h) мм</t>
  </si>
  <si>
    <t>Gigant G CH-01 (BL)</t>
  </si>
  <si>
    <t>Торгов ая сеть Россия</t>
  </si>
  <si>
    <t>цена перенесена сюда из ВОР 02-01-11 (ВОР 8, ВОР 483), сама строка ВОР удалена как дубль</t>
  </si>
  <si>
    <t>в2</t>
  </si>
  <si>
    <t>Вешалка для верхней одежды напольная мобильная (на 26 крючков) 1940*1000*350мм</t>
  </si>
  <si>
    <t>(182 кр. Всего)</t>
  </si>
  <si>
    <t>103.1</t>
  </si>
  <si>
    <t>Гардероб для занимающихся</t>
  </si>
  <si>
    <t>(156 кр.всего)</t>
  </si>
  <si>
    <t>104</t>
  </si>
  <si>
    <t>Коридор в административной зоне</t>
  </si>
  <si>
    <t>105</t>
  </si>
  <si>
    <t>Инвентарная зала ОФП</t>
  </si>
  <si>
    <t>м12</t>
  </si>
  <si>
    <t>Стеллаж сборный со сплошными полками (5 полок, нагрузка на полку 200 кг); 1500х600х2000(h) мм</t>
  </si>
  <si>
    <t>105.1</t>
  </si>
  <si>
    <t>Помещение службы безопасности</t>
  </si>
  <si>
    <t>Стол рабочий прямой; 1200х700х750 (h) мм</t>
  </si>
  <si>
    <t>м60</t>
  </si>
  <si>
    <t>Вешалка для верхней одежды напольная (на 5 крючков)</t>
  </si>
  <si>
    <t>м38</t>
  </si>
  <si>
    <t>Шкаф двухстворчатый высокий со стеклом комбинированный (4 распашные двери, 2 верхние двери – стекло, 3 полки); 768х403х1945(h) мм</t>
  </si>
  <si>
    <t>Серия «Эдем-1», арт.Э-44.0 + 47.0*2 + 80.0*2 + ЭВ*2</t>
  </si>
  <si>
    <t>м33</t>
  </si>
  <si>
    <t>Тумба для оргтехники двухстворчатая (2 распашные двери, ниша); 800х550х610(h) мм</t>
  </si>
  <si>
    <t>Серия «Эдем-1», арт.Э-26.7</t>
  </si>
  <si>
    <t>д1</t>
  </si>
  <si>
    <t>Диван. Габариты (ШГВ) 2400х1000х950 мм</t>
  </si>
  <si>
    <t>106</t>
  </si>
  <si>
    <t>Комната персонала (администратора)</t>
  </si>
  <si>
    <t>н44</t>
  </si>
  <si>
    <t>Пурифайер (кулер проточный) напольный. Мощность нагрева 0,55 кВт, мощность охлаждения 0,1 кВт, 220 В. Габариты примерно (ШГВ) 340х340х1150 мм</t>
  </si>
  <si>
    <t>м10.1</t>
  </si>
  <si>
    <t>Стол обеденный. Габариты примерно (ШГВ) 1200х700х730 мм</t>
  </si>
  <si>
    <t>с1</t>
  </si>
  <si>
    <t>Стол-тумба кухонная 800х600х850(h) мм</t>
  </si>
  <si>
    <t>м114</t>
  </si>
  <si>
    <t>Диван двухместныи омега люкс alfa 1500*760*680 экокожа Цвет (голубой или синий)</t>
  </si>
  <si>
    <t>Gigant GCH-01 (BL)</t>
  </si>
  <si>
    <t>об3</t>
  </si>
  <si>
    <t>Печь микроволновая, Габариты 380×480×280 мм, Э: 1ф/0/земля, 220 В, 1 кВт</t>
  </si>
  <si>
    <t>об6</t>
  </si>
  <si>
    <t>Чайник электрический, Э: 1ф/0/земля, 220 В, 2 кВт</t>
  </si>
  <si>
    <t>107</t>
  </si>
  <si>
    <t>Помещение охраны круглосуточного дежурства</t>
  </si>
  <si>
    <t>м221</t>
  </si>
  <si>
    <t>Стол рабочий прямой; 1600х700х750(h) мм</t>
  </si>
  <si>
    <t>Холодильник бытовой электрический объемом до 200 л, Р=0,3 кВт, 220 В</t>
  </si>
  <si>
    <t>108</t>
  </si>
  <si>
    <t>Зона кассового холла</t>
  </si>
  <si>
    <t>109</t>
  </si>
  <si>
    <t>- Обработка антисептическими составами Касса для массового катания</t>
  </si>
  <si>
    <t>14</t>
  </si>
  <si>
    <t>Окно кассира для передачи Билет/деньги Машина контрольно-кассовая; Э: 1 ф, 220 В, 0,25 кВт; Габариты 400х400х225 (h) мм</t>
  </si>
  <si>
    <t>АМС-100К</t>
  </si>
  <si>
    <t>См раздел АР</t>
  </si>
  <si>
    <t>Принтер, форматы А4; Э: 1 ф., 220 В, 0,6 кВт</t>
  </si>
  <si>
    <t>Переговорное устройство клиент-кассир (пульт кассира 120х140х40 мм, панель клиента 45х110х20 мм, уголок, крепеж, блок питания, соединительный кабель) 12 В, 140 мА</t>
  </si>
  <si>
    <t>Торговая сеть России</t>
  </si>
  <si>
    <t>109.1</t>
  </si>
  <si>
    <t>Помещение кассы</t>
  </si>
  <si>
    <t>Окно кассира для передачи билет/деньги Машина контрольно-кассовая; Э: 1 ф, 220 В, 0,25 кВт; Габариты 400х400х225 (h) мм</t>
  </si>
  <si>
    <t>110</t>
  </si>
  <si>
    <t>Ритейл, помещение для хранения, сушки коньков, выдачи проката и заточки коньков</t>
  </si>
  <si>
    <t>м401.1</t>
  </si>
  <si>
    <t>Стеллаж односторонний для хранения коньков на 36 пар; 1500х430х2000(h) мм</t>
  </si>
  <si>
    <t>м17</t>
  </si>
  <si>
    <t>Стол рабочий прямой; 1400х700х750(h) мм</t>
  </si>
  <si>
    <t>Серия «Эдем-1», арт.Э-22.0</t>
  </si>
  <si>
    <t>Стул для посетителей (материал обивки – к/з); 540х440х820(h) мм</t>
  </si>
  <si>
    <t>м401.2</t>
  </si>
  <si>
    <t>Стеллаж односторонний для хранения коньков на 48 пар, 2000х430х2000(h) мм</t>
  </si>
  <si>
    <t>м409</t>
  </si>
  <si>
    <t>Стойка сушильная, на 18 пар обуви; расход воздуха 800 м3/ч, t≤+36°C; мощность нагрева 3.0кВт; Э: 1ф, 220В, 14А; 1025х387(442)х2055(2140)(h) мм</t>
  </si>
  <si>
    <t>СО-18</t>
  </si>
  <si>
    <t>90</t>
  </si>
  <si>
    <t>м409.1</t>
  </si>
  <si>
    <t>Стойка сушильная, на 36 пар обуви; расход воздуха 1600 м3/ч, t≤+36°C; мощность нагрева 6.0кВт; Э: 1ф, 220В, 26.8А; 2026х387(442)х2075(2160)(h) мм</t>
  </si>
  <si>
    <t>СО-36 Р</t>
  </si>
  <si>
    <t>180</t>
  </si>
  <si>
    <t>м407</t>
  </si>
  <si>
    <t>Верстак ПРАКТИК Profi WT 160 комплект 60</t>
  </si>
  <si>
    <t>К30299713338 арт. 22215735</t>
  </si>
  <si>
    <t>210</t>
  </si>
  <si>
    <t>Станок для заточки коньков; патрубок подключения шланга пылесоса; Э: 1ф, 220В, 0.3кВт; 1270х355х305(h) мм</t>
  </si>
  <si>
    <t>AS 2001 AllPro</t>
  </si>
  <si>
    <t>58</t>
  </si>
  <si>
    <t>211</t>
  </si>
  <si>
    <t>Пылесос промышленный для заточных станков; емкость бака 18 литров; Э: 1ф, 220В, 1.2кВт; 350х350х580(h) мм</t>
  </si>
  <si>
    <t>ProSharp 1200</t>
  </si>
  <si>
    <t>Ведро для мусора с крышкой и педалью</t>
  </si>
  <si>
    <t>111</t>
  </si>
  <si>
    <t>Холл с зоной для переодевания занимающихся</t>
  </si>
  <si>
    <t>Банкетка параметрическая Габаритный размер 1000х450х450м; - Материал фанера ФСФ сорт 2/2 15мм; - Радиусная шлифовка кромки; - Обработка антисептическими составами</t>
  </si>
  <si>
    <t>М01.1</t>
  </si>
  <si>
    <t>Банкетка параметрическая индивидуального изготовления (Z- образной формы) Габаритный размер 3600х450х450м; - Материал фанера ФСФ сорт 2/2 15мм; - Радиусная шлифовка кромки; - Обработка антисептическими составами</t>
  </si>
  <si>
    <t>м01.2</t>
  </si>
  <si>
    <t>Шкаф для раздевалок ТС 6-8 (3 секции); HPL; Высота (мм) - 1800. Ширина (мм) - 400. Глубина (мм) – 500.</t>
  </si>
  <si>
    <t>34</t>
  </si>
  <si>
    <t>Зеркало настенное антивандальное 600*500мм</t>
  </si>
  <si>
    <t>112</t>
  </si>
  <si>
    <t>Кабины для переодевания</t>
  </si>
  <si>
    <t>м113.2</t>
  </si>
  <si>
    <t>Скамья гардеробная (цвет синий); 1500х390х475(h) мм</t>
  </si>
  <si>
    <t>113</t>
  </si>
  <si>
    <t>Коридор 1</t>
  </si>
  <si>
    <t>113.1</t>
  </si>
  <si>
    <t>Коридор 2</t>
  </si>
  <si>
    <t>114</t>
  </si>
  <si>
    <t>Коридор 3</t>
  </si>
  <si>
    <t>114.1</t>
  </si>
  <si>
    <t>Коридор 4</t>
  </si>
  <si>
    <t>114.2</t>
  </si>
  <si>
    <t>Коридор 5</t>
  </si>
  <si>
    <t>114.3</t>
  </si>
  <si>
    <t>Коридор 6</t>
  </si>
  <si>
    <t>Зеркало антивандальное настенное 800*600мм</t>
  </si>
  <si>
    <t>115</t>
  </si>
  <si>
    <t>Зона отдыха спортсменов</t>
  </si>
  <si>
    <t>39</t>
  </si>
  <si>
    <t>116</t>
  </si>
  <si>
    <t>Коридор 7</t>
  </si>
  <si>
    <t>117</t>
  </si>
  <si>
    <t>Входная зона-вестибюль с лифтовым холлом МГН</t>
  </si>
  <si>
    <t>118</t>
  </si>
  <si>
    <t>118.1</t>
  </si>
  <si>
    <t>Серверная</t>
  </si>
  <si>
    <t>119</t>
  </si>
  <si>
    <t>Помещение охраны круглосуточного дежурства 2</t>
  </si>
  <si>
    <t>119.1</t>
  </si>
  <si>
    <t>Лифт</t>
  </si>
  <si>
    <t>Л1</t>
  </si>
  <si>
    <t>Лифт размером 1100х2100 Назначение и марка лифта: Пассажирский, для пожарных подразделений 1 Грузоподъёмность: кг 1000 2 Скорость движения кабины: м/с 1,0 - 1,6 3 Высота подъёма: м 4,5 4 Количество остановок/шахтных дверей: шт. 2 5 Характеристика электрической сети (напряжение, род тока) 6 Мощность потребляемая 11 кВт, Потребляемый ток в период пуска 36 А 7 Номинальный ток 22,5 А</t>
  </si>
  <si>
    <t>119.2</t>
  </si>
  <si>
    <t>Помещение уборочного инвентаря</t>
  </si>
  <si>
    <t>м32</t>
  </si>
  <si>
    <t>Тележка для уборки помещений (мешок для сбора мусора, навесная полка для чистящих средств, съемный лоток для хозяйственных приспособлений, кольцо для установки емкости, колеса оснащены тормозом); 920х500х918 (h) мм</t>
  </si>
  <si>
    <t>м40</t>
  </si>
  <si>
    <t>Шкаф для одежды однодверный металлический (запираемая распашная дверь, полка для головных уборов, перекладина для вешалки с крючками); 300х500х1750(h) мм</t>
  </si>
  <si>
    <t>м41</t>
  </si>
  <si>
    <t>Шкаф для хозяйственного инвентаря однодверный металлический (запираемая распашная дверь, 3 полки, перекладина для вешалки с крючками, держатель для швабры); 500х400х1750(h) мм</t>
  </si>
  <si>
    <t>44.1</t>
  </si>
  <si>
    <t>Пылесос моющий; Э: 1ф, 220В, 2.7кВт; 580х460х930(h) мм</t>
  </si>
  <si>
    <t>Karcher Puzzi 30/4 E</t>
  </si>
  <si>
    <t>28</t>
  </si>
  <si>
    <t>Дозатор для жидкого мыла</t>
  </si>
  <si>
    <t>Полотенцедержатель</t>
  </si>
  <si>
    <t>119.3</t>
  </si>
  <si>
    <t>Санузел МГН (универсальная кабина)</t>
  </si>
  <si>
    <t>120</t>
  </si>
  <si>
    <t>Тренажерный зал ОФП</t>
  </si>
  <si>
    <t>217</t>
  </si>
  <si>
    <t>Стойка комбинированная (поднятие колений-турник-брусья); максимальная нагрузка не более 150 кг; 1320х610х2105(h) мм</t>
  </si>
  <si>
    <t>Impulse IFPT</t>
  </si>
  <si>
    <t>77</t>
  </si>
  <si>
    <t>218</t>
  </si>
  <si>
    <t>Олимпийская многопозиционная скамья для жима со стойкой для штанги; 1438х1264х1468(h) мм</t>
  </si>
  <si>
    <t>Impulse IFOB</t>
  </si>
  <si>
    <t>63</t>
  </si>
  <si>
    <t>Максимальная нагрузка на стойку тренажера до 200 кг</t>
  </si>
  <si>
    <t>219</t>
  </si>
  <si>
    <t>Скамья многофункциональная; 1581х654х515(h) мм</t>
  </si>
  <si>
    <t>Impulse IFFID</t>
  </si>
  <si>
    <t>33</t>
  </si>
  <si>
    <t>220</t>
  </si>
  <si>
    <t>Скамья горизонтальная; 1305х525х493(h) мм</t>
  </si>
  <si>
    <t>Impulse IFFB</t>
  </si>
  <si>
    <t>221</t>
  </si>
  <si>
    <t>Машина Смита; 1946х1725х2090(h) мм</t>
  </si>
  <si>
    <t>Impulse IFHC+IFHCS</t>
  </si>
  <si>
    <t>133</t>
  </si>
  <si>
    <t>Максимальная нагрузка на тренажер до 300 кг</t>
  </si>
  <si>
    <t>222</t>
  </si>
  <si>
    <t>Стойка для штанг; 919х907х1612(h) мм</t>
  </si>
  <si>
    <t>Impulse IT7027</t>
  </si>
  <si>
    <t>68</t>
  </si>
  <si>
    <t>Максимальная нагрузка на стойку до 600 кг</t>
  </si>
  <si>
    <t>223</t>
  </si>
  <si>
    <t>Стойка для хранения 10 пар гантелей; 2220х420х825(h) мм</t>
  </si>
  <si>
    <t>Aerofit AFDBR10</t>
  </si>
  <si>
    <t>до 600 кг Суммарный вес гантелей не должен превышать допустимый предел нагрузки в 1000 кг</t>
  </si>
  <si>
    <t>224</t>
  </si>
  <si>
    <t>Стойка для дисков; 670х600х1080(h) мм</t>
  </si>
  <si>
    <t>MB Barbell</t>
  </si>
  <si>
    <t>Максимальная нагрузка на стойку до 400 кг</t>
  </si>
  <si>
    <t>225</t>
  </si>
  <si>
    <t>Регулируемая скамья для пресса; 1683х568х1148(h) мм</t>
  </si>
  <si>
    <t>Impulse IFAAB</t>
  </si>
  <si>
    <t>24</t>
  </si>
  <si>
    <t>227</t>
  </si>
  <si>
    <t>Регулируемая гиперэкстензия; 1260х743х917(h) мм</t>
  </si>
  <si>
    <t>Impulse IFAH</t>
  </si>
  <si>
    <t>36</t>
  </si>
  <si>
    <t>228</t>
  </si>
  <si>
    <t>Тренажер жим ногами/гак-машина; 2285х820х1295(h) мм</t>
  </si>
  <si>
    <t>Impulse IFLPHS</t>
  </si>
  <si>
    <t>163</t>
  </si>
  <si>
    <t>Максимальная нагрузка на тренажер до 200 кг</t>
  </si>
  <si>
    <t>226</t>
  </si>
  <si>
    <t>Парта для бицепса; 1230х820х910(h)</t>
  </si>
  <si>
    <t>FW-202</t>
  </si>
  <si>
    <t>40</t>
  </si>
  <si>
    <t>т3</t>
  </si>
  <si>
    <t>Эллиптический тренажер Р=0,3 кВт, 220 В, интернет</t>
  </si>
  <si>
    <t>150</t>
  </si>
  <si>
    <t>т1</t>
  </si>
  <si>
    <t>Велотренажер Р=0,3 кВт, 220 В, интернет</t>
  </si>
  <si>
    <t>т2</t>
  </si>
  <si>
    <t>Велотренажер вертикальный</t>
  </si>
  <si>
    <t>229</t>
  </si>
  <si>
    <t>Тренажер для трицепса со стандартным весовым стеком; 1227х1212х1530(h) мм</t>
  </si>
  <si>
    <t>Impulse IF9317</t>
  </si>
  <si>
    <t>232</t>
  </si>
  <si>
    <t>230</t>
  </si>
  <si>
    <t>Олимпийская скамья для жима лежа со стойкой для штанги; 1525х1310х1265(h) мм</t>
  </si>
  <si>
    <t>Impulse IFOFB</t>
  </si>
  <si>
    <t>64</t>
  </si>
  <si>
    <t>231</t>
  </si>
  <si>
    <t>Тренажер тяга сверху со стандартным весовым стеком; 1585х1318х1891(h) мм</t>
  </si>
  <si>
    <t>Impulse IF9302</t>
  </si>
  <si>
    <t>234</t>
  </si>
  <si>
    <t>Тренажер для дельтовидных мышц со стандартным весовым стеком; 1179х750х1530(h) мм</t>
  </si>
  <si>
    <t>Impulse IF9324</t>
  </si>
  <si>
    <t>200</t>
  </si>
  <si>
    <t>Набор прямых обрезиненных штанг (5 штук, 10-30 кг)</t>
  </si>
  <si>
    <t>Aerofit AFB10- 55</t>
  </si>
  <si>
    <t>Набор обрезиненных гантелей (10 пар, 2.5-25 кг)</t>
  </si>
  <si>
    <t>Aerofit AFDB2.5-60</t>
  </si>
  <si>
    <t>275</t>
  </si>
  <si>
    <t>Гриф тренировочный хромированный с комплектом пружинных замков</t>
  </si>
  <si>
    <t>Максимальная нагрузка 300 кг</t>
  </si>
  <si>
    <t>Комплект дисков разных весов для штанги</t>
  </si>
  <si>
    <t>Общий вес 800 кг</t>
  </si>
  <si>
    <t>н44.1</t>
  </si>
  <si>
    <t>Фонтан питьевой напольный. Подключение к ХВ.</t>
  </si>
  <si>
    <t>FONTECO ФП-КН5-300 Антивандальный или аналог</t>
  </si>
  <si>
    <t>121</t>
  </si>
  <si>
    <t>Раздевальная для тренера мужская 1</t>
  </si>
  <si>
    <t>Ш4</t>
  </si>
  <si>
    <t>Шкаф для раздевалок HPL ТС 1-10 300х500х1850 мм (запираемая распашная дверь, полка для головных уборов, перекладина для вешалки с крючками)</t>
  </si>
  <si>
    <t>м113.1</t>
  </si>
  <si>
    <t>Скамья гардеробная; 854х390х475(h) мм</t>
  </si>
  <si>
    <t>32</t>
  </si>
  <si>
    <t>Фен для волос настенный с растягивающимся спиральным шнуром 0,8-2,5 м, постоянное подключение к электросети, защитный температурный ограничитель; Э: 1ф, 220В, 1.6кВт</t>
  </si>
  <si>
    <t>Зеркало настенное 1000х1600</t>
  </si>
  <si>
    <t>121.1</t>
  </si>
  <si>
    <t>Туалет</t>
  </si>
  <si>
    <t>Диспенсер для бумажных полотенец. Сушилка для рук, настенная; Э: 1ф, 220В, 1.2кВт</t>
  </si>
  <si>
    <t>Диспенсер для туалетной бумаги в рулонах</t>
  </si>
  <si>
    <t>Ёршик для унитаза, напольный</t>
  </si>
  <si>
    <t>Зеркало настенное 800х900</t>
  </si>
  <si>
    <t>121.2</t>
  </si>
  <si>
    <t>Душевая</t>
  </si>
  <si>
    <t>Комплект принадлежностей для душевой: коврик нескользящий, занавеска, полка для туалетных принадлежностей, вешалка настенная</t>
  </si>
  <si>
    <t>122</t>
  </si>
  <si>
    <t>Раздевальная для тренера женская 2</t>
  </si>
  <si>
    <t>Скамья гардеробная 854х390х475(h) мм</t>
  </si>
  <si>
    <t>122.1</t>
  </si>
  <si>
    <t>122.2</t>
  </si>
  <si>
    <t>123</t>
  </si>
  <si>
    <t>123.1</t>
  </si>
  <si>
    <t>Тамбур-шлюз уборных</t>
  </si>
  <si>
    <t>124</t>
  </si>
  <si>
    <t>Туалет для посетителей муж</t>
  </si>
  <si>
    <t>124.1</t>
  </si>
  <si>
    <t>Умывальная М</t>
  </si>
  <si>
    <t>125</t>
  </si>
  <si>
    <t>Туалет для посетителей жен</t>
  </si>
  <si>
    <t>125.1</t>
  </si>
  <si>
    <t>Умывальная Ж</t>
  </si>
  <si>
    <t>Диспенсер для бумажных полотенец</t>
  </si>
  <si>
    <t>126</t>
  </si>
  <si>
    <t>Раздевальная для зала ОФП 1</t>
  </si>
  <si>
    <t>ш2</t>
  </si>
  <si>
    <t>Шкаф для раздевалок HPL ТС 1-26 900х500х1850 мм Трехсекционный, двухярусный (запираемая распашная дверь, полка для головных уборов, перекладина для вешалки с крючками); 300х500х1850(h) мм Наполнение секции: хромированные металлические опоры (регулировка +- 30 мм) / цоколь - на выбор; петли с углом открывания 105/107 градусов; крючок мебельный, двухрожковый, с перфорацией; штанга для одежды; замок мебельный механический / замок повышен</t>
  </si>
  <si>
    <t>60</t>
  </si>
  <si>
    <t>Шкаф для раздевалок HPL ТС 1-26 900х500х1850 мм - Купить спортинвентарь</t>
  </si>
  <si>
    <t>Ш3</t>
  </si>
  <si>
    <t>Шкаф для раздевалок HPL ТС 1-20 600х500х1850 Двухсекционный, двухярусный (запираемая распашная дверь, полка для головных уборов, перекладина для вешалки с крючками); 300х500х1850(h) мм Наполнение секции: хромированные металлические опоры (регулировка +- 30 мм) / цоколь - на выбор; петли с углом открывания 105/107 градусов; крючок мебельный, двухрожковый, с перфорацией; штанга для одежды; замок мебельный механический / замок повышен</t>
  </si>
  <si>
    <t>50</t>
  </si>
  <si>
    <t>126.1</t>
  </si>
  <si>
    <t>Душевая для зала ОФП 1</t>
  </si>
  <si>
    <t>126.2</t>
  </si>
  <si>
    <t>Преддущевая ОФП-1</t>
  </si>
  <si>
    <t>126.3</t>
  </si>
  <si>
    <t>Умывальная ОФП-1</t>
  </si>
  <si>
    <t>126.4</t>
  </si>
  <si>
    <t>Туалет для зала ОФП 1</t>
  </si>
  <si>
    <t>126.5</t>
  </si>
  <si>
    <t>Санузел МГН (универсальная кабина) для зала ОФП 1</t>
  </si>
  <si>
    <t>127</t>
  </si>
  <si>
    <t>Раздевальная для зала ОФП 2</t>
  </si>
  <si>
    <t>127.1</t>
  </si>
  <si>
    <t>Душевая для зала ОФП 2</t>
  </si>
  <si>
    <t>127.2</t>
  </si>
  <si>
    <t>Преддущевая ОФП 2</t>
  </si>
  <si>
    <t>127.3</t>
  </si>
  <si>
    <t>Умывальная ОФП 2</t>
  </si>
  <si>
    <t>127.4</t>
  </si>
  <si>
    <t>Туалет для зала ОФП 2</t>
  </si>
  <si>
    <t>Россия Торговая сеть Россия</t>
  </si>
  <si>
    <t>127.5</t>
  </si>
  <si>
    <t>Санузел МГН (универсальная кабина) для зала ОФП 2</t>
  </si>
  <si>
    <t>128</t>
  </si>
  <si>
    <t>Раздевальная для хоккеистов 1</t>
  </si>
  <si>
    <t>м403</t>
  </si>
  <si>
    <t>Шкафчик гардеробный для хоккеистов (для полевого игрока); 800х600х2000(h) мм в комплекте со скамьей</t>
  </si>
  <si>
    <t>м404</t>
  </si>
  <si>
    <t>Шкафчик гардеробный для хоккеистов (для вратаря); 1000х600х2000(h) мм в комплекте со скамьей</t>
  </si>
  <si>
    <t>м405</t>
  </si>
  <si>
    <t>Стойка для клюшек (на 35 клюшек), односторонняя, мобильная, 1265х400х1100(h) мм</t>
  </si>
  <si>
    <t>128.1</t>
  </si>
  <si>
    <t>Душевая для хоккеистов 1</t>
  </si>
  <si>
    <t>128.2</t>
  </si>
  <si>
    <t>Преддушевая</t>
  </si>
  <si>
    <t>128.3</t>
  </si>
  <si>
    <t>Туалет для хоккеистов 1</t>
  </si>
  <si>
    <t>128.4</t>
  </si>
  <si>
    <t>Помещение для вещей 1</t>
  </si>
  <si>
    <t>128.5</t>
  </si>
  <si>
    <t>Сауна сухого жара для хоккеистов 1</t>
  </si>
  <si>
    <t>255</t>
  </si>
  <si>
    <t>Печь электрическая, н/с, 2х2KWпарогенератор, объем кабины от 29 м3 до 35 м3, 380 В, 3 фазы+нейтраль, Р=21 кВт, ХВС. Габариты 530х750х950мм, ток утечки макс. 0,75 мА на каждый кВт мощности, минимальный размер вентиляции и отсоса 50х10 см, предусмотреть кулисный выключатель, датчик контроллера сауны, прибор управления размещается снаружи кабины</t>
  </si>
  <si>
    <t>По типу Bi-o-star</t>
  </si>
  <si>
    <t>30</t>
  </si>
  <si>
    <t>См. паспорт</t>
  </si>
  <si>
    <t>Защитный экран (каменная стена)</t>
  </si>
  <si>
    <t>Камни для каменки</t>
  </si>
  <si>
    <t>Часы песочные настенные</t>
  </si>
  <si>
    <t>Датчик температуры</t>
  </si>
  <si>
    <t>Запарник с крышкой</t>
  </si>
  <si>
    <t>Термометр термостойкий шкала 0-140°С банный настенный</t>
  </si>
  <si>
    <t>Гигрометр банный</t>
  </si>
  <si>
    <t>М90</t>
  </si>
  <si>
    <t>Полки деревянные для сауны</t>
  </si>
  <si>
    <t>На заказ</t>
  </si>
  <si>
    <t>129</t>
  </si>
  <si>
    <t>Раздевальная для хоккеистов 2</t>
  </si>
  <si>
    <t>129.1</t>
  </si>
  <si>
    <t>Душевая для хоккеистов 2</t>
  </si>
  <si>
    <t>129.2</t>
  </si>
  <si>
    <t>129.3</t>
  </si>
  <si>
    <t>Туалет для хоккеистов 2</t>
  </si>
  <si>
    <t>129.4</t>
  </si>
  <si>
    <t>Помещение для вещей 2</t>
  </si>
  <si>
    <t>Сауна сухого жара для хоккеистов 2</t>
  </si>
  <si>
    <t>См паспорт</t>
  </si>
  <si>
    <t>130</t>
  </si>
  <si>
    <t>Раздевальная для хоккеистов 3</t>
  </si>
  <si>
    <t>130.1</t>
  </si>
  <si>
    <t>Душевая для хоккеистов 3</t>
  </si>
  <si>
    <t>130.2</t>
  </si>
  <si>
    <t>130.3</t>
  </si>
  <si>
    <t>Туалет для хоккеистов 3</t>
  </si>
  <si>
    <t>130.4</t>
  </si>
  <si>
    <t>Помещение для вещей 3</t>
  </si>
  <si>
    <t>130.5</t>
  </si>
  <si>
    <t>Сауна сухого жара для хоккеистов 3</t>
  </si>
  <si>
    <t>131</t>
  </si>
  <si>
    <t>Раздевальная для хоккеистов 4</t>
  </si>
  <si>
    <t>131.1</t>
  </si>
  <si>
    <t>Душевая для хоккеистов 4</t>
  </si>
  <si>
    <t>131.2</t>
  </si>
  <si>
    <t>131.3</t>
  </si>
  <si>
    <t>Туалет для хоккеистов 4</t>
  </si>
  <si>
    <t>131.4</t>
  </si>
  <si>
    <t>Помещение для вещей 4</t>
  </si>
  <si>
    <t>131.5</t>
  </si>
  <si>
    <t>Сауна сухого жара для хоккеистов 4</t>
  </si>
  <si>
    <t>132</t>
  </si>
  <si>
    <t>Раздевальная для хоккеистов 5</t>
  </si>
  <si>
    <t>132.1</t>
  </si>
  <si>
    <t>Душевая для хоккеистов 5</t>
  </si>
  <si>
    <t>132.2</t>
  </si>
  <si>
    <t>132.3</t>
  </si>
  <si>
    <t>Туалет для хоккеистов 5</t>
  </si>
  <si>
    <t>132.4</t>
  </si>
  <si>
    <t>Помещение для вещей 5</t>
  </si>
  <si>
    <t>132.5</t>
  </si>
  <si>
    <t>Сауна сухого жара для хоккеистов 5</t>
  </si>
  <si>
    <t>Раздевальная для хоккеистов 6</t>
  </si>
  <si>
    <t>133.1</t>
  </si>
  <si>
    <t>Душевая для хоккеистов 6</t>
  </si>
  <si>
    <t>133.2</t>
  </si>
  <si>
    <t>133.3</t>
  </si>
  <si>
    <t>Туалет для хоккеистов 6</t>
  </si>
  <si>
    <t>133.4</t>
  </si>
  <si>
    <t>Помещение для вещей 6</t>
  </si>
  <si>
    <t>133.5</t>
  </si>
  <si>
    <t>Сауна сухого жара для хоккеистов 6</t>
  </si>
  <si>
    <t>134</t>
  </si>
  <si>
    <t>Ледовая арена</t>
  </si>
  <si>
    <t>Хб1</t>
  </si>
  <si>
    <t>Стальной хоккейный борт (размер поля 60 х 30 м), защитное ограждение из экструзионного акрилового стекла, крепление защитного остекления с помощью интегрированных алюминиевых стоек</t>
  </si>
  <si>
    <t>Комплек т: Рама комбинированная; Калитка игроков; Калитка штрафников; Дополнительная калитка выхода на лед; Технологические ворота; крепежи, закладные детали</t>
  </si>
  <si>
    <t>Защитное ограждение (экструзионное акриловое стекло) Ограждение на радиусы и торцевые зоны Торцы защитного ограждения в местах окончания скамеек запасных игроков Интегрированные стойки в раме секции хоккейного борта Комплект запасных стекол Профиль над технологическими воротами Комплект для чистки полотен акрилового стекла (без шлифовальной машины)</t>
  </si>
  <si>
    <t>закладные детали</t>
  </si>
  <si>
    <t>Защитная бросковая сетка на торцах и радиусах для арены 60х30м</t>
  </si>
  <si>
    <t>Сетка безузловая 3 х 38 м, толщина нити не более 2,2 мм, ячейка не более 40 х 40 мм, цвет белый или черный, кабели, торса и веревки. (БЕЗ ПОДЪЕМА СЕТКИ)</t>
  </si>
  <si>
    <t>Алюминиевый профиль для крепления защитной бросковой сетки (без системы подъема) для арены 60х30м</t>
  </si>
  <si>
    <t>сетки (без системы подъема) для арены 60х30м Официальные хоккейные ворота для арены 60х30м</t>
  </si>
  <si>
    <t>Рама хоккейная, окрашенная термопластичной краской, цвет красный – 2 шт. Сетка безузловая, толщина нити 5 мм, ячейка 30 х 30 мм – 2 шт. Комплект гашения – 2 шт. Эластичные фиксаторы – 4 шт. Эластичные фиксаторы – 4 шт.</t>
  </si>
  <si>
    <t>Табло для хоккея (расстояние видимости до 50 м, габаритные размеры - 1900х900х60 мм) Возможность вывода данных на ТВ/сайт Протокол обмена для подключения видеогола</t>
  </si>
  <si>
    <t>по типу Модель ТС-210х4-150х5- 130х20</t>
  </si>
  <si>
    <t>Комплект: радиопульт с ЖК дисплеем; программа на ПК – Мультиспорт; сирена; настенные кронштейны</t>
  </si>
  <si>
    <t>134.1</t>
  </si>
  <si>
    <t>Зона ожидания хоккеистов</t>
  </si>
  <si>
    <t>Хб1.1</t>
  </si>
  <si>
    <t>Отсеки (серия «Металлик», с обычными стойками), облицовка с одной стороны. В комплект входят: 1. Отсек для запасных игроков 10 х 1,5 м 2 шт. (в комплект входят скамейки без спинок лакированной влагостойкой фанеры толщиной не менее 21 мм 6 шт); 2. Отсек для штрафников и судей 12 х 1,5 м 1 шт (в комплект входят скамейки без спинок лакированной влагостойкой фанеры толщиной не менее 21 мм 2 шт; стол судейский длинной 3000 мм 1 шт).</t>
  </si>
  <si>
    <t>Отсек для запасных игроков 10 х 1,5 м</t>
  </si>
  <si>
    <t>134.2</t>
  </si>
  <si>
    <t>Зона штрафников/ Место судей бригады/фигуристов</t>
  </si>
  <si>
    <t>Отсеки (серия «Металлик», с обычными стойками), облицовка с одной стороны. В комплект входят: 1. Отсек для запасных игроков 10 х 1,5 м 2 шт. (в комплект входят скамейки без спинок лакированной влагостойкой фанеры толщиной не менее 21 мм 6 шт); 2. Отсек для штрафников и судей 12 х 1,5 м 1 шт (в комплект входят скамейки без спинок лакированной влагостойкой фанеры толщиной не менее 21 мм 2 шт; стол судейский длинной 3000 мм 1 шт)</t>
  </si>
  <si>
    <t>Отсек для штрафников и судей 12 х 1,5 м</t>
  </si>
  <si>
    <t>Единый комплект с помещением 134.1</t>
  </si>
  <si>
    <t>135</t>
  </si>
  <si>
    <t>Обходная дорожка</t>
  </si>
  <si>
    <t>Зона ожидания фигуристов</t>
  </si>
  <si>
    <t>136</t>
  </si>
  <si>
    <t>Цвет (голубой или синий) Малоразмерная ледовая площадка (МЛП) 10х15</t>
  </si>
  <si>
    <t>Открытая зона для хранения инвентаря</t>
  </si>
  <si>
    <t>Хб2</t>
  </si>
  <si>
    <t>Одинарный стальной хоккейный борт (размер поля 15 х 10 м, радиус закругления 5 м); Комплект: Рама; Калитка выхода на лед; Технологические ворота; крепежи, закладные детали</t>
  </si>
  <si>
    <t>Профессиональные хоккейные ворота с имитатором вратаря</t>
  </si>
  <si>
    <t>Защитное ограждение (по всему периметру) для арены 15х10м Комплект: Ограждение на радиусы и торцевые зоны Ограждение на длинные стороны Профиль над технологическими воротами Алюминиевые стойки Комплект запасных стекол</t>
  </si>
  <si>
    <t>Защитная бросковая сетка на торцах и радиусах для арены 15х10м</t>
  </si>
  <si>
    <t>Сетка безузловая 3 х 14 м, толщина нити не более 2,2 мм, ячейка не более 40 х 40 мм, цвет белый или черный, кабели, торса и веревки</t>
  </si>
  <si>
    <t>Алюминиевый профиль для крепления защитной бросковой сетки для арены 15х10м</t>
  </si>
  <si>
    <t>Официальные хоккейные ворота для арены 15х10м</t>
  </si>
  <si>
    <t>Рама хоккейная, окрашенная термопластичной краской – 2 шт. Сетка безузловая, толщина нити 5 мм, ячейка 30 х 30 мм – 2 шт. Комплект гашения – 2 шт. Эластичные фиксаторы – 4 шт. Эластичные фиксаторы – 4 шт</t>
  </si>
  <si>
    <t>137</t>
  </si>
  <si>
    <t>Помещение отбора спортсменов и оформления проб допинг контроля</t>
  </si>
  <si>
    <t>м06</t>
  </si>
  <si>
    <t>Кресло медицинское винтовое Техсервис М101-01 с подлокотниками (черный, каркас хром)</t>
  </si>
  <si>
    <t>Техсервис М101-01</t>
  </si>
  <si>
    <t>м18</t>
  </si>
  <si>
    <t>Стол медицинский для врача СМВ-"МСК" (код МДА- 301.14.03) (фасад-голубой)1400х600х750(h) мм</t>
  </si>
  <si>
    <t>ITP0080274</t>
  </si>
  <si>
    <t>Лампа настольная; Э: 1ф, 220 В, 0.1 кВт</t>
  </si>
  <si>
    <t>138</t>
  </si>
  <si>
    <t>Помещение для работы персонала (место отбора проб)</t>
  </si>
  <si>
    <t>ООО «Эдем- мебель»</t>
  </si>
  <si>
    <t>139</t>
  </si>
  <si>
    <t>Туалет медицинском боксе</t>
  </si>
  <si>
    <t>б/н</t>
  </si>
  <si>
    <t>139.1</t>
  </si>
  <si>
    <t>ПУИ медицинском боксе</t>
  </si>
  <si>
    <t>139.2</t>
  </si>
  <si>
    <t>Помещение временного накопления мед.отходов</t>
  </si>
  <si>
    <t>у1</t>
  </si>
  <si>
    <t>Бак для сбора и утилизации медицинских отходов типа А 30 л белый</t>
  </si>
  <si>
    <t>у2</t>
  </si>
  <si>
    <t>Бак для сбора и утилизации медицинских отходов типа Б 30 л желтый</t>
  </si>
  <si>
    <t>х20</t>
  </si>
  <si>
    <t>Шкаф холодильный для медицинских отходов GTS R-65 450х510х630h Объем:60 л Температурный режим:+2...+8°С</t>
  </si>
  <si>
    <t>GTS R-65</t>
  </si>
  <si>
    <t>089116</t>
  </si>
  <si>
    <t>140.1</t>
  </si>
  <si>
    <t>Ожидальная зоны допинг контроля</t>
  </si>
  <si>
    <t>141</t>
  </si>
  <si>
    <t>Кабинет врача</t>
  </si>
  <si>
    <t>Н10</t>
  </si>
  <si>
    <t>Стол лабораторный с мойкой СЛ-02-«МСК» (СЛ-02-208); 600х600х900(h) мм</t>
  </si>
  <si>
    <t>ITPL008019</t>
  </si>
  <si>
    <t>м09</t>
  </si>
  <si>
    <t>Кушетка медицинская смотровая (металлический каркас, регулируемый подголовник, сидение с мягким наполнителем, материал обивки – к/з); 1900х620х570(h) мм</t>
  </si>
  <si>
    <t>МКР-1</t>
  </si>
  <si>
    <t>м24</t>
  </si>
  <si>
    <t>Тележка манипуляционная</t>
  </si>
  <si>
    <t>мш36</t>
  </si>
  <si>
    <t>Ширма медицинская двухсекционная мобильная; 1430х1600(h) мм</t>
  </si>
  <si>
    <t>AR-A14</t>
  </si>
  <si>
    <t>м49</t>
  </si>
  <si>
    <t>Шкаф для палат MF LH-2 1980 белый ВхШхГ (1900х800х550)</t>
  </si>
  <si>
    <t>MF LH-2 (ЛДСП)</t>
  </si>
  <si>
    <t>86</t>
  </si>
  <si>
    <t>м43</t>
  </si>
  <si>
    <t>Медицинский шкаф Hilfe МД 1 1650/SG Внешние размеры (В х Ш х Г), мм 1655/1755*×500×320</t>
  </si>
  <si>
    <t>МД 1 1650/SG</t>
  </si>
  <si>
    <t>27</t>
  </si>
  <si>
    <t>м45</t>
  </si>
  <si>
    <t>Медицинский шкаф Hilfe МД 2 1780/SG Внешние размеры (В х Ш х Г), мм 1750(1850*)×800×400</t>
  </si>
  <si>
    <t>МД 2 1780/SG</t>
  </si>
  <si>
    <t>м50.1</t>
  </si>
  <si>
    <t>Тумба медицинская кабинетная МДА-103 (белый); ШхГхВ 430х430х660</t>
  </si>
  <si>
    <t>ITP0080275</t>
  </si>
  <si>
    <t>в1</t>
  </si>
  <si>
    <t>Механические медицинские весы (встроенный ростомер) со шкалой на уровне глаз, Наибольший предел взвешивания 220 кг, Дискретность весов: 50 г/100 г, Корректировка нуля, Два встроенных ролика для транспортировки весов медицинских, Размеры весов (ШВГ) 520х 1556х520 мм, Размеры весовой платформы (ШВГ) 350х84х360 мм, Укомплектованы механическим ростомером (до 200 см/1 мм)</t>
  </si>
  <si>
    <t>SECA 700</t>
  </si>
  <si>
    <t>н31</t>
  </si>
  <si>
    <t>Облучатель-рециркулятор воздуха ультрафиолетовый бактерицидный настенный; бактерицидный поток не менее 14 Вт; Э: 1ф, 220В, 0.1кВт; 890х370х140(h) мм</t>
  </si>
  <si>
    <t>ОРУБн-3-3- «Кронт» (Дезар- 3)</t>
  </si>
  <si>
    <t>Х19</t>
  </si>
  <si>
    <t>Холодильник фармацевтический, объем 250л, металлическая дверь с замком; t=+2°С…+15°С; Э: 1ф, 220В, 0.25кВт; 600х610х1300(h) мм</t>
  </si>
  <si>
    <t>ХФ-250-2 «Позис»</t>
  </si>
  <si>
    <t>Стетофонендоскоп</t>
  </si>
  <si>
    <t>Прибор для измерения артериального давления и частоты пульса цифровой</t>
  </si>
  <si>
    <t>Пульсоксиметр портативный</t>
  </si>
  <si>
    <t>Пикфлоуметр</t>
  </si>
  <si>
    <t>Глюкометр (тест-полоски)</t>
  </si>
  <si>
    <t>Кислородный ингалятор</t>
  </si>
  <si>
    <t>Типа КИ-4</t>
  </si>
  <si>
    <t>Электрокардиограф многоканальный портативный</t>
  </si>
  <si>
    <t>Дефибриллятор с универсальным питанием (для скорой помощи)</t>
  </si>
  <si>
    <t>Мешок Амбу</t>
  </si>
  <si>
    <t>Комплект пневматических травматологических шин и шейных воротников (Шина-воротник для взрослых ШТИвв-01 1 шт. Шина-воротник для детей ШТИдв-01 1 шт. Шина для нижней конечности для взрослых ШТИвн-01 1 шт. Шина для нижней конечности для детей ШТИдн-01 1 шт. Шина для верхней конечности для взрослых ШТИвр-01 1 шт. Шина для верхней конечности для детей ШТИдр-01 1 шт. Бинт медицинский стерильный 2 шт. Повязка косыночная взрослая ПКв-01 (косынка) 1 шт. Повязка косыночная детская ПКд-01 (косынка) 1 шт. Сумка транспортировочная 1 шт. Руководство по эксплуатации 1 шт.)</t>
  </si>
  <si>
    <t>Укладка для оказания скорой медицинской помощи (общепрофильная)</t>
  </si>
  <si>
    <t>Комплектация по ссылке: https://ivlabmed.ru/pr oducts/ukladka-umsp- 02-medplant- obshcheprofilnaya- spetsializirovannaya- obshcheprofilnaya- po-pr-1165n-ot-28-/</t>
  </si>
  <si>
    <t>Набор реанимационный</t>
  </si>
  <si>
    <t>Комплектация по ссылке: https://ivlabmed.ru/pr oducts/sr-03/</t>
  </si>
  <si>
    <t>Носилки бескаркасные</t>
  </si>
  <si>
    <t>Дозатор антисептика бесконтактный</t>
  </si>
  <si>
    <t>У3</t>
  </si>
  <si>
    <t>Бак для сбора и утилизации медицинских отходов типа А 12 л белый</t>
  </si>
  <si>
    <t>У4</t>
  </si>
  <si>
    <t>Бак для сбора и утилизации медицинских отходов типа Б 12 л желтый</t>
  </si>
  <si>
    <t>142.1</t>
  </si>
  <si>
    <t>Массажная</t>
  </si>
  <si>
    <t>Стол массажный трехсекционный L 2000мм</t>
  </si>
  <si>
    <t>Casada Malta</t>
  </si>
  <si>
    <t>16</t>
  </si>
  <si>
    <t>142.2</t>
  </si>
  <si>
    <t>143</t>
  </si>
  <si>
    <t>Мастерская по ремонту оборудования и инвентаря</t>
  </si>
  <si>
    <t>М35</t>
  </si>
  <si>
    <t>Станок ручной для заклепывания, расклепывания и выдавливания косточек, размеры 300х200х500 мм, в комплекте инструменты для расклепки пистонов</t>
  </si>
  <si>
    <t>NM-11/21 + N-Е</t>
  </si>
  <si>
    <t>М37</t>
  </si>
  <si>
    <t>Набор инструментов для ремонта мелкого инвентаря с ножовкой</t>
  </si>
  <si>
    <t>U-135</t>
  </si>
  <si>
    <t>М38</t>
  </si>
  <si>
    <t>Станок настольно сверлильный, 0,45 кВт</t>
  </si>
  <si>
    <t>STALEX WTZ- 16J</t>
  </si>
  <si>
    <t>М310</t>
  </si>
  <si>
    <t>Тиски слесарные Ширина губок 63 мм, усилие зажима 1000 кгс</t>
  </si>
  <si>
    <t>ТССН-63-С</t>
  </si>
  <si>
    <t>Кресло винтовое Техсервис М101-01 с подлокотниками (черный, каркас хром)</t>
  </si>
  <si>
    <t>144</t>
  </si>
  <si>
    <t>Инвентарная ледовой арены, подъёмник</t>
  </si>
  <si>
    <t>П1</t>
  </si>
  <si>
    <t>Подъемник (для замены ламп) телескопический одноместный Грузоподъёмность 125 кг; Габаритные размеры (Д х Ш), мм: 1420 х 840х 2080; Н подъёма, мм – 8000, 220 В, 50 Гц</t>
  </si>
  <si>
    <t>Пушка для подачи шайб PUCCO70 Длина 1200 мм, Ширина 800 мм, Высота 1200 мм. 220 В, 10 A ~, 1 фаза. Скорость регулируется от 5 до 160 км/ч Темп изменяется от 0,7 сек. до 6 сек. между каждым выстрелом шайбы (от 10 до 60 шайб в минуту). 2 стальные тубы рассчитаны на загрузку 60 шайб Автоматический выброс шайб</t>
  </si>
  <si>
    <t>Разделитель хоккейного поля на площадку 60 х 30 мм, высотой 150 мм - Секции: прямые, переходные, радиальные; - Рама горячеоцинкованная; - Облицовка с двух сторон белый высокомолекулярный светостабилизированный полиэтилен толщиной 10мм; - Поручень синий высокомолекулярный светостабилизированный полиэтилен толщиной 12 мм; - Крепеж для соединения секций между собой; - Тележка для перемещения и складирования секций разделителя хоккейного поля – 1 шт.</t>
  </si>
  <si>
    <t>Защитная бросковая сетка на торцах и радиусах</t>
  </si>
  <si>
    <t>КАФЕ</t>
  </si>
  <si>
    <t>145</t>
  </si>
  <si>
    <t>Коридор</t>
  </si>
  <si>
    <t>Уборочный инвентарь (щетка, швабра, ведро, совок)</t>
  </si>
  <si>
    <t>145.2</t>
  </si>
  <si>
    <t>Комната персонала</t>
  </si>
  <si>
    <t>ш1</t>
  </si>
  <si>
    <t>Шкаф навесной кухонный; 800х300х600(h) мм</t>
  </si>
  <si>
    <t>Холодильник бытовой; Э: 1ф, 220В, 0.3кВт</t>
  </si>
  <si>
    <t>145.3</t>
  </si>
  <si>
    <t>Загрузочная кафе</t>
  </si>
  <si>
    <t>И20</t>
  </si>
  <si>
    <t>Инсектицидное устройство. Мощность лампы не менее 40 Вт, Номинальное напряжение 230В±(23) В, рабочее напряжение 230 В±(23) В. Площадь действия не менее 290 м2. Количество устанавливаемых ультрафиолетовых ламп не менее 2 (должны быть установлены в штатные места при поставке)</t>
  </si>
  <si>
    <t>п2</t>
  </si>
  <si>
    <t>Подтоварник металлический. Размеры: 900х600х300 мм</t>
  </si>
  <si>
    <t>П 9/6</t>
  </si>
  <si>
    <t>Т2.1</t>
  </si>
  <si>
    <t>Тележка грузовая. Грузоподъемность 200 кг; Габариты 800х630 мм</t>
  </si>
  <si>
    <t>ТММ-200</t>
  </si>
  <si>
    <t>Контейнер для отходов на 2-х колесах, объем 120л</t>
  </si>
  <si>
    <t>ПГ-С</t>
  </si>
  <si>
    <t>Подъёмник грузовой для подъема пищи ПГ-С на 2 остановки Модель: На электрическом приводе Тип лифта (пасс., грузовой): Сервисный подъемник Грузоподъёмность (кг): г/п 350 кг Скорость (м/с): 0,6 м Внутренние размеры кабины (ширина*глубина*высота) мм.: 800х800х800 Управление: Шкаф управления (программируемый блок упраления); Пост управления (на каждом этаже); Плавный пуск/остановка (оснащение шкафа управления частотным преобразователем); Световая индикация Привод-мотор редуктор NMRV: Скорость подьема 0,2-0,5 м/с (двигатель 1,5 кВт.) Датчик открытия двери; Тепловое реле (защита двигателя от перегрева); Датчик слабины каната Реле контроля фаз; Электромеханические замки (блокируют двери от открытия во время движения кабины или при ее отсутствии на этаже); Ловители кабины; Режим "Ревизия"; Счетчик моточасов; Т-образные направляющие (лифтовые направляющие, уменьшают износ вкладышей "башмаков" скольжения).</t>
  </si>
  <si>
    <t>145.4</t>
  </si>
  <si>
    <t>Мойка оборотной тары поставщиков</t>
  </si>
  <si>
    <t>13.2</t>
  </si>
  <si>
    <t>Стеллаж кухонный, предназначен для хранения крупногабаритной посуды. Он содержит четыре сдвоенные полки, имеющих решетчатую перфорацию. Габаритные размеры 950х500х1600мм</t>
  </si>
  <si>
    <t>СТКН 950/500</t>
  </si>
  <si>
    <t>Душирующее устройство. Возвратный ручной душ. Длина шланга не менее 15м, с пистолетом распылителем. Шланг скручивается в катушку круглой формы настенного крепления. Материал изготовления: корпус катушки нержавеющая пищевая сталь, шланг – полимерный, пистолет распылитель – нержавеющая пищевая сталь или пластик</t>
  </si>
  <si>
    <t>Ведро с крышкой на 30л</t>
  </si>
  <si>
    <t>145.5</t>
  </si>
  <si>
    <t>Гардероб персонала</t>
  </si>
  <si>
    <t>м91</t>
  </si>
  <si>
    <t>Шкаф для раздевалок HPL пластик ТС 2-1 (2 секции) Один ярус (64,5, В комплекте - верхняя полка, нижняя полка, штанга и крючок) (ДхВхШ) 624х1950х500</t>
  </si>
  <si>
    <t>spt0014399</t>
  </si>
  <si>
    <t>Торговая сеть РОССИЯ</t>
  </si>
  <si>
    <t>145.7, 145.8</t>
  </si>
  <si>
    <t>Туалет персонала</t>
  </si>
  <si>
    <t>145.6</t>
  </si>
  <si>
    <t>Душевая персонала</t>
  </si>
  <si>
    <t>Комплект принадлежностей для душевой: коврик нескользящий, полка для туалетных принадлежностей, вешалка настенная</t>
  </si>
  <si>
    <t>145.9</t>
  </si>
  <si>
    <t>146.1</t>
  </si>
  <si>
    <t>Подтрибунное пространство 1/подсобное помещение</t>
  </si>
  <si>
    <t>146.2</t>
  </si>
  <si>
    <t>Подтрибунное пространство 2/подсобное помещение</t>
  </si>
  <si>
    <t>146.3</t>
  </si>
  <si>
    <t>Подтрибунное пространство 3</t>
  </si>
  <si>
    <t>146.4</t>
  </si>
  <si>
    <t>Подтрибунное пространство 4/подсобное помещение</t>
  </si>
  <si>
    <t>146.5</t>
  </si>
  <si>
    <t>Подтрибунное пространство 4</t>
  </si>
  <si>
    <t>146.6</t>
  </si>
  <si>
    <t>146</t>
  </si>
  <si>
    <t>Медицинский пункт для зрителей</t>
  </si>
  <si>
    <t>147</t>
  </si>
  <si>
    <t>Инвентарная ледовой арены</t>
  </si>
  <si>
    <t>148</t>
  </si>
  <si>
    <t>148.1</t>
  </si>
  <si>
    <t>ЭК1</t>
  </si>
  <si>
    <t>148.2</t>
  </si>
  <si>
    <t>ЭК 2</t>
  </si>
  <si>
    <t>148.3</t>
  </si>
  <si>
    <t>С/У для зрителей женский</t>
  </si>
  <si>
    <t>148.4</t>
  </si>
  <si>
    <t>С/У для зрителей мужской</t>
  </si>
  <si>
    <t>148.5</t>
  </si>
  <si>
    <t>ПУИ</t>
  </si>
  <si>
    <t>148.6</t>
  </si>
  <si>
    <t>149</t>
  </si>
  <si>
    <t>Лестничная клетка</t>
  </si>
  <si>
    <t>150.1</t>
  </si>
  <si>
    <t>Входной тамбур</t>
  </si>
  <si>
    <t>151</t>
  </si>
  <si>
    <t>ИТП</t>
  </si>
  <si>
    <t>152</t>
  </si>
  <si>
    <t>Лестничная клетка техничесая</t>
  </si>
  <si>
    <t>153</t>
  </si>
  <si>
    <t>Коридор технический</t>
  </si>
  <si>
    <t>154</t>
  </si>
  <si>
    <t>Электрощитовая</t>
  </si>
  <si>
    <t>155</t>
  </si>
  <si>
    <t>Насосная</t>
  </si>
  <si>
    <t>156</t>
  </si>
  <si>
    <t>Помещение льдоуборочных машин с системой водоподготовки, заправки гор.водой и заточ. станком</t>
  </si>
  <si>
    <t>Стеллаж сборный со сплошными полками (5 полок, нагрузка на полку 200 кг); 2000х600х2000(h) мм</t>
  </si>
  <si>
    <t>м408</t>
  </si>
  <si>
    <t>Шкаф инструментальный, одностворчатый, металлический (дверь с замком, 4 полки); 565х625х2000(h) мм</t>
  </si>
  <si>
    <t>ВЛ-К-050-01 арт.11.0301-101</t>
  </si>
  <si>
    <t>212</t>
  </si>
  <si>
    <t>Машина ледозаливочная с электродвигателем (в комплекте с зарядным устройством); объем заливаемой воды 900 литра; 4040х2130х2260(h) мм Бункер для снега 3,11 Ширина ножа 2200</t>
  </si>
  <si>
    <t>Ледовар "Великан"</t>
  </si>
  <si>
    <t>4853/5837</t>
  </si>
  <si>
    <t>С учетом снега вес машины 6740 кг</t>
  </si>
  <si>
    <t>212.1</t>
  </si>
  <si>
    <t>Машина ледозаливочная с электродвигателем (в комплекте с зарядным устройством); объем заливаемой воды 228 литров; Емкость бункера для снега: (0,5 кубических метров) Нож для льда: 1524 см</t>
  </si>
  <si>
    <t>По типу Ледовар «Малыш»</t>
  </si>
  <si>
    <t>213</t>
  </si>
  <si>
    <t>Машина для подрезки льда у борта с электродвигателем (в комплекте с зарядным устройством)</t>
  </si>
  <si>
    <t>ООО «Спортлайн», Россия</t>
  </si>
  <si>
    <t>214</t>
  </si>
  <si>
    <t>Станок для заточки ножей; Э: 3ф, 380В, 16А, 1.5кВт; 3620х700х1450(h) мм</t>
  </si>
  <si>
    <t>СДН-St 2500 А+</t>
  </si>
  <si>
    <t>600</t>
  </si>
  <si>
    <t>156.1</t>
  </si>
  <si>
    <t>Помещение холодильного оборудования</t>
  </si>
  <si>
    <t>157</t>
  </si>
  <si>
    <t>Водомерный узел</t>
  </si>
  <si>
    <t>158</t>
  </si>
  <si>
    <t>Сушильная</t>
  </si>
  <si>
    <t>м402</t>
  </si>
  <si>
    <t>Шкаф сушильный инфракрасный для сушки одежды и обуви, на 4 комплекта (металлический); М.О. ø100 мм, 180 м3/ч; Э: 1ф, 220В, 1.9А, 0.65кВт; 805х670х1900(h) мм</t>
  </si>
  <si>
    <t>РШС-03И</t>
  </si>
  <si>
    <t>158.1</t>
  </si>
  <si>
    <t>158.2</t>
  </si>
  <si>
    <t>158.3</t>
  </si>
  <si>
    <t>158.4</t>
  </si>
  <si>
    <t>158.5</t>
  </si>
  <si>
    <t>159</t>
  </si>
  <si>
    <t>Помещение заточки и подготовки коньков</t>
  </si>
  <si>
    <t>Формовочная печь для коньков. Габаритные размеры, мм (Ш x В х Д): 400 х 350 х 420; температура нагрева: от 40 ºС до 130 ºС; 230 В, 10A</t>
  </si>
  <si>
    <t>По типу «Система тепловой формовки TFHS- 1»</t>
  </si>
  <si>
    <t>16,5</t>
  </si>
  <si>
    <t>2 этаж</t>
  </si>
  <si>
    <t>160</t>
  </si>
  <si>
    <t>Рекреация с зоной отдыха для спортсменов</t>
  </si>
  <si>
    <t>161.1</t>
  </si>
  <si>
    <t>Коридор административной зоны</t>
  </si>
  <si>
    <t>161.2</t>
  </si>
  <si>
    <t>161.3</t>
  </si>
  <si>
    <t>161.4</t>
  </si>
  <si>
    <t>Коридор (рекреация)</t>
  </si>
  <si>
    <t>161.6</t>
  </si>
  <si>
    <t>Коридор бросковой зоны</t>
  </si>
  <si>
    <t>161.7</t>
  </si>
  <si>
    <t>162</t>
  </si>
  <si>
    <t>Туалет для МГН</t>
  </si>
  <si>
    <t>162.1</t>
  </si>
  <si>
    <t>Пожаробезопасная зона МГН</t>
  </si>
  <si>
    <t>Носилки</t>
  </si>
  <si>
    <t>Кресло мгн</t>
  </si>
  <si>
    <t>162.2</t>
  </si>
  <si>
    <t>Помещение распечатки результатов</t>
  </si>
  <si>
    <t>ООО «Эдем- Мебель»</t>
  </si>
  <si>
    <t>+ ЭВ*2 Серия «Эдем-1», арт.Э-26.7</t>
  </si>
  <si>
    <t>162.3</t>
  </si>
  <si>
    <t>Переход</t>
  </si>
  <si>
    <t>162.4</t>
  </si>
  <si>
    <t>Лестница 2-2эт</t>
  </si>
  <si>
    <t>Зал универсальный, гимнастики, аэробики ОФП</t>
  </si>
  <si>
    <t>г1</t>
  </si>
  <si>
    <t>Щит баскетбольный тренировочный 1200х900 мм на раме, фанера, на металлокаркасе, с кольцом №7 и сеткой</t>
  </si>
  <si>
    <t>типа ОС-09307</t>
  </si>
  <si>
    <t>ООО «ОЛИМПСИТИ»</t>
  </si>
  <si>
    <t>г2</t>
  </si>
  <si>
    <t>Ферма для баскетбольного тренировочного щита, вынос от стены 500 мм, высота 70 мм, ширина 600 мм, крепление анкерными болтами (в комплект поставки не входит)</t>
  </si>
  <si>
    <t>типа ОС-04125</t>
  </si>
  <si>
    <t>г3</t>
  </si>
  <si>
    <t>Стойка баскетбольная мобильная складная, вынос 1600 мм, высота по кольцу 3050 мм, глубина 5031 мм, ширина 1300 мм, в сложенном виде по верху щита 1777 мм, глубина 4072 мм, ширина 1300 мм</t>
  </si>
  <si>
    <t>типа ОС-08895</t>
  </si>
  <si>
    <t>Противовесы чугунные, обеспечивающие нагрузку не менее 350 кг</t>
  </si>
  <si>
    <t>г4</t>
  </si>
  <si>
    <t>Стойки волейбольные круглые стаканного типа □83 мм, со стаканами глубиной 350 мм с натяжителем</t>
  </si>
  <si>
    <t>имя восстановлено по изображению листа 48 (текстовый слой обрезан)</t>
  </si>
  <si>
    <t>г5</t>
  </si>
  <si>
    <t>Сетка волейбольная 9,5 м, толщина нити 3 мм, 4 позиции крепления, черная со стальным тросом</t>
  </si>
  <si>
    <t>Tournament</t>
  </si>
  <si>
    <t>Haspo, Германия</t>
  </si>
  <si>
    <t>г8</t>
  </si>
  <si>
    <t>Стойки теннисные круглые со стаканом (глубина 335 мм), □83 мм с натяжителем</t>
  </si>
  <si>
    <t>г9</t>
  </si>
  <si>
    <t>Сетка теннисная 12,72х1,07 м, толщина нити 2,5 мм, цвет черный, полиэстер</t>
  </si>
  <si>
    <t>г10</t>
  </si>
  <si>
    <t>Стойки с сеткой для бадминтон переносные толщина нити 1,2 мм, ячейка 18 мм, полиэстер</t>
  </si>
  <si>
    <t>г11</t>
  </si>
  <si>
    <t>Опора для теннисной сетки</t>
  </si>
  <si>
    <t>г12</t>
  </si>
  <si>
    <t>Стенка гимнастическая (высота 3,2х0,8 м), дерево</t>
  </si>
  <si>
    <t>г13</t>
  </si>
  <si>
    <t>Перекладина навесная с опорой на три ступени гимнастической стенки, сталь</t>
  </si>
  <si>
    <t>«ОЛИМПСИТИ» ООО «ОЛИМПСИТИ»</t>
  </si>
  <si>
    <t>г14</t>
  </si>
  <si>
    <t>Брусья навесные универсальные с опорой на три ступеньки гимнастической стенки, сталь</t>
  </si>
  <si>
    <t>г15</t>
  </si>
  <si>
    <t>Скамейка гимнастическая 2 м деревянная</t>
  </si>
  <si>
    <t>ООО «Гимнаст»</t>
  </si>
  <si>
    <t>9,5</t>
  </si>
  <si>
    <t>г16</t>
  </si>
  <si>
    <t>3 Мат гимнастический, плотность 20 кг/м , 2000х1000х100 мм, наполнитель поролон, покрытие синтетическая кожа</t>
  </si>
  <si>
    <t>320</t>
  </si>
  <si>
    <t>г17</t>
  </si>
  <si>
    <t>Канат □45 мм, длина 8 м, хлопчатобумажная пряжа</t>
  </si>
  <si>
    <t>Лабранд</t>
  </si>
  <si>
    <t>350</t>
  </si>
  <si>
    <t>г19</t>
  </si>
  <si>
    <t>Татами для дзюдо и рукопашного боя 12х12 м, плотность не 3 менее 200 кг/м , стандартный размер одного элемента татами 100х200х4 см, количество красных элементов – 18, зеленых элементов – 54, снаружи – бельгийский тенет, внутри ПВВ – поролон вторичного вспенивания. Нижняя часть листа покрыта антискользящим материалом (anti-slip)</t>
  </si>
  <si>
    <t>Рэй-спорт</t>
  </si>
  <si>
    <t>г20</t>
  </si>
  <si>
    <t>Табло универсальные Импульс 735-D35х6-D27х7-S 16х224xP10-S6-A2 (0.5 Кд) Импульс 735-D35х6-D27х7-S 16х224xP10-S6-A2 в комплекте радиопульт дистанционного управления</t>
  </si>
  <si>
    <t>Импульс 735- D35х6-D27х7-S 16х224xP10-S6- A2</t>
  </si>
  <si>
    <t>00000257098</t>
  </si>
  <si>
    <t>Стол рабочий прямой; 1200х700х750(h) мм</t>
  </si>
  <si>
    <t>Серия «Эдем-1», арт.Э-21.0</t>
  </si>
  <si>
    <t>Ноутбук Р=0,5 кВт, 220 В</t>
  </si>
  <si>
    <t>г21</t>
  </si>
  <si>
    <t>Перекладина гимнастическая универсальная никелированная</t>
  </si>
  <si>
    <t>г22</t>
  </si>
  <si>
    <t>Брусья мужские никелированные с деревянными жердями массовые</t>
  </si>
  <si>
    <t>г23</t>
  </si>
  <si>
    <t>Тележка для хранения и транспортировки волейбольных стоек</t>
  </si>
  <si>
    <t>г24</t>
  </si>
  <si>
    <t>Тележка для волейбольных мячей</t>
  </si>
  <si>
    <t>Система деления зала длина 36 м, высота 8 м, нижняя часть ткань ПВХ высотой 3 м, верхняя часть шторы сеточное полотно высотой 5 м, тросовые тяги, балка крепления и усиления, раздвижная или подъемная</t>
  </si>
  <si>
    <t>Сетка заградительная капроновая, ячейка 40х40 мм, нить диаметром 5 мм, система для монтажа, Длина 60 м, высота 6,5 м</t>
  </si>
  <si>
    <t>Протектор настенный, высота 2 м, жесткое основание (ДСП или фанера), толщина 50 мм, обтяжка ПВХ ткань или кожзаменитель, крепление в комплекте</t>
  </si>
  <si>
    <t>164</t>
  </si>
  <si>
    <t>Инвентарные</t>
  </si>
  <si>
    <t>Суммарный вес гантелей не должен превышать допустимый предел нагрузки в 1000 кг</t>
  </si>
  <si>
    <t>165</t>
  </si>
  <si>
    <t>Хореографический зал</t>
  </si>
  <si>
    <t>м411</t>
  </si>
  <si>
    <t>Хореографический станок двухрядный напольный с поручнем из сосны, длиной 1,5 метра, диаметром поручня 48 мм, нагрузки до 100 кг</t>
  </si>
  <si>
    <t>м412</t>
  </si>
  <si>
    <t>Гимнастическая стенка из цельного массива натурального дерева в комплекте с перекладиной для висов и подтягиваний (тип крепления – уголками к стене, полу или потолку); 800х120х2400(h) мм</t>
  </si>
  <si>
    <t>м413</t>
  </si>
  <si>
    <t>Скамейка гимнастическая; 1500х250х300(h) мм</t>
  </si>
  <si>
    <t>Музыкальный центр; Э: 1ф, 220В, 0.5кВт</t>
  </si>
  <si>
    <t>Зеркало 900*1400 мм по двум стенам зала</t>
  </si>
  <si>
    <t>166</t>
  </si>
  <si>
    <t>Стеллаж сборный со сплошными полками (5 полок, нагрузка на полку 100 кг); 1000х600х2000(h) мм</t>
  </si>
  <si>
    <t>Мат гимнастический; 2000х1000х50(h) мм</t>
  </si>
  <si>
    <t>Скакалка</t>
  </si>
  <si>
    <t>Обруч гимнастический</t>
  </si>
  <si>
    <t>167</t>
  </si>
  <si>
    <t>Раздевальная для инструкторов и тренеров муж</t>
  </si>
  <si>
    <t>Шкаф для раздевалок HPL ТС 1-10 300х500х1850 мм Односекционный, одноярусный (запираемая распашная дверь, полка для головных уборов, перекладина для вешалки с крючками)</t>
  </si>
  <si>
    <t>167.1</t>
  </si>
  <si>
    <t>Туалет с умывальной муж</t>
  </si>
  <si>
    <t>167.2</t>
  </si>
  <si>
    <t>168</t>
  </si>
  <si>
    <t>Раздевальная для инструкторов и тренеров жен</t>
  </si>
  <si>
    <t>168.1</t>
  </si>
  <si>
    <t>Туалет с умывальной жен</t>
  </si>
  <si>
    <t>168.2</t>
  </si>
  <si>
    <t>169</t>
  </si>
  <si>
    <t>Раздевальная для спортсменов универсального зала муж</t>
  </si>
  <si>
    <t>169.1</t>
  </si>
  <si>
    <t>169.2</t>
  </si>
  <si>
    <t>Умывальная</t>
  </si>
  <si>
    <t>169.3</t>
  </si>
  <si>
    <t>170</t>
  </si>
  <si>
    <t>Раздевальная для спортсменов универсального зала жен</t>
  </si>
  <si>
    <t>170.1</t>
  </si>
  <si>
    <t>170.2</t>
  </si>
  <si>
    <t>170.3</t>
  </si>
  <si>
    <t>171</t>
  </si>
  <si>
    <t>Раздевальная для спортсменов хореографического зала муж</t>
  </si>
  <si>
    <t>171.1</t>
  </si>
  <si>
    <t>171.2</t>
  </si>
  <si>
    <t>171.3</t>
  </si>
  <si>
    <t>172</t>
  </si>
  <si>
    <t>Раздевальная для спортсменов хореографического зала жен</t>
  </si>
  <si>
    <t>Россия Торговая сеть</t>
  </si>
  <si>
    <t>172.1</t>
  </si>
  <si>
    <t>172.2</t>
  </si>
  <si>
    <t>172.3</t>
  </si>
  <si>
    <t>173</t>
  </si>
  <si>
    <t>174</t>
  </si>
  <si>
    <t>175</t>
  </si>
  <si>
    <t>По типу Karcher Puzzi 30/4 E</t>
  </si>
  <si>
    <t>176</t>
  </si>
  <si>
    <t>Тамбур туалетный</t>
  </si>
  <si>
    <t>177</t>
  </si>
  <si>
    <t>178</t>
  </si>
  <si>
    <t>Кабинет главного инженера</t>
  </si>
  <si>
    <t>Prestige GTP New</t>
  </si>
  <si>
    <t>м39</t>
  </si>
  <si>
    <t>Шкаф двухстворчатый для одежды (2 распашные двери, перекладина); 768х403х1945(h) мм</t>
  </si>
  <si>
    <t>Серия «Эдем-1», арт.Э-46.0</t>
  </si>
  <si>
    <t>м83</t>
  </si>
  <si>
    <t>Тумба выкатная с центральным замком (3 выдвижных ящика, колеса); 397х500х610(h) мм</t>
  </si>
  <si>
    <t>Серия «Эдем-1», арт.Э-37.0 ц/з</t>
  </si>
  <si>
    <t>н08</t>
  </si>
  <si>
    <t>Телевизор на консоли; Э: 1ф, 220В, 0.2кВт</t>
  </si>
  <si>
    <t>179</t>
  </si>
  <si>
    <t>Приемная</t>
  </si>
  <si>
    <t>Вешалка напольная на 5 крючков</t>
  </si>
  <si>
    <t>Кабинет директора с переговорной</t>
  </si>
  <si>
    <t>м17.1</t>
  </si>
  <si>
    <t>Брифинг к столу рабочему; 900х700х750(h) мм</t>
  </si>
  <si>
    <t>М84</t>
  </si>
  <si>
    <t>Стол для переговоров прямой; 1800х800х750(h) мм</t>
  </si>
  <si>
    <t>Серия «Эдем-1», арт.Э-24.0</t>
  </si>
  <si>
    <t>181</t>
  </si>
  <si>
    <t>Кабинет главного бухгалтера</t>
  </si>
  <si>
    <t>182</t>
  </si>
  <si>
    <t>Помещение главного администратора</t>
  </si>
  <si>
    <t>183</t>
  </si>
  <si>
    <t>Комната технического персонала</t>
  </si>
  <si>
    <t>184</t>
  </si>
  <si>
    <t>Помещение для трениров</t>
  </si>
  <si>
    <t>ПОМЕЩЕНИЯ КАФЕ</t>
  </si>
  <si>
    <t>185</t>
  </si>
  <si>
    <t>Стол подъёмный передвижной г/п 125 кг</t>
  </si>
  <si>
    <t>По типу XILIN SP150 г/п 150 кг</t>
  </si>
  <si>
    <t>185.1</t>
  </si>
  <si>
    <t>Помещение хранения чистого белья</t>
  </si>
  <si>
    <t>185.2</t>
  </si>
  <si>
    <t>Помещение временного хранения грязного белья</t>
  </si>
  <si>
    <t>к1</t>
  </si>
  <si>
    <t>Контейнер 90л полипропилен d=42,5см h=85см с крышкой на колесах для пищевых отходов</t>
  </si>
  <si>
    <t>цена перенесена сюда из ВОР 02-01-11 (ВОР 897), сама строка ВОР удалена как дубль</t>
  </si>
  <si>
    <t>185.3</t>
  </si>
  <si>
    <t>Мойка и хранение кухонной посуды</t>
  </si>
  <si>
    <t>26</t>
  </si>
  <si>
    <t>Ванна моечная двухсекционная (с полкой, вся нерж.) Размеры ванны: 600×500×300 мм, Размеры: 1400×700×860 мм</t>
  </si>
  <si>
    <t>ВМП-7-2- 6РН</t>
  </si>
  <si>
    <t>Стол разделочный с бортом разборный каркас уголок, оцинкованная сталь, полка решетка 1200х600х870 мм</t>
  </si>
  <si>
    <t>СРБ 120/60</t>
  </si>
  <si>
    <t>з3</t>
  </si>
  <si>
    <t>Зонт вытяжной пристенный АЛТЭК ЗВП 14/7 без фильтров, без подсветки, металл AISI 430, Габаритные размеры:1400 х 700 х 350 марка ЗВП 14/7, подключние осуществляется от системы вентиляции</t>
  </si>
  <si>
    <t>ЗВП 14/7</t>
  </si>
  <si>
    <t>Измельчитель пищевых отходов – аппарат для измельчения пищевых отходов. Монтируется под раковину, обеспечивая переработку отходов в мелкие частицы, легко смываемые в канализационное отверстие. 1Ф, 0,45кВт, 220В Габариты 240х240х415 (Д х Ш х В) мм</t>
  </si>
  <si>
    <t>FWD-4</t>
  </si>
  <si>
    <t>185.4</t>
  </si>
  <si>
    <t>Приемный холл 2-го этажа</t>
  </si>
  <si>
    <t>т2.1</t>
  </si>
  <si>
    <t>185.5</t>
  </si>
  <si>
    <t>Участок готовых блюд и сервировки</t>
  </si>
  <si>
    <t>40.2</t>
  </si>
  <si>
    <t>Витрина холодильная настольная (хранение продуктов для сервировки блюд), прямое стекло, корпус-нержавеющая сталь, вместимость 5хGN1/4 (гастроемкости в комплект не входят), статическое охлаждение, электронный термостат и цифровой дисплей, делители в комплектеклиматический класс до +43°C, фреон R134a Температура от 2 °C до 8 °C. 1ф,220, 0.15 кВт. Габаритные размеры 1200х335х435 (ДхШхВ) мм</t>
  </si>
  <si>
    <t>Viatto VRX 1200/330</t>
  </si>
  <si>
    <t>25</t>
  </si>
  <si>
    <t>19</t>
  </si>
  <si>
    <t>Габаритные размеры 1200х335х435 (ДхШхВ) мм Ванна моечная цельнотянутая односекционная (комплектуется сифоном), Внутренний размер емкости 400х500х250мм, материал – нержавеющая сталь. Каркас уголок - оцинкованная сталь.</t>
  </si>
  <si>
    <t>ВМЦ/1-60/60</t>
  </si>
  <si>
    <t>14.2</t>
  </si>
  <si>
    <t>Стол разделочный с бортом разборный каркас уголок, оцинкованная сталь, полка решетка 1000х600х870 мм</t>
  </si>
  <si>
    <t>СРБ 100/60</t>
  </si>
  <si>
    <t>21</t>
  </si>
  <si>
    <t>Весы настольные электронные. Габаритные размеры 350х325х105 (ориентировочно)</t>
  </si>
  <si>
    <t>185.6</t>
  </si>
  <si>
    <t>Участок холодной заготовки</t>
  </si>
  <si>
    <t>15.2</t>
  </si>
  <si>
    <t>Слайсер электрический, затачивающее устройство встроено, материал корпуса окрашенный алюминий, материал каретки нержавеющая сталь, диаметр ножа 300мм, 0.25кВт, 220В, размеры 615х525х510 мм</t>
  </si>
  <si>
    <t>Airhot SL 300</t>
  </si>
  <si>
    <t>15.1</t>
  </si>
  <si>
    <t>Овощерезка профессиональная, 8 видов нарезки., производительность 400 кг/час, 0.615кВт, 380В, размеры 550х290х550 мм</t>
  </si>
  <si>
    <t>Лепсе Гамма- 5А</t>
  </si>
  <si>
    <t>35</t>
  </si>
  <si>
    <t>14.1</t>
  </si>
  <si>
    <t>Стол производственный, неразборный, без борта, полка, металл AISI 430, профиль 40х40мм, каркас сварной труба, нержавеющая сталь, сплошная полка, размеры 900х700х860 мм, масса 21.7 кг</t>
  </si>
  <si>
    <t>СП 9/7</t>
  </si>
  <si>
    <t>21.июл</t>
  </si>
  <si>
    <t>17</t>
  </si>
  <si>
    <t>Стерилизатор для ножей. Мощность лампы или ламп не менее 15Вт. Номинальное напряжение 230В±(23)В, рабочее напряжение 230В±(23)В. Габаритные размеры не более (500х155хh620)мм. Предназначен для дезинфекции ножей. Процесс стерилизации происходит за счет работы ультрафиолетовой лампы. Кнопка включения и таймер находятся на передней и/или боковой панели стерилизатора. Таймер не менее чем на 50 минут. Вместе с изделием поставляется ультрафиолетовая лампа не менее 1 шт. Материал изготовления корпуса – нержавеющая пищевая сталь. Материал должен быть разрешен Минздравсоцразвитием России к контакту с пищевыми продуктами.</t>
  </si>
  <si>
    <t>Стеллаж навесной (1200*350*600 мм, с дверцами-купе)</t>
  </si>
  <si>
    <t>МСЗЭ</t>
  </si>
  <si>
    <t>Шх5</t>
  </si>
  <si>
    <t>Шкаф холодильный среднетемпературный Э1Ф, 220В, 169кВтч/год Габаритные: размеры: 595х650х1860 мм</t>
  </si>
  <si>
    <t>JL FV1860</t>
  </si>
  <si>
    <t>Термометр универсальный. Измерение температуры в диапазоне не менее (-50…+300)0С Габаритные размеры не менее: длина 195 мм, диаметр 20мм. Длина щупа не менее 25 мм. Материал изготовления щупа – нержавеющая сталь. Цифровой. Применяется для измерения температуры продуктов при их хранении и термической обработке, жидкостей, сыпучих продуктов</t>
  </si>
  <si>
    <t>Противень гладкий, алюминий 1,5 мм, с отбортовкой, 4 борта под углом 90 градусов 600х400 мм</t>
  </si>
  <si>
    <t>Противень 435х330 мм</t>
  </si>
  <si>
    <t>185.7</t>
  </si>
  <si>
    <t>Раздаточная</t>
  </si>
  <si>
    <t>43</t>
  </si>
  <si>
    <t>Прилавок для столовых приборов и подносов ПСПХ-70КМ с хлебницей предназначен для раздачи потребителям столовых приборов и подносов, а также хлеба. Габаритные рзмеры 630х675х1340(ДхШхВ)</t>
  </si>
  <si>
    <t>ПСП-70КМ</t>
  </si>
  <si>
    <t>40.1</t>
  </si>
  <si>
    <t>Витрина холодильная напольная, вертикальная, 3 полки нержавеющая сталь+чёрная рамка, колеса, подсветка холодная, температурный режим 2…12°C, мощность 1.34 кВт/сутки – 0,05кВт, 220В, размеры 494х674х1742 (ДхШхВ) мм</t>
  </si>
  <si>
    <t>Enigma RTS- 220L</t>
  </si>
  <si>
    <t>96</t>
  </si>
  <si>
    <t>Витрина холодильная настольная, с гнутым стеклом, объем 115 литров, 2 полки-рештки верхняя 642х372мм, нижняя 642х408мм, расстояние между полками 120мм, электронный термостат, дисплей температуры, LED подсветка, автоматическая оттайка, температура 3…8°C, размеры 695х580х670 мм, 0.16кВт 220В,</t>
  </si>
  <si>
    <t>Viatto HTR120</t>
  </si>
  <si>
    <t>12</t>
  </si>
  <si>
    <t>Витрина настольная, тепловая, с увлажнением, +30...+90°C, 85 л, выпуклое переднее стекло, раздвижные дверцы, 2 хромированных полки-решетки, полка в основании, подсветка, нержавеющая сталь 0.8кВт, 220В, размеры 695х462х670 мм, масса 55 кг</t>
  </si>
  <si>
    <t>Viatto НТН100</t>
  </si>
  <si>
    <t>55</t>
  </si>
  <si>
    <t>38</t>
  </si>
  <si>
    <t>Профессиональная кофемашина, 1 высокая группа, автомат, автоматическая, 1 группа 140мм, встроенный капучинатор, объём бойлера 5 литров, подключается к водопроводу, корпус нержавеющая сталь, 1.95 кВт, 220В, размеры 475х563х530</t>
  </si>
  <si>
    <t>Fiamma Caravel 1VC TC</t>
  </si>
  <si>
    <t>45</t>
  </si>
  <si>
    <t>Профессиональная микроволновая печь, настольная, мощность СВЧ 700 Вт, емкость камеры 20 л, электромеханическое управление, материал корпуса - окрашенная сталь, цвет серебристый, передняя панель - нержавеющая сталь 1.2кВт, 220В, размеры 262х452х335 мм</t>
  </si>
  <si>
    <t>WD700N20</t>
  </si>
  <si>
    <t>37</t>
  </si>
  <si>
    <t>Термопот (кипятильник) - современной прибор для кипячения и нагрева воды, совмещающий в себе возможности электрического чайника и супер-термоса. Оснащен системой быстрого охлаждения воды. Работает от сети и автономно 1,9кВт, 220В, размеры 239х315х217 (ШхВхГ) мм</t>
  </si>
  <si>
    <t>74</t>
  </si>
  <si>
    <t>Смарт-терминал АТОЛ Sigma 10 (АТОЛ 150Ф) 46 500, Черный. Без ФН. Лицензия Qasl + контракт Платформа ОФД Программный продукт «Небольшие рестораны». Процессор - Mediatek MTK832 2х1,33ГГц.. RAM - 1Гб. ROM - 8Гб. Операционная система - Android 7.0. Скорость печати - до 100 мм/сек. Автоотрез – есть. Ширина чековой ленты - 57 мм. Ресурс печатающей головки - 50км. Длина намотки - 32м. Тип дисплея - IPS матрица, размер экрана 10. Интерфейсы подключения - Bluetooth, 4 USB-A, RJ-11 (для денежного ящика). Беспроводная сеть - Ethernet, Wi-Fi, 3G. Габариты - 239х151х104 мм</t>
  </si>
  <si>
    <t>185.8</t>
  </si>
  <si>
    <t>Доготовочная - участок горячего цеха</t>
  </si>
  <si>
    <t>22.1</t>
  </si>
  <si>
    <t>Расстоечный шкаф, (противни в комплект не входят) диапазон температур 30-45°С, 9 уровней под противни 435х330 мм, расстояние между уровнями 75 мм, 1.5 кВт, 220В, размеры 595х532х925 мм</t>
  </si>
  <si>
    <t>Enteco Р 93</t>
  </si>
  <si>
    <t>22.2</t>
  </si>
  <si>
    <t>Пароконвекционная печь, 4 противня входят в комплект, корпус из нержавеющей стали, размеры духового шкафа 690х500х360, непрограммируемая, с пароувлажнением, 4 уровней 600х400 мм, расстояние между уровнями 80 мм, температурный режим 50-300°С, 6.5кВт, 380В, размеры 830х715х575 мм</t>
  </si>
  <si>
    <t>ПН 44 ПАР 2</t>
  </si>
  <si>
    <t>13</t>
  </si>
  <si>
    <t>Стеллаж-шпилька кондитерский. Габариты: 560х520х1800 мм</t>
  </si>
  <si>
    <t>Шп/К 10</t>
  </si>
  <si>
    <t>15</t>
  </si>
  <si>
    <t>Плита промышленная электрическая, рабочий стол плиты из нержавеющей стали, конфорка 320х530мм, инвентарная полка. Время разогрева конфорок до рабочей температуры (350°С) 20 минут мм. 3Ф,380В, 4,0 кВТ±1.0кВт. Габаритные размеры (520х800х850) (ДхШхВ) мм</t>
  </si>
  <si>
    <t>Проммаш ПЭ-0.17СП</t>
  </si>
  <si>
    <t>70</t>
  </si>
  <si>
    <t>22</t>
  </si>
  <si>
    <t>Пароконвекционная печь, сенсорная панель управления, 2 скорости вентилятора, камера из нержавеющей стали AISI 304, LED подсветка, самодиагностика, вместимость 5 уровней GN1/1 530х325мм, расстояние между уровнями 67мм, температурный режим 30-260°C, программируемый, система пароувлажнения инжекторный, щуп в комплекте, автоматическая мойка, мощность 7кВт, 380В, размеры 750х773х675 мм</t>
  </si>
  <si>
    <t>Unox XEVC- 0511-E1R (ONE)</t>
  </si>
  <si>
    <t>Ванна моечная цельнотянутая односекционная (комплектуется сифоном), Внутренний размер емкости 400х500х250мм, материал – нержавеющая сталь. Каркас уголок - оцинкованная сталь. Габаритные размеры примерно, 600х600х870мм</t>
  </si>
  <si>
    <t>сталь. Габаритные размеры примерно, 600х600х870мм Стерилизатор для ножей. Мощность лампы или ламп не менее 15Вт. Номинальное напряжение 230В±(23)В, рабочее напряжение 230В±(23)В. Габаритные размеры не более (500х155х620)мм. Предназначен для дезинфекции ножей. Процесс стерилизации происходит за счет работы ультрафиолетовой лампы. Кнопка включения и таймер находятся на передней и/или боковой панели стерилизатора. Таймер не менее чем на 50 минут. Вместе с изделием поставляется ультрафиолетовая лампа не менее 1 шт. Материал изготовления корпуса – нержавеющая пищевая сталь. Материал должен быть разрешен Минздравсоцразвитием России к контакту с пищевыми продуктами.</t>
  </si>
  <si>
    <t>з1</t>
  </si>
  <si>
    <t>Вытяжной зонт. Ширина 1145 мм, Глубина -860 мм, Высота - 240 мм Производительность 310-390 м3/ч. Диаметр вытяжной трубы - 121 мм Потребляемая мощность - 0,1 кВт. Модель управляется с панели управления основного оборудования, т.к. не имеет самостоятельной панели управления. Оборудование должно быть подключено к сети водоснабжения (вентиль 3/4″)</t>
  </si>
  <si>
    <t>Подставка под пароконвектомат (универсальная) абаритные размеры ДхШхВ, мм 880х770х700</t>
  </si>
  <si>
    <t>RESTOINOX ППКР-1- 88/77</t>
  </si>
  <si>
    <t>185.9</t>
  </si>
  <si>
    <t>Участок распаковки полуфабрикатов</t>
  </si>
  <si>
    <t>185.10</t>
  </si>
  <si>
    <t>Прием отходов</t>
  </si>
  <si>
    <t>Стеллаж-шпилька Габариты: 560х520х1800 мм</t>
  </si>
  <si>
    <t>185.11</t>
  </si>
  <si>
    <t>Мойка и хранение столовой посуды</t>
  </si>
  <si>
    <t>Фронтальная посудомоечная машина; Х.В. ø3/4″, расход 6 л/цикл, К. ø50мм; Э: 1ф, 220В, 3.0кВт; 440х530х670 мм (h) мм</t>
  </si>
  <si>
    <t>Типа Fagor CO- 402 COLD B DD</t>
  </si>
  <si>
    <t>ВМП-7-2-6РН</t>
  </si>
  <si>
    <t>13.1</t>
  </si>
  <si>
    <t>Стеллаж для сушки тарелок, 164 тарелки, полки нержавеющая сталь AISI 430, каркас уголок нержавеющей стали AISI 430. Габаритные разделы 1200х300х1600мм</t>
  </si>
  <si>
    <t>СКС-120/30/430</t>
  </si>
  <si>
    <t>30,5</t>
  </si>
  <si>
    <t>з2</t>
  </si>
  <si>
    <t>Зонт вытяжной пристенный АЛТЭК ЗВП 7/7 без фильтров, без подсветки, металл AISI 430, Габаритные размеры:700 х 700 х 350 марка ЗВП 7/7, подключение осуществляется от системы вентиляции</t>
  </si>
  <si>
    <t>АЛТЭК</t>
  </si>
  <si>
    <t>марка ЗВП 7/7</t>
  </si>
  <si>
    <t>шт</t>
  </si>
  <si>
    <t>в СО в графе «Масса 1 ед., кг» стоит «шт» — не масса</t>
  </si>
  <si>
    <t>З3</t>
  </si>
  <si>
    <t>Зонт вытяжной пристенный АЛТЭК ЗВП 14/7 без фильтров, без подсветки, металл AISI 430, Габаритные размеры:1400 х 700 х 350 марка ЗВП 14/7, подключение осуществляется от системы вентиляции</t>
  </si>
  <si>
    <t>185.12</t>
  </si>
  <si>
    <t>Помещения хранения полуфабрикатов</t>
  </si>
  <si>
    <t>Шн6</t>
  </si>
  <si>
    <t>Шкаф низкотемпературный (min -28C) Э1Ф, 220В, 162кВтч/год, объем камеры 360 л. Габаритные: размеры 700х750х1950 мм</t>
  </si>
  <si>
    <t>Liebherr GN 5275</t>
  </si>
  <si>
    <t>101,5</t>
  </si>
  <si>
    <t>Весы напольные, до 500 кг. Габариты: 545х760х780 мм. Мощность-0,15 Вт 220 В</t>
  </si>
  <si>
    <t>BW-500</t>
  </si>
  <si>
    <t>Шкаф холодильный среднетемпературный Э1Ф, 220В, 169кВтч/год Габаритные: размеры: 595х650х1860мм</t>
  </si>
  <si>
    <t>Аппарат для отпугивания грызунов. 1Ф, 220В, 0,1Вт. Габаритные размеры 225х178х86 (ШхГхВ) мм (ориентировочно)</t>
  </si>
  <si>
    <t>185.13</t>
  </si>
  <si>
    <t>Помещение временного хранения отходов</t>
  </si>
  <si>
    <t>19.1</t>
  </si>
  <si>
    <t>Шкаф холодильный ШХ-07 700 л. Габаритные: размеры: 700х700х2200</t>
  </si>
  <si>
    <t>700х700х2200 Контейнер 90л полипропилен d=42,5см h=85см с крышкой на колесах для пищевых отходов</t>
  </si>
  <si>
    <t>185.14</t>
  </si>
  <si>
    <t>185.15, 185.17</t>
  </si>
  <si>
    <t>Уборная для посетителей</t>
  </si>
  <si>
    <t>185.16</t>
  </si>
  <si>
    <t>Пом. Уборная для посетителей в т.ч. МГН</t>
  </si>
  <si>
    <t>185.18</t>
  </si>
  <si>
    <t>Пом. Помещение хранения уборочного инвентаря</t>
  </si>
  <si>
    <t>С7</t>
  </si>
  <si>
    <t>Система уборки Vileda Ультра-Спид мини + набор для уборки</t>
  </si>
  <si>
    <t>185.19</t>
  </si>
  <si>
    <t>Вентиляционная</t>
  </si>
  <si>
    <t>185.20</t>
  </si>
  <si>
    <t>Коридор подсобных помещений кафе</t>
  </si>
  <si>
    <t>186</t>
  </si>
  <si>
    <t>Обеденный зал на 53 мест</t>
  </si>
  <si>
    <t>Ст01</t>
  </si>
  <si>
    <t>Стул для кафе бирюзовый</t>
  </si>
  <si>
    <t>Eames Style DSW</t>
  </si>
  <si>
    <t>цена перенесена сюда из ВОР 02-01-11 (ВОР 1022), сама строка ВОР удалена как дубль</t>
  </si>
  <si>
    <t>Ст02</t>
  </si>
  <si>
    <t>Стул для кафе белый</t>
  </si>
  <si>
    <t>цена перенесена сюда из ВОР 02-01-11 (ВОР 1023), сама строка ВОР удалена как дубль</t>
  </si>
  <si>
    <t>187</t>
  </si>
  <si>
    <t>Зал для пресс-конференций/ Методичнский кабинет</t>
  </si>
  <si>
    <t>Проекционный экран Cactus CS-PSW-168х299-BK Размеры - 2990 на 1680 мм, диагональ - 135 дюймов</t>
  </si>
  <si>
    <t>Cactus CS-PSW- 168х299-BK</t>
  </si>
  <si>
    <t>Проектор Acer X1328WHn</t>
  </si>
  <si>
    <t>48</t>
  </si>
  <si>
    <t>Кресло с пюпитром, крепление к полу</t>
  </si>
  <si>
    <t>300</t>
  </si>
  <si>
    <t>Кресло для президиума</t>
  </si>
  <si>
    <t>187.1</t>
  </si>
  <si>
    <t>Инвентарная для хранения наглядных пособий</t>
  </si>
  <si>
    <t>187.2</t>
  </si>
  <si>
    <t>Операторская</t>
  </si>
  <si>
    <t>мм Персональный компьютер (моноблок) с периферией, источник бесперебойного питания, сетевой фильтр шнур 3 м; Э: 1 ф., 220 В, 0,6 кВт, подключение к интернету, локальной сети</t>
  </si>
  <si>
    <t>(BL)</t>
  </si>
  <si>
    <t>Мебель» Торговая сеть Россия</t>
  </si>
  <si>
    <t>188</t>
  </si>
  <si>
    <t>на полку 200 кг); 1500х600х2000(h) мм Раздевальная для инструкторов и тренеров для ледового поля жен</t>
  </si>
  <si>
    <t>Шкаф для раздевалок HPL пластик ТС 2-1 (2 секции) (64,5, В комплекте - верхняя полка, нижняя полка, штанга и крючок) (ДхВхШ) 624х1950х500</t>
  </si>
  <si>
    <t>188.1</t>
  </si>
  <si>
    <t>Уборная в инструктор.- тренерской для ледового поля муж.</t>
  </si>
  <si>
    <t>188.2</t>
  </si>
  <si>
    <t>Умывальная в инструкторской-тренерской для ледового поля муж.</t>
  </si>
  <si>
    <t>188.3</t>
  </si>
  <si>
    <t>Душевая в инструкторской-тренерской для ледового поля муж.</t>
  </si>
  <si>
    <t>188.4</t>
  </si>
  <si>
    <t>Сушильная в инструкторской для ледового поля муж.</t>
  </si>
  <si>
    <t>189</t>
  </si>
  <si>
    <t>Раздевальная для инструкторов и тренеров для ледового поля муж.</t>
  </si>
  <si>
    <t>189.1</t>
  </si>
  <si>
    <t>Уборная в инструктор.- тренерской для ледового поля жен.</t>
  </si>
  <si>
    <t>189.2</t>
  </si>
  <si>
    <t>Умывальная в инструктор.- тренерской для ледового поля жен.</t>
  </si>
  <si>
    <t>189.3</t>
  </si>
  <si>
    <t>Душевая в инструктор.- тренерской для ледового поля жен.</t>
  </si>
  <si>
    <t>189.4</t>
  </si>
  <si>
    <t>Сушильная в инструктор.- тренерской для ледового поля жен.</t>
  </si>
  <si>
    <t>190</t>
  </si>
  <si>
    <t>Комната судей и официальных представителей жен.</t>
  </si>
  <si>
    <t>190.1</t>
  </si>
  <si>
    <t>Уборная в комнате судей-официальных представителей жен.</t>
  </si>
  <si>
    <t>190.2</t>
  </si>
  <si>
    <t>Умывальная в комнате судей-официальных представителей жен.</t>
  </si>
  <si>
    <t>Диспенсер для бумажных полотенец Сушилка для рук, настенная; Э: 1ф, 220В, 1.2кВт</t>
  </si>
  <si>
    <t>190.3</t>
  </si>
  <si>
    <t>Сушилка для рук, настенная; Э: 1ф, 220В, 1.2кВт Душевая в комнате судей-официальных представителей жен.</t>
  </si>
  <si>
    <t>191</t>
  </si>
  <si>
    <t>Комната судей и официальных представителей муж.</t>
  </si>
  <si>
    <t>191.1</t>
  </si>
  <si>
    <t>Уборная в комнате судей-официальных представителей муж.</t>
  </si>
  <si>
    <t>191.2</t>
  </si>
  <si>
    <t>Умывальная в комнате судей-официальных представителей муж.</t>
  </si>
  <si>
    <t>191.3</t>
  </si>
  <si>
    <t>Душевая в комнате судей-официальных представителей муж.</t>
  </si>
  <si>
    <t>191.4</t>
  </si>
  <si>
    <t>30/4 E</t>
  </si>
  <si>
    <t>191.5</t>
  </si>
  <si>
    <t>Туалет для персонала жен.</t>
  </si>
  <si>
    <t>191.6</t>
  </si>
  <si>
    <t>Туалет для персонала муж.</t>
  </si>
  <si>
    <t>192</t>
  </si>
  <si>
    <t>Бросковая зона 7шт - 3,8х11</t>
  </si>
  <si>
    <t>Бз1</t>
  </si>
  <si>
    <t>193</t>
  </si>
  <si>
    <t>Телевизионная комментаторская студия</t>
  </si>
  <si>
    <t>194</t>
  </si>
  <si>
    <t>Техническое помещение</t>
  </si>
  <si>
    <t>194.1</t>
  </si>
  <si>
    <t>194.2</t>
  </si>
  <si>
    <t>195</t>
  </si>
  <si>
    <t>196</t>
  </si>
  <si>
    <t>Комната технического персонала муж.</t>
  </si>
  <si>
    <t>196.1</t>
  </si>
  <si>
    <t>Душевая технического персонала муж</t>
  </si>
  <si>
    <t>196.2</t>
  </si>
  <si>
    <t>принадлежностей, вешалка настенная Умывальная технического персонала муж</t>
  </si>
  <si>
    <t>196.3</t>
  </si>
  <si>
    <t>Уборная технического персонала муж</t>
  </si>
  <si>
    <t>196.4</t>
  </si>
  <si>
    <t>Комната отдыха техническогокого персонала</t>
  </si>
  <si>
    <t>197</t>
  </si>
  <si>
    <t>Комната технического персонала жен.</t>
  </si>
  <si>
    <t>197.1</t>
  </si>
  <si>
    <t>Душевая технического персонала жен.</t>
  </si>
  <si>
    <t>197.2</t>
  </si>
  <si>
    <t>принадлежностей, вешалка настенная Умывальная технического персонала жен.</t>
  </si>
  <si>
    <t>197.3</t>
  </si>
  <si>
    <t>Уборная технического персонала жен.</t>
  </si>
  <si>
    <t>197.4</t>
  </si>
  <si>
    <t>Комната отдыха технического персонала</t>
  </si>
  <si>
    <t>198</t>
  </si>
  <si>
    <t>199</t>
  </si>
  <si>
    <t>Техническое помещение для вентиляционных систем</t>
  </si>
  <si>
    <t>199.1</t>
  </si>
  <si>
    <t>199.2</t>
  </si>
  <si>
    <t>Помещение для фотографа</t>
  </si>
  <si>
    <t>11.1</t>
  </si>
  <si>
    <t>Многофункциональное устройство (копир/сканер/принтер), форматы А4 и А3; Э: 1 ф., 220 В, 0,6 кВт с возможностью печати фотографий</t>
  </si>
  <si>
    <t>199.3</t>
  </si>
  <si>
    <t>Трибуна</t>
  </si>
  <si>
    <t>Зрительские кресла стационарные. Размеры кресла 500×500×980 мм шт</t>
  </si>
  <si>
    <t>ТХ.3.</t>
  </si>
  <si>
    <t>КОНСТРУКЦИЯ ЛЕДОВЫХ ПОЛЕЙ (03-01/07.21П-ТХ.3.СО)</t>
  </si>
  <si>
    <t>Материалы ледового поля 1 (основное 60х30м)</t>
  </si>
  <si>
    <t>Бетон</t>
  </si>
  <si>
    <t>B25, F200, W6, П-4</t>
  </si>
  <si>
    <t>Экструдированный пенополистирол, толщиной 50 мм в 3 слоя «ГЕО»</t>
  </si>
  <si>
    <t>ТУ 5767-006-54349294-2014</t>
  </si>
  <si>
    <t>Пеноплекс</t>
  </si>
  <si>
    <t>Экструдированный пенополистирол (температурный шов), толщиной 30 мм «ОСНОВА»</t>
  </si>
  <si>
    <t>Полиэтиленовая пленка, 150 мкм в 3 слоя</t>
  </si>
  <si>
    <t>ГОСТ 10354-82</t>
  </si>
  <si>
    <t>Полиэтиленовая пленка, 80 мкм 1 слой</t>
  </si>
  <si>
    <t>По ТУ производителя</t>
  </si>
  <si>
    <t>Скотч прозрачный</t>
  </si>
  <si>
    <t>0,05 х 50 м</t>
  </si>
  <si>
    <t>моток</t>
  </si>
  <si>
    <t>Раствор кладочный, цементный</t>
  </si>
  <si>
    <t>М200, Пк4</t>
  </si>
  <si>
    <t>Арматура Ø10 А500С</t>
  </si>
  <si>
    <t>ГОСТ Р 52544-2006</t>
  </si>
  <si>
    <t>Швеллер 12П</t>
  </si>
  <si>
    <t>ГОСТ 8240-97*</t>
  </si>
  <si>
    <t>Труба Ø48х3.0, L=0,5 п.м.</t>
  </si>
  <si>
    <t>ГОСТ 3262-75*</t>
  </si>
  <si>
    <t>Плита асбестоцементная ЛП-НП-3х1,5х10</t>
  </si>
  <si>
    <t>ГОСТ 18124-95</t>
  </si>
  <si>
    <t>Плита асбестоцементная ЛП-НП-3х1,5х8</t>
  </si>
  <si>
    <t>Проволока вязальная, 1,2 мм</t>
  </si>
  <si>
    <t>ГОСТ 3282-74</t>
  </si>
  <si>
    <t>Герметизирующая мастика, "Сазиласт 24"</t>
  </si>
  <si>
    <t>ТУ 2513-032-32478306-01</t>
  </si>
  <si>
    <t>"Вилатерм" уплотнитель Ø50 мм</t>
  </si>
  <si>
    <t>ТУ 2291-009-03989419-2006</t>
  </si>
  <si>
    <t>Грунт ГФ-021</t>
  </si>
  <si>
    <t>200 г/м2</t>
  </si>
  <si>
    <t>Эмаль ПФ-115 (цвет серый)</t>
  </si>
  <si>
    <t>ГОСТ 6465-76</t>
  </si>
  <si>
    <t>360 г/м2</t>
  </si>
  <si>
    <t>Уайт-спирит</t>
  </si>
  <si>
    <t>ГОСТ 3134-78</t>
  </si>
  <si>
    <t>100 г/м2</t>
  </si>
  <si>
    <t>Изоляция трубчатая ST-09х048</t>
  </si>
  <si>
    <t>Труба ПЭ100 SDR13,6 ∅32х2,4</t>
  </si>
  <si>
    <t>Для гильз ХС</t>
  </si>
  <si>
    <t>Материалы ледового поля 2 (тренировочное 15х10м)</t>
  </si>
  <si>
    <t>Швеллер 10П</t>
  </si>
  <si>
    <t>Материалы технологического канала</t>
  </si>
  <si>
    <t>Швеллер 6,5П</t>
  </si>
  <si>
    <t>Полоса стальная -5х60</t>
  </si>
  <si>
    <t>Оборудование</t>
  </si>
  <si>
    <t>Погружной теплообменник ямы снеготаяния</t>
  </si>
  <si>
    <t>ООО "КИБО", Россия</t>
  </si>
  <si>
    <t>ТХ.4.</t>
  </si>
  <si>
    <t>ХОЛОДОСНАБЖЕНИЕ ЛЕДОВЫХ ПОЛЕЙ (03-01/07.21П-ТХ.4.СО)</t>
  </si>
  <si>
    <t>Система холодоснабжение ледовых полей</t>
  </si>
  <si>
    <t>Основное оборудование</t>
  </si>
  <si>
    <t>ХУ</t>
  </si>
  <si>
    <t>Установка охлаждения жидкости холодопроизводительностью 480кВт при температуре хладоносителя на входе/выходе -10/-13°С. В комплекте со щитом управления (ЩСХУ1)</t>
  </si>
  <si>
    <t>F480-2ЕG</t>
  </si>
  <si>
    <t>КД</t>
  </si>
  <si>
    <t>Воздушный конденсатор</t>
  </si>
  <si>
    <t>В комплекте с ХУ</t>
  </si>
  <si>
    <t>Насос самовсасывающий V=2,41 м3/ч, H=45 м с эл.потреблением 0,8 кВт, 1-но фазный</t>
  </si>
  <si>
    <t>HiMulti 3-45 Р/1/5/230</t>
  </si>
  <si>
    <t>Wilo</t>
  </si>
  <si>
    <t>Запорная арматура</t>
  </si>
  <si>
    <t>КШ101-КШ120</t>
  </si>
  <si>
    <t>Кран шаровый Ду20 (3/4”) с внутр/внутр резьбой</t>
  </si>
  <si>
    <t>Бостон</t>
  </si>
  <si>
    <t>КШ201-КШ202</t>
  </si>
  <si>
    <t>Кран шаровый Ду50 (2”) с внутр/внутр резьбой</t>
  </si>
  <si>
    <t>УВ1-УВ12</t>
  </si>
  <si>
    <t>Воздухоотводчик автоматический 3/4" (Ду20)</t>
  </si>
  <si>
    <t>Flexvent 3/4</t>
  </si>
  <si>
    <t>«Flamco»</t>
  </si>
  <si>
    <t>ЗД101</t>
  </si>
  <si>
    <t>Затвор дисковый поворотный Ду150</t>
  </si>
  <si>
    <t>Гранвэл ЗП ВЛ</t>
  </si>
  <si>
    <t>ЗД201</t>
  </si>
  <si>
    <t>Затвор дисковый поворотный Ду100</t>
  </si>
  <si>
    <t>КБ101</t>
  </si>
  <si>
    <t>Клапан балансировочный фланцевый Ду150</t>
  </si>
  <si>
    <t>ГРАНБАЛАНС КБЧ СЕРИЯ 10</t>
  </si>
  <si>
    <t>КБ201</t>
  </si>
  <si>
    <t>Клапан балансировочный фланцевый Ду100</t>
  </si>
  <si>
    <t>КБ301-КБ302</t>
  </si>
  <si>
    <t>Клапан балансировочный муфтовый, Ду50, Ру25</t>
  </si>
  <si>
    <t>VIR 9505</t>
  </si>
  <si>
    <t>Муфта электросварная ПНД ПЭ100 Ø25</t>
  </si>
  <si>
    <t>Муфта электросварная ПНД ПЭ100 Ø63</t>
  </si>
  <si>
    <t>Переход ПНД/латунь, нар.резьба 25мм х3/4"</t>
  </si>
  <si>
    <t>Переход ПНД/латунь, нар.резьба 63мм х2"</t>
  </si>
  <si>
    <t>Сгон прямой, американка 2" вн.-нар.</t>
  </si>
  <si>
    <t>Переходник ВР/НР 1"-3/4"</t>
  </si>
  <si>
    <t>Штуцер для шланга 1" х 25 мм наружная резьба (латунь)</t>
  </si>
  <si>
    <t>Хомут червячный 20-32 с ключом W2</t>
  </si>
  <si>
    <t>Шланг резиновый армированный, 1"</t>
  </si>
  <si>
    <t>Резьба стальная 3/4"</t>
  </si>
  <si>
    <t>Система охлаждения ледового поля 1 (основного)</t>
  </si>
  <si>
    <t>Труба ПНД ПЭ100 SDR13,6 Ø25х2</t>
  </si>
  <si>
    <t>96 бухт по 250м</t>
  </si>
  <si>
    <t>Отвод 90° ПНД ПЭ100 Ø25</t>
  </si>
  <si>
    <t>Втулка металлическая для уголка ПНД ПЭ100 Ø25</t>
  </si>
  <si>
    <t>Система охлаждения ледового поля 2 (тренировочного)</t>
  </si>
  <si>
    <t>10 бухт по 250м</t>
  </si>
  <si>
    <t>Система обогрева основания ледового поля 1 (основного)</t>
  </si>
  <si>
    <t>13 бухт по 250 м</t>
  </si>
  <si>
    <t>На случай ремонта</t>
  </si>
  <si>
    <t>Для датчиков температуры</t>
  </si>
  <si>
    <t>Датчик температуры кабельный, Pt1000 (втулочный, -30…+150°С), 1.5м., ПВХ</t>
  </si>
  <si>
    <t>HTF50 Pt 1000 PVC</t>
  </si>
  <si>
    <t>«S+S Regeltechnik»</t>
  </si>
  <si>
    <t>Кабель монтажный, экранированный, с медными лужеными жилами, с изоляцией и оболочкой из полимерных композиций, не содержащих галогенов, с жилами сечением 1х(2х1,0) мм2</t>
  </si>
  <si>
    <t>МКЭШВ(А)нг–HF, 0,5кВ</t>
  </si>
  <si>
    <t>Коробка разветвительная с кабельными вводами. IP55, 6 вводов, 100х100х50</t>
  </si>
  <si>
    <t>Клеммные колодки соединительные, сеч. пров 4мм2, кол-во проводов 5</t>
  </si>
  <si>
    <t>Система обогрева основания ледового поля 2 (тренировочного)</t>
  </si>
  <si>
    <t>4 бухты по 100 м</t>
  </si>
  <si>
    <t>Коллекторы хладоносителя ледового поля 1 (основного)</t>
  </si>
  <si>
    <t>Труба ПНД ПЭ100 SDR13,6 Ø160х11,8</t>
  </si>
  <si>
    <t>Штуцер, труба ПНД ПЭ100 SDR13,6 Ø25х2, L=100мм</t>
  </si>
  <si>
    <t>Заглушка ПНД ПЭ100 Ø160</t>
  </si>
  <si>
    <t>Отвод 90° ПНД ПЭ100 Ø160</t>
  </si>
  <si>
    <t>Отвод 45° ПНД ПЭ100 Ø160</t>
  </si>
  <si>
    <t>Для воздухоотводчиков и кранов</t>
  </si>
  <si>
    <t>Втулка ПНД под фланец Ø160</t>
  </si>
  <si>
    <t>Фланец под втулку ПНД Ø160</t>
  </si>
  <si>
    <t>Коллекторы хладоносителя ледового поля 2 (тренировочного)</t>
  </si>
  <si>
    <t>Труба ПНД ПЭ100 SDR13,6 Ø110х8,1</t>
  </si>
  <si>
    <t>Заглушка ПНД ПЭ100 Ø110</t>
  </si>
  <si>
    <t>Отвод 90° ПНД ПЭ100 Ø110</t>
  </si>
  <si>
    <t>Втулка ПНД под фланец Ø110</t>
  </si>
  <si>
    <t>Фланец под втулку ПНД Ø110</t>
  </si>
  <si>
    <t>Коллекторы теплоносителя обогрева основания ледового поля 1 (основного)</t>
  </si>
  <si>
    <t>Труба ПНД ПЭ100 SDR13,6 Ø90х6,7</t>
  </si>
  <si>
    <t>Для системы ТС</t>
  </si>
  <si>
    <t>Заглушка ПНД ПЭ100 Ø90</t>
  </si>
  <si>
    <t>Отвод 90° ПНД ПЭ100 Ø90</t>
  </si>
  <si>
    <t>Отвод 45° ПНД ПЭ100 Ø90</t>
  </si>
  <si>
    <t>Переход ПНД Ø90-Ø63</t>
  </si>
  <si>
    <t>Труба ПНД ПЭ100 SDR13,6 Ø63х4,7</t>
  </si>
  <si>
    <t>Коллекторы теплоносителя обогрева основания ледового поля 2 (тренировочного)</t>
  </si>
  <si>
    <t>Материалы</t>
  </si>
  <si>
    <t>Труба медная Ø76х2,0 для хол. техники</t>
  </si>
  <si>
    <t>Труба медная Ø64х2,0 для хол. техники</t>
  </si>
  <si>
    <t>Труба медная Ø54х2,0 для хол. техники</t>
  </si>
  <si>
    <t>Труба медная Ø35х1,5 для хол. техники</t>
  </si>
  <si>
    <t>Переход медный Ø64-Ø54</t>
  </si>
  <si>
    <t>Отвод медный двухраструбный 90° Ø76</t>
  </si>
  <si>
    <t>Отвод медный двухраструбный 90° Ø64</t>
  </si>
  <si>
    <t>Отвод медный двухраструбный 90° Ø35</t>
  </si>
  <si>
    <t>Переход ПНД Ø160-Ø110</t>
  </si>
  <si>
    <t>Тройник равнопроходной ПНД Ø160</t>
  </si>
  <si>
    <t>Тройник равнопроходной ПНД Ø90</t>
  </si>
  <si>
    <t>Втулка ПНД под фланец Ø90</t>
  </si>
  <si>
    <t>Фланец под втулку ПНД Ø90</t>
  </si>
  <si>
    <t>Прокладка паронитовая А-80-16</t>
  </si>
  <si>
    <t>ГОСТ 15180-86</t>
  </si>
  <si>
    <t>Прокладка паронитовая А-100-16</t>
  </si>
  <si>
    <t>Прокладка паронитовая А-150-16</t>
  </si>
  <si>
    <t>Болт М16х140</t>
  </si>
  <si>
    <t>Болт М20х180</t>
  </si>
  <si>
    <t>Гайка М16</t>
  </si>
  <si>
    <t>Гайка М20</t>
  </si>
  <si>
    <t>Шайба М16</t>
  </si>
  <si>
    <t>Шайба М20</t>
  </si>
  <si>
    <t>Заправочные материалы</t>
  </si>
  <si>
    <t>40% раствор этиленгликоля</t>
  </si>
  <si>
    <t>Хладон</t>
  </si>
  <si>
    <t>R 507A</t>
  </si>
  <si>
    <t>43 баллона по 11,3кг</t>
  </si>
  <si>
    <t>Масло холодильное</t>
  </si>
  <si>
    <t>BSE 170</t>
  </si>
  <si>
    <t>Теплоизоляционные материалы</t>
  </si>
  <si>
    <t>Теплоизоляция рулонная</t>
  </si>
  <si>
    <t>К-FLEX</t>
  </si>
  <si>
    <t>Теплоизоляция рулонная δ=25мм</t>
  </si>
  <si>
    <t>ST-25</t>
  </si>
  <si>
    <t>Коллекторы Ø160мм</t>
  </si>
  <si>
    <t>Магистраль Ø160мм</t>
  </si>
  <si>
    <t>Теплоизоляция трубки</t>
  </si>
  <si>
    <t>Теплоизоляция трубки 25х110</t>
  </si>
  <si>
    <t>ST-25х114</t>
  </si>
  <si>
    <t>Коллектор Ø110мм</t>
  </si>
  <si>
    <t>Магистраль Ø110мм</t>
  </si>
  <si>
    <t>Теплоизоляция трубки 13х89</t>
  </si>
  <si>
    <t>ST-13х089</t>
  </si>
  <si>
    <t>Коллектор Ø90мм поля 1</t>
  </si>
  <si>
    <t>Коллектор Ø90мм поля 2</t>
  </si>
  <si>
    <t>Магистраль Ø90мм</t>
  </si>
  <si>
    <t>Теплоизоляция трубки 13х28</t>
  </si>
  <si>
    <t>ST-13х028</t>
  </si>
  <si>
    <t>Трубки ХС и ТС на поля</t>
  </si>
  <si>
    <t>Армированная лента ПВХ самоклеящаяся 50ммх50м</t>
  </si>
  <si>
    <t>Клей</t>
  </si>
  <si>
    <t>K414</t>
  </si>
  <si>
    <t>Подвес с теплоизоляцией 25х160 в комплекте с хомутом</t>
  </si>
  <si>
    <t>Isotherm</t>
  </si>
  <si>
    <t>Подвес с теплоизоляцией 25х160 без хомута</t>
  </si>
  <si>
    <t>Для опор коллекторов – половины подвесов</t>
  </si>
  <si>
    <t>Подвес с теплоизоляцией 25х110 в комплекте с хомутом</t>
  </si>
  <si>
    <t>Подвес с теплоизоляцией 25х110 без хомута</t>
  </si>
  <si>
    <t>Крепежные материалы</t>
  </si>
  <si>
    <t>Хомут (для трубы Ø35)</t>
  </si>
  <si>
    <t>1" 32-35 мм М8</t>
  </si>
  <si>
    <t>Шаг 2000</t>
  </si>
  <si>
    <t>Хомут (для трубы Ø64)</t>
  </si>
  <si>
    <t>2" 60-64 мм М8</t>
  </si>
  <si>
    <t>Хомут (для трубы Ø76)</t>
  </si>
  <si>
    <t>2 1/2" 72-78 мм М8</t>
  </si>
  <si>
    <t>Хомут (для трубы Ø90)</t>
  </si>
  <si>
    <t>Т 3 (87-94) М12</t>
  </si>
  <si>
    <t>Шпилька М8</t>
  </si>
  <si>
    <t>Шпилька М12</t>
  </si>
  <si>
    <t>Шпилька М16</t>
  </si>
  <si>
    <t>Гайка М8</t>
  </si>
  <si>
    <t>Шайба М8</t>
  </si>
  <si>
    <t>Забивной анкер M8</t>
  </si>
  <si>
    <t>Забивной анкер M12</t>
  </si>
  <si>
    <t>Забивной анкер M16</t>
  </si>
  <si>
    <t>Профиль монтажный 30х30х30х2000х2мм</t>
  </si>
  <si>
    <t>Труба профильная 50х50х3</t>
  </si>
  <si>
    <t>ГОСТ 30245-2003</t>
  </si>
  <si>
    <t>Уголок 50х50х5</t>
  </si>
  <si>
    <t>ГОСТ 8509-93</t>
  </si>
  <si>
    <t>ВОР 1</t>
  </si>
  <si>
    <t>Теплообменники, подогреватели, компенсаторы объема, испарители, охладители, доохладители, холодильники (двухточечный и др.), поставляемые в собранном виде, масса: до 0,1 т</t>
  </si>
  <si>
    <t>ВОР 02-01-07 — то же оборудование, что в ТХ.3.СО (теплообменник снеготаяния), в ВОРе учтено массой 0,196 т — проверить, чтобы не задвоить; Источник: 03-01/07.21П-ТХ.3.СО л.3 (Файл: 03-0107.21П- ТХ.3.pdf, стр.: 1)</t>
  </si>
  <si>
    <t>Погружной теплообменник ямы снеготаяния ООО"КИБО"</t>
  </si>
  <si>
    <t>ВОР 02-01-07 — ДУБЛЬ: погружной теплообменник ямы снеготаяния (2 шт., КИБО) есть в ТХ.3.СО, исключить из закупки; Источник: 03-01/07.21П-ТХ.3.СО л.3 (Файл: 03-0107.21П- ТХ.3.pdf, стр.: 1)</t>
  </si>
  <si>
    <t>ВОР 36</t>
  </si>
  <si>
    <t>Провод в лотках, сечением: до 6 мм2</t>
  </si>
  <si>
    <t>ВОР 02-01-07, нет в ТХ.4.СО; Источник: 03-01/07.21П-ТХ.4.СО л.2 (Файл: 03-0107.21П- ТХ.3.pdf, стр.: 1)</t>
  </si>
  <si>
    <t>МАТЕРИАЛЫ ИЗ ВОРов ПО ДИСЦИПЛИНАМ, ОТСУТСТВУЮЩИМ В СО (в спецификацию не входят целыми разделами)</t>
  </si>
  <si>
    <t>ВОР 01-01-01 — Общестроительные работы и конструкции (КР)</t>
  </si>
  <si>
    <t>ВОР 7</t>
  </si>
  <si>
    <t>Песок природный для строительных работ I класс, средний</t>
  </si>
  <si>
    <t>ВОР 01-01-01, нет в СО; есть в КР.СО; Источник: 03-01/07.21П-ПОС.ТЧ. Приложение Д л. 179 (Файл: 03-01/07.21П-КР.pdf, стр.: 179)</t>
  </si>
  <si>
    <t>Щебень из плотных горных пород для строительных работ М 800, фракция 5(3)-10 мм</t>
  </si>
  <si>
    <t>ВОР 01-01-01, нет в СО — в ВОРе: 0.483×3 + 1.288×2 + 0.575×2 + 0.31×2 + 0.38×2 + 0.69×2 + 3.68 + 10.626 + 1.38 + 1.1 + 1.208 + 0.356 + 2.254 + 0.966 + 0.713 + 1.046 + 3.864 + 0.805 + 0.92 + 4.025 = 40.879; есть в КР.СО; Источник: 03-01/07.21П-КР.СО. Спецификация п. 34 (Файл: 03- 01_07.21П-КР.pdf, стр.: 4)</t>
  </si>
  <si>
    <t>ВОР 11</t>
  </si>
  <si>
    <t>Щебень из плотных горных пород для строительных работ М 800, фракция 20-40 мм</t>
  </si>
  <si>
    <t>ВОР 01-01-01, нет в СО — в ВОРе: 12.316×3 + 32.844×2 + 9.752×2 + 17.595×2 + 93.84 + 270.963 + 35.54 + 29.256 + 30.774 + 9.143 + 14.777 + 57.477 + 24.633 + 18.067 + 7.82 + 26.599 + 14.775 + 98.532 + 20.516 + 7.935 + 24.38 + 74.52 = 1016.879; есть в КР.СО; Источник: 03-01/07.21П-КР.СО. Спецификация п. 31 (Файл: 03- 01_07.21П-КР.pdf, стр.: 4)</t>
  </si>
  <si>
    <t>ВОР 13</t>
  </si>
  <si>
    <t>Смеси бетонные мелкозернистого бетона (БСМ), класс В10 (М150)</t>
  </si>
  <si>
    <t>ВОР 01-01-01, нет в СО — в ВОРе: 3.06×3 + 24.48×2 + 9.792×2 + 3.672×2 + 6.12×2 + 1.938×2 + 2.448×2 + 4.59×2 + 67.32 + 9.18 + 7.344 + 7.65 + 2.244 + 14.28 + 4.488 + 6.63 + 5.1 + 418.2 + 188.7 + 16.32 + 11.22 + 15.3 = 889.236; есть в КР.СО; Источник: 03-01/07.21П-КР.СО. Спецификация п. 20 (Файл: 03- 01_07.21П-КР.pdf, стр.: 3)</t>
  </si>
  <si>
    <t>Доска обрезная антисептированная, естественной влажности, длина 4-6 м, ширина 150 мм, толщина 40 мм, сорт II</t>
  </si>
  <si>
    <t>Лес</t>
  </si>
  <si>
    <t>ВОР 01-01-01, нет в СО — в ВОРе: 0.424×3 + 0.132×3 + 0.363×2 + 0.369×2 + 0.264×2 + 0.424×2 + 0.13×2 + 1.84 + 3.8 + 0.133 + 0.566 + 0.577 + 0.107 + 0.218 + 1.697 + 0.289 + 0.26 + 6.912 + 2.478 + 1.39 + 1.115 + 0.095 + 0.371 + 0.932 + 0.312 + 0.014 + 0.217 + 0.094 + 0.204 = 28.389; есть в КР.СО; Источник: 03-01/07.21П-КР.СО. Спецификация п. 21 (Файл: 03- 01_07.21П-КР.pdf, стр.: 3)</t>
  </si>
  <si>
    <t>Смеси бетонные тяжелого бетона (БСТ) на гранитном щебне, класс В25, F(1)200, W6</t>
  </si>
  <si>
    <t>ВОР 01-01-01, нет в СО — в ВОРе: 1.53×5 + 9.744×5 + 4.6×3 + 2.305×3 + 39.382×2 + 6.12×2 + 17.722×2 + 2.764×2 + 3.366×2 + 23.751×2 + 126.672 + 24.48 + 324.901 + 50.49 + 35.525 + 15.3 + 29.232 + 12.24 + 30.755 + 4.59 + 9.135 + 68.918 + 10.72 + 29.537 + 21.66 + 7.816 + 31.901 + 4.967 + 118.146 + 18.401 + 20.503 + 3.06 + 7.917 + 24.36 + 154.787 + 55.013 + 982.52 + 785.61 + 66.99 + 28 + 150 + 70.035 + 6.5 + 53 + 65.975 + 54.81 + 95.41 + 83 = 3946.173; есть в КР.СО; Источник: 03-01/07.21П-КР.СО. Спецификация п. 21 (Файл: 03- 01_07.21П-КР.pdf, стр.: 3)</t>
  </si>
  <si>
    <t>ВОР 17</t>
  </si>
  <si>
    <t>Прокат арматурный для железобетонных конструкций, класс A500C, диаметр 16 мм</t>
  </si>
  <si>
    <t>Металлсервис</t>
  </si>
  <si>
    <t>ВОР 01-01-01, нет в СО — в ВОРе: 0.093×5 + 0.155×3 + 0.051×3 + 0.52×2 + 0.206×2 + 0.113×2 + 0.8 + 1.7 + 0.412 + 0.154 + 0.11 + 0.361 + 0.167 + 0.618 + 0.103 + 169.3 + 69.4 + 6.1 + 7.7 = 259.686; есть в КР.СО; Источник: 03-01/07.21П-КР.СО. Спецификация п. 22 (Файл: 03- 01_07.21П-КР.pdf, стр.: 3)</t>
  </si>
  <si>
    <t>ВОР 18</t>
  </si>
  <si>
    <t>Прокат арматурный для железобетонных конструкций, класс A500C, диаметр 12 мм</t>
  </si>
  <si>
    <t>ВОР 01-01-01, нет в СО — в ВОРе: 0.64×5 + 1.422×2 + 0.422×2 + 0.836×2 + 4.5 + 11.74 + 1.54 + 1.267 + 1.333 + 0.396 + 2.489 + 1.067 + 0.782 + 0.339 + 1.152 + 4.267 + 0.889 + 0.343 + 1.056 + 6.044 + 2.534 + 101.5 + 10.4 + 3.1 + 28.436 + 12.639 + 4.9 + 0.57 + 4.211 + 2 + 9.3 + 6.1 + 7.211 = 240.666; есть в КР.СО; Источник: 03-01/07.21П-КР.СО. Спецификация п. 23 (Файл: 03- 01_07.21П-КР.pdf, стр.: 3)</t>
  </si>
  <si>
    <t>ВОР 19</t>
  </si>
  <si>
    <t>Сталь арматурная горячекатаная гладкая, класс A-I, диаметр 6-22 мм</t>
  </si>
  <si>
    <t>ВОР 01-01-01, нет в СО — в ВОРе: 0.229×5 + 0.382×4 + 0.127×3 + 1.272×2 + 0.509×2 + 0.28×2 + 2.04 + 4.2 + 1.018 + 0.24 + 0.89 + 0.412 + 1.526 + 0.254 + 6.316 + 2.648 + 4.5 + 2.2 + 1.89 + 1.472 + 0.614 + 1.3 + 0.037 + 0.269 + 0.9 + 1.5 = 41.401; есть в КР.СО; Источник: 03-01/07.21П-КР.СО. Спецификация п. 24,25 (Файл: 03-01_07.21П-КР.pdf, стр.: 3)</t>
  </si>
  <si>
    <t>ВОР 21</t>
  </si>
  <si>
    <t>Болты анкерные фундаментные стальные в комплекте с двумя гайками М36 и шайбами М36, тип 1, диаметр М36</t>
  </si>
  <si>
    <t>ВОР 01-01-01, нет в СО — в ВОРе: 0.19×7 + 0.095×3 + 1.52 + 3.136 + 0.57 + 0.095 + 0.38 + 0.19 + 0.019 + 0.665 + 0.285 + 0.475 + 1.14 + 0.38 = 10.473; есть в КР.СО; Источник: 03-01/07.21П-КР.СО. Спецификация п. 26 (Файл: 03- 01_07.21П-КР.pdf, стр.: 3)</t>
  </si>
  <si>
    <t>ВОР 23</t>
  </si>
  <si>
    <t>Мастика битумно-резиновая изоляционная МБР-100</t>
  </si>
  <si>
    <t>Петрович</t>
  </si>
  <si>
    <t>ВОР 01-01-01, нет в СО — в ВОРе: 0.205×3 + 0.547×2 + 0.246×2 + 0.162×2 + 0.292×2 + 1.555 + 4.514 + 0.593 + 0.488 + 0.513 + 0.152 + 0.958 + 0.41 + 0.301 + 0.13 + 0.443 + 1.642 + 0.342 + 0.132 + 0.406 + 2.772 + 1.231 + 18.06 + 3.3 + 9.366 + 1.176 + 1.013 + 1.281 + 1.57 = 55.458; есть в КР.СО; Источник: 03-01/07.21П-КР.СО. Спецификация п. 27 (Файл: 03- 01_07.21П-КР.pdf, стр.: 3)</t>
  </si>
  <si>
    <t>ВОР 24</t>
  </si>
  <si>
    <t>Битум нефтяной строительный БН-90/10</t>
  </si>
  <si>
    <t>ВОР 01-01-01, нет в СО — в ВОРе: 0.014×3 + 0.036×2 + 0.016×2 + 0.011×2 + 0.019×2 + 0.104 + 0.301 + 0.04 + 0.033 + 0.034 + 0.01 + 0.064 + 0.027 + 0.02 + 0.009 + 0.03 + 0.109 + 0.023 + 0.009 + 0.027 + 0.185 + 0.082 + 0.688 + 0.12 + 0.357 + 0.045 + 0.068 + 0.049 + 0.105 = 2.743; есть в КР.СО; Источник: 03-01/07.21П-КР.СО. Спецификация п. 27 (Файл: 03- 01_07.21П-КР.pdf, стр.: 3)</t>
  </si>
  <si>
    <t>ВОР 57</t>
  </si>
  <si>
    <t>Болты анкерные фундаментные стальные в комплекте с двумя гайками М30 и шайбами М30, тип 1, диаметр М30</t>
  </si>
  <si>
    <t>ВОР 01-01-01, нет в СО — в ВОРе: 0.271×6 + 2.708 + 2.17 + 0.814 + 2.712 = 10.03; есть в КР.СО; Источник: 03-01/07.21П-КР.СО. Спецификация п. 56 (Файл: 03- 01_07.21П-КР.pdf, стр.: 5)</t>
  </si>
  <si>
    <t>ВОР 486</t>
  </si>
  <si>
    <t>Прокат арматурный для железобетонных конструкций, класс A500C, диаметр 20 мм</t>
  </si>
  <si>
    <t>ВОР 01-01-01, нет в СО — в ВОРе: 10.065+4.22 = 14.285; есть в КР.СО; Источник: 03-01/07.21П-КР.СО. Спецификация п. 415 (Файл: 03-01_07.21П-КР.pdf, стр.: 19)</t>
  </si>
  <si>
    <t>ВОР 510</t>
  </si>
  <si>
    <t>Материал рулонный гидроизоляционный изол, резино-битумный, без полимерных добавок</t>
  </si>
  <si>
    <t>ВОР 01-01-01, нет в СО — в ВОРе: 9460+1725+4906+616+671 = 17378; есть в КР.СО; Источник: 03-01/07.21П-КР.СО. Спецификация п. 429 (Файл: 03-01_07.21П-КР.pdf, стр.: 20)</t>
  </si>
  <si>
    <t>ВОР 511</t>
  </si>
  <si>
    <t>Раствор готовый кладочный, цементнопесчаный, М150</t>
  </si>
  <si>
    <t>ВОР 01-01-01, нет в СО — в ВОРе: 107.5+55.75+7+7.625 = 177.875; есть в КР.СО; Источник: 03-01/07.21П-КР.СО. Спецификация п. 434 (Файл: 03-01_07.21П-КР.pdf, стр.: 20)</t>
  </si>
  <si>
    <t>ВОР 512</t>
  </si>
  <si>
    <t>Шнур пенополиэтиленовый теплоизоляционный уплотнительный, сечение круглое сплошное, плотность 25-40 кг/м3, диаметр 60 мм</t>
  </si>
  <si>
    <t>ВОР 01-01-01, нет в СО; есть в КР.СО; Источник: 03-01/07.21П-КР.СО. Спецификация п. 431 (Файл: 03-01_07.21П-КР.pdf, стр.: 20)</t>
  </si>
  <si>
    <t>ВОР 546</t>
  </si>
  <si>
    <t>Профнастил оцинкованный Н75-750-0,9</t>
  </si>
  <si>
    <t xml:space="preserve">Профнастил </t>
  </si>
  <si>
    <t>ВОР 01-01-01, нет в СО — в ВОРе: 1292.907+3253.481+50.242+755.87+713.443 = 6065.945; есть в КР.СО; Источник: 03-01/07.21П-КР.СО. Спецификация п. 456-459 (Файл: 03-01_07.21П-КР.pdf, стр.: 21)</t>
  </si>
  <si>
    <t>ВОР 552</t>
  </si>
  <si>
    <t>Прокат арматурный для железобетонных конструкций, класс A500C, диаметр 10 мм</t>
  </si>
  <si>
    <t>ВОР 01-01-01, нет в СО — в ВОРе: 13.856+6.645+0.346+2.845+4.4+6.845 = 34.937; есть в КР.СО; Источник: 03-01/07.21П-КР.СО. Спецификация п. 456-459 (Файл: 03-01_07.21П-КР.pdf, стр.: 21)</t>
  </si>
  <si>
    <t>ВОР 02-01-02 — Металлоконструкции</t>
  </si>
  <si>
    <t>Колонны со связями</t>
  </si>
  <si>
    <t>М/К</t>
  </si>
  <si>
    <t>ВОР 02-01-02, нет в СО — в ВОРе: 473.37+82.54 = 555.91; Источник: 03-01/07.21П-КР.СО л. 1 п.2 (Файл: Раздел_03- 0107.21П-КР!.pdf, стр.: 1)</t>
  </si>
  <si>
    <t>Прокатные двутавры из стали С245-4</t>
  </si>
  <si>
    <t>ВОР 02-01-02, нет в СО; Источник: 03-01/07.21П-КР.СО л. 1 п.2 (Файл: Раздел_03- 0107.21П-КР!.pdf, стр.: 1)</t>
  </si>
  <si>
    <t>Сталь листовая С245-4</t>
  </si>
  <si>
    <t>ВОР 02-01-02, нет в СО — в ВОРе: 64.31+77.25+8.29+13.48+0.864 = 164.194; Источник: 03-01/07.21П-КР.СО л. 1 п.2 (Файл: Раздел_03- 0107.21П-КР!.pdf, стр.: 1)</t>
  </si>
  <si>
    <t>Прокатные двутавры из стали С345-5</t>
  </si>
  <si>
    <t>ВОР 02-01-02, нет в СО — в ВОРе: 48.29+141.22+72.81 = 262.32; Источник: 03-01/07.21П-КР.СО л. 1 п.2 (Файл: Раздел_03- 0107.21П-КР!.pdf, стр.: 1)</t>
  </si>
  <si>
    <t>ВОР 6</t>
  </si>
  <si>
    <t>Сталь листовая С355-5</t>
  </si>
  <si>
    <t>ВОР 02-01-02, нет в СО — в ВОРе: 34.25+84.48+200.77 = 319.5; Источник: 03-01/07.21П-КР.СО л. 1 п.2 (Файл: Раздел_03- 0107.21П-КР!.pdf, стр.: 1)</t>
  </si>
  <si>
    <t>ВОР 8</t>
  </si>
  <si>
    <t>Гнутосварные профили из стали С245-4</t>
  </si>
  <si>
    <t>ВОР 02-01-02, нет в СО — в ВОРе: 22.11+38.74+121.68 = 182.53; Источник: 03-01/07.21П-КР.СО л. 2 п.4 (Файл: Раздел_03- 0107.21П-КР!.pdf, стр.: 2)</t>
  </si>
  <si>
    <t>Металлоконструкции вспомогательного назначения с преобладанием толстолистовой стали или профильного проката, с отверстиями и без, сталь С245-4</t>
  </si>
  <si>
    <t>ВОР 02-01-02, нет в СО; Источник: 03-01/07.21П-КР.СО л. 1 п.1 (Файл: Раздел_03- 0107.21П-КР!.pdf, стр.: 1)</t>
  </si>
  <si>
    <t>Швеллеры горячекатаные из стали С245-4</t>
  </si>
  <si>
    <t>МК</t>
  </si>
  <si>
    <t>ВОР 02-01-02, нет в СО; Источник: 03-01/07.21П-КР.СО л. 2 п.6 (Файл: Раздел_03- 0107.21П-КР!.pdf, стр.: 2)</t>
  </si>
  <si>
    <t>Краска огнезащитная из термостойких, газообразующих и пенообразующих наполнителей</t>
  </si>
  <si>
    <t>Огнезащита</t>
  </si>
  <si>
    <t>ВОР 02-01-02, нет в СО — в ВОРе: 30984.525+369.6+-107.52+10699.425+12450.24+2029.5+3306.24 = 59732.01; Источник: 03-01/07.21П-КР.СО л. 3. п 15 (Файл: Раздел_03- 0107.21П-КР!.pdf, стр.: 3)</t>
  </si>
  <si>
    <t>ВОР 02-01-03 — Архитектурные решения (АР)</t>
  </si>
  <si>
    <t>Плитка керамогранитная, неполированная, многоцветная, толщина 10 мм</t>
  </si>
  <si>
    <t>Керамогранит</t>
  </si>
  <si>
    <t>ВОР 02-01-03, нет в СО — в ВОРе: 133.46+555.645+79.713+388.528+307.204+714.877 = 2179.427; Источник: 03-01/07.21П-АР.1 ГЧ л 1,2,4,17,26,34 (Файл: 03- 01_07.21П-АР.1.pdf, стр.: 1 2 4 17 26 34)</t>
  </si>
  <si>
    <t>Плиты теплоизоляционные из экструзионного пенополистирола, показатели пожарной опасности Г4, В2, Д3, Т2, плотность 30-39 кг/м3, теплопроводность при +10/+25 °C не более 0,034/0,035 Вт/(м*К), прочность на сжатие при 10% деформации не менее 0,4 МПа, толщина 40-100 мм</t>
  </si>
  <si>
    <t>Пеноплэкс</t>
  </si>
  <si>
    <t>ВОР 02-01-03, нет в СО; Источник: 03-01/07.21П-АР.1 ГЧ л 1,2,4,17,26,34 (Файл: 03- 01_07.21П-АР.1.pdf, стр.: 1 2 4 17 26 34)</t>
  </si>
  <si>
    <t>Витраж из алюминиевого профиля шириной 45 мм с термовставкой, окрашенный, с двойным стеклопакетом толщиной 32 мм, с двумя поворотно-откидными створками размером 715х1390 мм, в комплекте с нащельниками и сливами</t>
  </si>
  <si>
    <t>Витраж</t>
  </si>
  <si>
    <t>Витраж из алюминиевого профиля шириной 45 мм без термовставки, окрашенный, с одинарным остеклением, толщина стекла 6 мм и сэндвич-панель, толщина 10 мм, с двумя поворотно-откидными створками размером 715х1390 мм, в комплекте с нащельниками и сливами</t>
  </si>
  <si>
    <t>ВОР 02-01-03, нет в СО — в ВОРе: 1253.06+31.43 = 1284.49; Источник: 03-01/07.21П-АР.1 ГЧ л 1,2,4,17,26,34 (Файл: 03- 01_07.21П-АР.1.pdf, стр.: 1 2 4 17 26 34)</t>
  </si>
  <si>
    <t>Блок оконный из алюминиевого комбинированного профиля одинарной конструкции, с однокамерным стеклопакетом, одностворчатый, неоткрываемый</t>
  </si>
  <si>
    <t>Окна</t>
  </si>
  <si>
    <t>Нащельник стальной оцинкованный с полимерным покрытием, толщина 0,5 мм</t>
  </si>
  <si>
    <t>ВОР 02-01-03, нет в СО — в ВОРе: 2211+4402.82 = 6613.82; Источник: 03-01/07.21П-АР.1 ГЧ л 1,2,4,17,26,34 (Файл: 03- 01 07.21П-АР.1.pdf, стр.: 1 2 4 17 26 34)</t>
  </si>
  <si>
    <t>Конструкции навесной фасадной системы с воздушным зазором</t>
  </si>
  <si>
    <t>ВОР 02-01-03, нет в СО; Источник: 03-01/07.21П-АР.1 ГЧ л 1,2,4,17,26,34 (Файл: 03- 01 07.21П-АР.1.pdf, стр.: 1 2 4 17 26 34)</t>
  </si>
  <si>
    <t>ВОР 12</t>
  </si>
  <si>
    <t>Панели алюминиевые акустические перфорированные, диаметр отверстий 5-8 мм, толщина 1 мм</t>
  </si>
  <si>
    <t>ХЗ</t>
  </si>
  <si>
    <t>ВОР 14</t>
  </si>
  <si>
    <t>Сэндвич-панель трехслойная стеновая, сердцевина из базальтового волокна, металлическая облицовка с двух сторон толщиной 0,5 мм, тип покрытия полиэстер, внутренняя облицовка гладкая, наружная облицовка накатка, с симметричным замком, толщина 150 мм</t>
  </si>
  <si>
    <t>Сэндвич-панель</t>
  </si>
  <si>
    <t>ВОР 02-01-03, нет в СО — в ВОРе: 2371.44+1955.25 = 4326.69; Источник: 03-01/07.21П-АР.1 ГЧ л 1,2,4,17,26,34 (Файл: 03- 01_07.21П-АР.1.pdf, стр.: 1 2 4 17 26 34)</t>
  </si>
  <si>
    <t>Витраж из нержавеющих профилей размером 100х50х2 мм, неоткрываемый, с одинарным стеклопакетом триплекс толщиной 12 мм</t>
  </si>
  <si>
    <t>Раствор готовый кладочный, цементный, М100</t>
  </si>
  <si>
    <t>ВОР 02-01-03, нет в СО — в ВОРе: 5.857×2 + 7.786 + 15.572 + 33.624 + 58.842 + 0.802 + 1.604 + 11.113 + 22.226 + 3.298 + 5.745 + 17.235 + 6.144 + 12.288 + 14.298 + 42.893 + 23.883 + 55.728 = 344.795; Источник: 03-01/07.21П-АР.1 ГЧ л 11,13,34 (Файл: 03- 01 07.21П-АР.1.pdf, стр.: 34 11 13)</t>
  </si>
  <si>
    <t>Сетка стальная сварная из арматурной проволоки без покрытия, диаметр проволоки 5 мм, размер ячейки 200х200 мм</t>
  </si>
  <si>
    <t>ВОР 02-01-03, нет в СО — в ВОРе: 385.487 + 1664.722 + 39.703 + 155.631 + 550.197 + 284.436 + 310.999 + 304.192 + 707.869 + 290.001 = 4693.238; Источник: 03-01/07.21П-АР.1 ГЧ л 11,13,34 (Файл: 03- 01_07.21П-АР.1.pdf, стр.: 34 11 13)</t>
  </si>
  <si>
    <t>Песок кварцевый, фракция 1,0-2,5 мм, цвет серый</t>
  </si>
  <si>
    <t>ВОР 02-01-03, нет в СО — в ВОРе: 2.256+9.741+1.697 = 13.694; Источник: 03-01/07.21П-АР.1 ГЧ л 11,13,34 (Файл: 03- 01_07.21П-АР.1.pdf, стр.: 34 11 13)</t>
  </si>
  <si>
    <t>ВОР 27</t>
  </si>
  <si>
    <t>Раствор готовый кладочный, цементный, М7 5</t>
  </si>
  <si>
    <t>ВОР 02-01-03, нет в СО — в ВОРе: 10.734 + 8.051 + 1.594 + 1.196 + 2.792 + 2.094 + 3.207 + 5.613 + 6.455 + 2.916 + 2.187 + 0.448 = 47.286; Источник: 03-01/07.21П-АР.1 ГЧ л 11,13,34 (Файл: 03- 01_07.21П-АР.1.pdf, стр.: 34 11 13)</t>
  </si>
  <si>
    <t>ВОР 31</t>
  </si>
  <si>
    <t>ВОР 02-01-03, нет в СО — в ВОРе: 589.333+87.528+153.261+176.098 = 1006.219; Источник: 03-01/07.21П-АР.1 ГЧ л 11,13,34 (Файл: 03- 01_07.21П-АР.1.pdf, стр.: 34 11 13)</t>
  </si>
  <si>
    <t>ВОР 32</t>
  </si>
  <si>
    <t>Мастика битумная гидроизоляционная, приклеивающая для битумных и битумно-полимерных рулонных гидроизоляционных материалов, холодная, температура размягчения не ниже +70 °C, прочность сцепления с бетоном 0,3 МПа, расход 0,7-1,0 кг/м2 при толщине слоя 1 мм</t>
  </si>
  <si>
    <t>ВОР 02-01-03, нет в СО — в ВОРе: 1294.427+192.249+336.626+386.786+3137.61+3137.61 = 8485.309; Источник: 03-01/07.21П-АР.1 ГЧ л 11,13,34 (Файл: 03- 01_07.21П-АР.1.pdf, стр.: 34 11 13)</t>
  </si>
  <si>
    <t>ВОР 43</t>
  </si>
  <si>
    <t>Материал рулонный каучуковый, основа стеклоткань</t>
  </si>
  <si>
    <t>ВОР 02-01-03, нет в СО; Источник: 03-01/07.21П-АР.1 ГЧ л 11,13,34 (Файл: 03- 01_07.21П-АР.1.pdf, стр.: 34 11 13)</t>
  </si>
  <si>
    <t>ВОР 51</t>
  </si>
  <si>
    <t>Грунтовка укрепляющая, глубокого проникновения, быстросохнущая, паропроницаемая</t>
  </si>
  <si>
    <t>ВОР 02-01-03, нет в СО — в ВОРе: 5.425+21.264+42.493 = 69.182; Источник: 03-01/07.21П-АР.1 ГЧ л 11,13,34 (Файл: 03- 01_07.21П-AK1.pdf, стр.: 34 11 13)</t>
  </si>
  <si>
    <t>ВОР 53</t>
  </si>
  <si>
    <t>Плиты теплоизоляционные из экструзионного пенополистирола, показатели пожарной опасности Г4, В2, Д3, Т2, плотность 32-45 кг/м3, теплопроводность при +10/+25 °C не более 0,034/0,035 Вт/(м*К), прочность на сжатие при 5/10% деформации не менее 0,45/0,5 МПа, толщина 40-100 мм</t>
  </si>
  <si>
    <t>ВОР 02-01-03, нет в СО — в ВОРе: 7.936+15.858+7.361+33.452+18.011+217.33+53.55 = 353.498; Источник: 03-01/07.21П-АР.1 ГЧ л 11,13,34 (Файл: 03- 01_07.21П-AK1.pdf, стр.: 34 11 13)</t>
  </si>
  <si>
    <t>ВОР 56</t>
  </si>
  <si>
    <t>Смеси бетонные тяжелого бетона (БСТ) на щебне из гравия, класс В22,5, F(1)150, W4</t>
  </si>
  <si>
    <t>ВОР 02-01-03, нет в СО — в ВОРе: 3.143+12.574+6.282+12.563 = 34.562; Источник: 03-01/07.21П-АР.1 ГЧ л 11,13,34 (Файл: 03- 01_07.21П-AK1.pdf, стр.: 34 11 13)</t>
  </si>
  <si>
    <t>ВОР 70</t>
  </si>
  <si>
    <t>Клей монтажный сухой для внутренних и наружных работ на основе цементного вяжущего, для тяжелой плитки, керамогранита, мозаики, камня</t>
  </si>
  <si>
    <t>ВОР 02-01-03, нет в СО — в ВОРе: 6.537+0.938+4.571+3.614+8.41 = 24.07; Источник: 03-01/07.21П-АР.1 ГЧ л 11,13,34 (Файл: 03- 01_07.21П-АР.1.pdf, стр.: 34 11 13)</t>
  </si>
  <si>
    <t>ВОР 86</t>
  </si>
  <si>
    <t>Раствор готовый кладочный, цементный, М200</t>
  </si>
  <si>
    <t>ВОР 02-01-03, нет в СО — в ВОРе: 39.791+59.686 = 99.477; Источник: 03-01/07.21П-АР.1 ГЧ л 11,13,34 (Файл: 03- 01 07.21П-АР.1.pdf, стр.: 34 11 13)</t>
  </si>
  <si>
    <t>Плиты теплоизоляционные из экструзионного пенополистирола, показатели пожарной опасности Г4, В2, Д3, Т2, плотность 16-30 кг/м3, теплопроводность при +10 °C не более 0,034 Вт/(м*К), прочность на сжатие при 10% деформации не менее 0,15 МПа, толщина 4090 мм</t>
  </si>
  <si>
    <t>Доска обрезная хвойных пород, естественной влажности, длина 2-6,5 м, ширина 100-250 мм, толщина 30-40 мм, сорт III</t>
  </si>
  <si>
    <t>ВОР 96</t>
  </si>
  <si>
    <t>Смеси бетонные тяжелого бетона (БСТ) на щебне из гравия, класс В25, F(1)150, W6</t>
  </si>
  <si>
    <t>ВОР 142</t>
  </si>
  <si>
    <t>Смеси сухие быстротвердеющие на цементной основе для выравнивания основания пола, наливного типа, класс В15 (М200), крупность заполнителя до 0,32 мм, расход 17 кг/м2 при толщине слоя 10 мм</t>
  </si>
  <si>
    <t>ВОР 02-01-03, нет в СО — в ВОРе: 1.204+1.215+2.923+40.857+1.621+22.658 = 70.478; Источник: 03-01/07.21П-АР.1 ГЧ л 11,13,34 (Файл: 03- 01_07.21П-АР.1.pdf, стр.: 34 11 13)</t>
  </si>
  <si>
    <t>ВОР 146</t>
  </si>
  <si>
    <t>Линолеум ПВХ на вспененной подоснове для спортивных площадок, класс износостойкости 34/43, класс пожарной опасности КМ2 (Г1, В2, Д2, Т2, РП1), толщина защитного слоя 0,8 мм, толщина общая 8,3 мм, вес 6150 г/м2</t>
  </si>
  <si>
    <t>ВОР 152</t>
  </si>
  <si>
    <t>Грунтовка глубокопроникающая для внутренних и наружных работ на основе водной дисперсии высококачественных латексов с добавлением пигментов и специальных добавок</t>
  </si>
  <si>
    <t>ВОР 02-01-03, нет в СО — в ВОРе: 0.13+0.072 = 0.202; Источник: 03-01/07.21П-АР.1 ГЧ л 11,13,34 (Файл: 03- 01_07.21П-АР.1.pdf, стр.: 34 11 13)</t>
  </si>
  <si>
    <t>ВОР 157</t>
  </si>
  <si>
    <t>Доска паркетная из дуба, толщина 14 мм</t>
  </si>
  <si>
    <t>Раствор готовый кладочный, цементный, М150</t>
  </si>
  <si>
    <t>ВОР 02-01-03, нет в СО; Источник: 03-01/07.21П-АР.1 ГЧ л 11,13,34 (Файл: 03- 01 07.21П-АР.1.pdf, стр.: 34 11 13)</t>
  </si>
  <si>
    <t>Плинтус для полов из ПВХ, размеры 19х48 мм</t>
  </si>
  <si>
    <t>ВОР 02-01-03, нет в СО; Источник: 03-01/07.21П-АР.1 ГЧ л 36 (Файл: 03-01_07.21П- АР.1.pdf стр.: 36)</t>
  </si>
  <si>
    <t>ВОР 204</t>
  </si>
  <si>
    <t>Плитка керамическая плинтусная, глазурованная, белая, ширина 80 мм, толщина 11 мм</t>
  </si>
  <si>
    <t>ВОР 206</t>
  </si>
  <si>
    <t>Плинтус для полов из древесины, сечение 16х44 мм</t>
  </si>
  <si>
    <t>ВОР 207</t>
  </si>
  <si>
    <t>Плиты теплоизоляционные из минеральной ваты на основе базальтовых пород, НГ, плотность 30-40 кг/м3, теплопроводность не более 0,036 Вт/(м*К), прочность на сжатие при 10 % линейной деформации не менее 0,5 кПа</t>
  </si>
  <si>
    <t>ВОР 209</t>
  </si>
  <si>
    <t>Профнастил оцинкованный с лакокрасочным или полимерным покрытием Н75-750-0,9</t>
  </si>
  <si>
    <t>ВОР 02-01-03, нет в СО — в ВОРе: 4726+1717 = 6443; Источник: 03-01/07.21П-АР.1 ГЧ л 14 (Файл: 03-01_07.21П- АР.1.pdf стр.: 14)</t>
  </si>
  <si>
    <t>ВОР 211</t>
  </si>
  <si>
    <t>Пленка полиэтиленовая, толщина 0,2-0,5 мм</t>
  </si>
  <si>
    <t>ВОР 02-01-03, нет в СО; Источник: 03-01/07.21П-АР.1 ГЧ л 14 (Файл: 03-01_07.21П- АР.1.pdf стр.: 14)</t>
  </si>
  <si>
    <t>ВОР 213</t>
  </si>
  <si>
    <t>Плиты из минеральной ваты на синтетическом связующем теплоизоляционные ППЖ-160, повышенной жесткости, плотность 151-170 кг/м3</t>
  </si>
  <si>
    <t>Минвата</t>
  </si>
  <si>
    <t>ВОР 02-01-03, нет в СО — в ВОРе: 651.99+15.6+241.174+80.391 = 989.156; Источник: 03-01/07.21П-АР.1 ГЧ л 14 (Файл: 03-01_07.21П- АР.1.pdf стр.: 14)</t>
  </si>
  <si>
    <t>ВОР 221</t>
  </si>
  <si>
    <t>Сетка из стекловолокна армирующая, плотность основы 9 нитей/см, плотность уток 8 нитей/см, поверхностная плотность 160-170 г/м2</t>
  </si>
  <si>
    <t>ВОР 222</t>
  </si>
  <si>
    <t>Материал рулонный полимерный кровельный и гидроизоляционный на основе поливинилхлорида, толщина 1,0 мм</t>
  </si>
  <si>
    <t>ВОР 226</t>
  </si>
  <si>
    <t>Пленка пароизоляционная, температура эксплуатации от -40 до +80 °C, прочность на продольный/поперечный разрыв 110/60 МПа</t>
  </si>
  <si>
    <t>ВОР 234</t>
  </si>
  <si>
    <t>Пленка полиэтиленовая изоловая, толщина 0,2-0,5 мм</t>
  </si>
  <si>
    <t>ВОР 236</t>
  </si>
  <si>
    <t>Гравий керамзитовый М 600, фракция 5-10 мм</t>
  </si>
  <si>
    <t>ВОР 242</t>
  </si>
  <si>
    <t>Мембрана защитная профилированная из полиэтилена высокой плотности (ПНД), толщина полотна 0,5 мм, высота выступов 8,5 мм, предел прочности на сжатие 200 кН/м2, масса 450 г/м2</t>
  </si>
  <si>
    <t>ВОР 243</t>
  </si>
  <si>
    <t>Мастика (праймер) битумная с органическими растворителями для подготовки бетонных, цементно-песчаных и металлических поверхностей перед укладкой кровельных и гидроизоляционных материалов, диапазон температур от -30 до +45 °C, расход 0,2 л/м2</t>
  </si>
  <si>
    <t>ВОР 245</t>
  </si>
  <si>
    <t>Гравий М 400-1000, фракция 5(3)-10 мм</t>
  </si>
  <si>
    <t>ВОР 02-01-03, нет в СО; Источник: (Файл: 03-01_07.21П-АР.1.pdf, стр.: 14)</t>
  </si>
  <si>
    <t>ВОР 247</t>
  </si>
  <si>
    <t>Плиты тротуарные железобетонные, бетон В25, расход арматуры от 200 до 250 кг/м3</t>
  </si>
  <si>
    <t>Тротуар</t>
  </si>
  <si>
    <t>ВОР 249</t>
  </si>
  <si>
    <t>Мембрана кровельная гидроизоляционная из ПВХ с полимерным пластификатором, армированная сеткой из полиэстера, химически стойкая к битумосодержащим материалам, пожарно-технические характеристики РП1, Г2, В2, гибкость при пониженной температуре от -35 °C, толщина 1,5 мм</t>
  </si>
  <si>
    <t>ВОР 250</t>
  </si>
  <si>
    <t>Геополотно нетканое полипропиленовое, иглопробивное, термоскрепленное, поверхностная плотность 300 г/м2</t>
  </si>
  <si>
    <t>Геотекстиль</t>
  </si>
  <si>
    <t>ВОР 253</t>
  </si>
  <si>
    <t>Металлоконструкции прочие одноэтажных производственных зданий</t>
  </si>
  <si>
    <t>ВОР 255</t>
  </si>
  <si>
    <t>Воронка водосборная металлическая для водосточных систем, покрытие полиэстер, диаметр воронки 350 мм, диаметр трубы 150 мм</t>
  </si>
  <si>
    <t>ВОР 257</t>
  </si>
  <si>
    <t>Ограждение кровельное стальное оцинкованное для крепления в горизонтальную часть парапета, высота ограждения 600 мм, длина ограждения 3000 мм</t>
  </si>
  <si>
    <t>Ограждение</t>
  </si>
  <si>
    <t>ВОР 261</t>
  </si>
  <si>
    <t>Блок дверной деревянный внутренний распашной глухой, площадь более 2,0 м2, материал комбинированный с покрытием из натурального шпона</t>
  </si>
  <si>
    <t>Двери</t>
  </si>
  <si>
    <t>ВОР 02-01-03, нет в СО — в ВОРе: 4.536+73.5+18.48+18.522 = 115.038; Источник: 03-01/07.21П-АР.1 ГЧ л 28 (Файл: 03-01_07.21П- АР.1.pdf, стр.: 28)</t>
  </si>
  <si>
    <t>ВОР 263</t>
  </si>
  <si>
    <t>Блок дверной деревянный внутренний распашной глухой, площадь до 2,0 м2, материал комбинированный с покрытием из полимерных пленок</t>
  </si>
  <si>
    <t>ВОР 02-01-03, нет в СО — в ВОРе: 15.12+75.768+29.484 = 120.372; Источник: 03-01/07.21П-АР.1 ГЧ л 28 (Файл: 03-01_07.21П- АР.1.pdf, стр.: 28)</t>
  </si>
  <si>
    <t>ВОР 269</t>
  </si>
  <si>
    <t>Блок дверной деревянный внутренний распашной остекленный, площадь более 2,0 м2, комбинированный с покрытием из полимерных пленок</t>
  </si>
  <si>
    <t>ВОР 02-01-03, нет в СО; Источник: 03-01/07.21П-АР.1 ГЧ л 28 (Файл: 03-01_07.21П- АР.1.pdf, стр.: 28)</t>
  </si>
  <si>
    <t>ВОР 271</t>
  </si>
  <si>
    <t>Блок дверной стальной внутренний однопольный, с замком-защелкой, без доводчика, площадь 2,1 м2</t>
  </si>
  <si>
    <t>ВОР 02-01-03, нет в СО — в ВОРе: 4.116+14.406+22.176 = 40.698; Источник: 03-01/07.21П-АР.1 ГЧ л 28 (Файл: 03-01_07.21П- АР.1.pdf, стр.: 28)</t>
  </si>
  <si>
    <t>ВОР 274</t>
  </si>
  <si>
    <t>Блок дверной стальной наружный двупольный, с замком-защелкой, без доводчика, площадь 2,73 м2</t>
  </si>
  <si>
    <t>ВОР 276</t>
  </si>
  <si>
    <t>Блок дверной металлический противопожарный однопольный, предел огнестойкости EI 30, с заполнением минеральной ватой, окрашенный порошковыми красками, с замком-защелкой, без доводчика, размеры 900х2100 мм</t>
  </si>
  <si>
    <t>ВОР 277</t>
  </si>
  <si>
    <t>Блок дверной металлический противопожарный однопольный, предел огнестойкости EI 30, с заполнением минеральной ватой, окрашенный порошковыми красками, с замком-защелкой, без доводчика, размеры 1000х2100 мм</t>
  </si>
  <si>
    <t>ВОР 02-01-03, нет в СО — в ВОРе: 2+14+24 = 40; Источник: 03-01/07.21П-АР.1 ГЧ л 28 (Файл: 03-01_07.21П- АР.1.pdf, стр.: 28)</t>
  </si>
  <si>
    <t>ВОР 278</t>
  </si>
  <si>
    <t>Блок дверной металлический противопожарный однопольный, предел огнестойкости EI 60, с заполнением минеральной ватой, окрашенный порошковыми красками, с замком-защелкой, без доводчика, размеры 1000х2100 мм</t>
  </si>
  <si>
    <t>ВОР 02-01-03, нет в СО — в ВОРе: 4+1+3+4 = 12; Источник: 03-01/07.21П-АР.1 ГЧ л 28 (Файл: 03-01_07.21П- АР.1.pdf, стр.: 28)</t>
  </si>
  <si>
    <t>ВОР 283</t>
  </si>
  <si>
    <t>Блок дверной металлический противопожарный однопольный, предел огнестойкости EI 30, с заполнением минеральной ватой, окрашенный порошковыми красками, с замком-защелкой, без доводчика, размеры 900х1600 мм</t>
  </si>
  <si>
    <t>ВОР 286</t>
  </si>
  <si>
    <t>Блок дверной металлический противопожарный двупольный, предел огнестойкости EI 30, с заполнением минеральной ватой, окрашенный порошковыми красками, с замком-защелкой, без доводчика, размеры 1500х2100 мм</t>
  </si>
  <si>
    <t>ВОР 02-01-03, нет в СО — в ВОРе: 6+5+3 = 14; Источник: 03-01/07.21П-АР.1 ГЧ л 28 (Файл: 03-01_07.21П- АР.1.pdf, стр.: 28)</t>
  </si>
  <si>
    <t>ВОР 289</t>
  </si>
  <si>
    <t>Блок дверной металлический противопожарный двупольный, предел огнестойкости EI 60, с заполнением минеральной ватой, окрашенный порошковыми красками, с замком-защелкой, без доводчика, размеры 1600х2100 мм</t>
  </si>
  <si>
    <t>ВОР 290</t>
  </si>
  <si>
    <t>Блок дверной металлический противопожарный двупольный, предел огнестойкости EI 60, с заполнением минеральной ватой, окрашенный порошковыми красками, с замком-защелкой, без доводчика, размеры 1400х2100 мм</t>
  </si>
  <si>
    <t>ВОР 292</t>
  </si>
  <si>
    <t>Блок дверной металлический противопожарный двупольный остекленный, предел огнестойкости EI 60, с заполнением минеральной ватой, окрашенный порошковыми красками, с замком-защелкой, без доводчика, размеры 1400х2100 мм</t>
  </si>
  <si>
    <t>ВОР 294</t>
  </si>
  <si>
    <t>Доводчик дверной рычажный для распашных дверей шириной до 900 мм, масса двери до 50 кг</t>
  </si>
  <si>
    <t>ВОР 296</t>
  </si>
  <si>
    <t>Блок дверной деревянный внутренний распашной остекленный, площадь до 2,0 м2, массив ели/сосны без покрытия</t>
  </si>
  <si>
    <t>ВОР 298</t>
  </si>
  <si>
    <t>Ворота подъемно-вертикальные рулонные (роллетные) из алюминиевых профилей, с пружинно-инерционным механизмом подъема и опускания, стальным круглым защитным коробом, с запорным устройством, размеры ворот 3000х2500 мм</t>
  </si>
  <si>
    <t>Ворота</t>
  </si>
  <si>
    <t>ВОР 305</t>
  </si>
  <si>
    <t>ВОР 02-01-03, нет в СО — в ВОРе: 14.95+4.71+33.71+17.27+7.744+11.281+50.077+76.82 = 216.562; Источник: 03-01/07.21П-АР.1 ГЧ л 30 (Файл: 03-01_07.21П- АР.1.pdf стр.: 30)</t>
  </si>
  <si>
    <t>ВОР 310</t>
  </si>
  <si>
    <t>Блок дверной входной из ПВХ-профилей, с простой коробкой, однопольный, с простой фурнитурой, с однокамерным стеклопакетом толщиной 24 мм, площадь более 2 м2</t>
  </si>
  <si>
    <t>ВОР 02-01-03, нет в СО — в ВОРе: 3.59×6 + 9.22×2 + 4.608 + 2.14 + 3.89 + 7.78 + 4.61 + 4.69 = 67.698; Источник: 03-01/07.21П-АР.1 ГЧ л 30 (Файл: 03-01_07.21П- АР.1.pdf стр.: 30)</t>
  </si>
  <si>
    <t>ВОР 351</t>
  </si>
  <si>
    <t>ВОР 02-01-03, нет в СО — в ВОРе: 87.071 + 109.16 + 9.49 + 5.92 + 4.9 + 6 + 11.3 + 9.04 + 10.39 = 253.271; Источник: 03-01/07.21П-АР.1 ГЧ л 30 (Файл: 03-01_07.21П- АР.1.pdf стр.: 30)</t>
  </si>
  <si>
    <t>ВОР 420</t>
  </si>
  <si>
    <t>Стеклопакеты двухслойные из неполированного стекла, толщина стекла 4 мм</t>
  </si>
  <si>
    <t>ВОР 02-01-03, нет в СО; Источник: 03-01/07.21П-АР.1 ГЧ л 30 (Файл: 03-01_07.21П- АР.1.pdf стр.: 30)</t>
  </si>
  <si>
    <t>ВОР 422</t>
  </si>
  <si>
    <t>Ворота подъемно-вертикальные рулонные (роллетные) из алюминиевых профилей, с пружинно-инерционным механизмом подъема и опускания, стальным круглым защитным коробом, с запорным устройством, размеры ворот 2000х2000 мм</t>
  </si>
  <si>
    <t>ВОР 424</t>
  </si>
  <si>
    <t>Клей монтажный сухой для внутренних и наружных работ на основе цементного вяжущего, для укладки блоков и плит из ячеистого бетона</t>
  </si>
  <si>
    <t>ВОР 02-01-03, нет в СО; Источник: 03-01/07.21П-АР.1 ГЧ л 31 (Файл: 03-01_07.21П- АР.1.pdf стр.: 31)</t>
  </si>
  <si>
    <t>ВОР 425</t>
  </si>
  <si>
    <t>Блоки из ячеистых бетонов стеновые 1 категории, объемная масса 600 кг/м3, бетон В3,5</t>
  </si>
  <si>
    <t>ВОР 427</t>
  </si>
  <si>
    <t>Листы гипсокартонные влагостойкие ГКЛВ, толщина 16 мм</t>
  </si>
  <si>
    <t>ВОР 429</t>
  </si>
  <si>
    <t>Маты прошивные теплоизоляционные из минеральной ваты, без обкладок, марка 100</t>
  </si>
  <si>
    <t>ВОР 02-01-03, нет в СО — в ВОРе: 539.599+65.655+39.575 = 644.83; Источник: 03-01/07.21П-АР.1 ГЧ л 31 (Файл: 03-01_07.21П- АР.1.pdf стр.: 31)</t>
  </si>
  <si>
    <t>ВОР 430</t>
  </si>
  <si>
    <t>Листы гипсокартонные влагостойкие ГКЛВ, толщина 12,5 мм</t>
  </si>
  <si>
    <t>ВОР 02-01-03, нет в СО — в ВОРе: 11027.737+12363.638 = 23391.375; Источник: 03-01/07.21П-АР.1 ГЧ л 31 (Файл: 03-01_07.21П- АР.1.pdf стр.: 31)</t>
  </si>
  <si>
    <t>ВОР 431</t>
  </si>
  <si>
    <t>Панели отделочные гипсокартонные с лицевой поверхностью из поливинилхлоридного декоративного стенового вспененного материала (ПОГ-VI), толщина 12,5 мм</t>
  </si>
  <si>
    <t>ВОР 02-01-03, нет в СО — в ВОРе: 11027.737+12363.638+423.452 = 23814.827; Источник: 03-01/07.21П-АР.1 ГЧ л 31 (Файл: 03-01_07.21П- АР.1.pdf стр.: 31)</t>
  </si>
  <si>
    <t>ВОР 433</t>
  </si>
  <si>
    <t>Панель стеновая антивандальная на основе стекломагниевого листа с полимерным покрытием, с матовой поверхностью, НГ, толщина 10 мм</t>
  </si>
  <si>
    <t>ВОР 441</t>
  </si>
  <si>
    <t>Герметик акриловый универсальный для заделки швов и трещин, герметизации швов</t>
  </si>
  <si>
    <t>ВОР 444</t>
  </si>
  <si>
    <t>Кирпич керамический рядовой пустотелый одинарный, размеры 250х120х65 мм, марка М100</t>
  </si>
  <si>
    <t>ВОР 02-01-03, нет в СО — в ВОРе: 38582.5+298482.4 = 337064.9; Источник: 03-01/07.21П-АР.1 ГЧ л 31 (Файл: 03-01_07.21П- АР.1.pdf стр.: 31)</t>
  </si>
  <si>
    <t>ВОР 445</t>
  </si>
  <si>
    <t>Раствор кладочный, цементно-известковый, М75</t>
  </si>
  <si>
    <t>ВОР 02-01-03, нет в СО — в ВОРе: 17.748+183.802 = 201.55; Источник: 03-01/07.21П-АР.1 ГЧ л 31 (Файл: 03-01_07.21П- АР.1.pdf стр.: 31)</t>
  </si>
  <si>
    <t>ВОР 451</t>
  </si>
  <si>
    <t>Комплект из стального оцинкованного профиля для монтажа подвесных потолочных систем</t>
  </si>
  <si>
    <t>ВОР 02-01-03, нет в СО — в ВОРе: 1113.348+1842.43+636.241+445.16 = 4037.179; Источник: 03-01/07.21П-АР.1 ГЧ л 41 (Файл: 03-01_07.21П- АР.1.pdf стр.: 41)</t>
  </si>
  <si>
    <t>ВОР 455</t>
  </si>
  <si>
    <t>Уголок алюминиевый декоративный, размеры 10х10 мм, толщина 1,5 мм</t>
  </si>
  <si>
    <t>ВОР 02-01-03, нет в СО — в ВОРе: 82+428.07 = 510.07; Источник: 03-01/07.21П-АР.1 ГЧ л 41 (Файл: 03-01_07.21П- АР.1.pdf стр.: 41)</t>
  </si>
  <si>
    <t>ВОР 457</t>
  </si>
  <si>
    <t>Панели потолочные декоративные из минерального волокна в комплекте с подвесной системой из оцинкованной стали, твердые, с прямой кромкой, класс пожарной опасности КМ1, класс звукопоглощения D-E, толщина 12 мм</t>
  </si>
  <si>
    <t>ВОР 02-01-03, нет в СО — в ВОРе: 127.73+211.088 = 338.818; Источник: 03-01/07.21П-АР.1 ГЧ л 41 (Файл: 03-01_07.21П- АР.1.pdf стр.: 41)</t>
  </si>
  <si>
    <t>ВОР 460</t>
  </si>
  <si>
    <t>Грунтовка с высокой степенью проникновения для укрепления бетонных поверхностей</t>
  </si>
  <si>
    <t>ВОР 02-01-03, нет в СО; Источник: 03-01/07.21П-АР.1 ГЧ л 41 (Файл: 03-01_07.21П- АР.1.pdf стр.: 41)</t>
  </si>
  <si>
    <t>ВОР 461</t>
  </si>
  <si>
    <t>Краска водно-дисперсионная поливинилацетатная ВД-ВА-17, цвет белый</t>
  </si>
  <si>
    <t>ВОР 02-01-03, нет в СО — в ВОРе: 1.067+1.229+0.453 = 2.748; Источник: 03-01/07.21П-АР.1 ГЧ л 41 (Файл: 03-01_07.21П- АР.1.pdf стр.: 41)</t>
  </si>
  <si>
    <t>ВОР 463</t>
  </si>
  <si>
    <t>Плиты теплоизоляционные из минеральной ваты на основе стекловолокна, группа горючести НГ, плотность 45 кг/м3, теплопроводность при 10/25 °C не более 0,032/0,034 Вт/(м*К)</t>
  </si>
  <si>
    <t>ВОР 468</t>
  </si>
  <si>
    <t>Листы гипсокартонные ГКЛ, толщина 9,5 мм</t>
  </si>
  <si>
    <t>ВОР 469</t>
  </si>
  <si>
    <t>Тяги подвеса из оцинкованного профиля для монтажа подвесных потолочных конструкций</t>
  </si>
  <si>
    <t>ВОР 480</t>
  </si>
  <si>
    <t>Панель из поликарбоната, сотовая, бесцветная, толщина 10,0 мм</t>
  </si>
  <si>
    <t>ВОР 02-01-03, нет в СО; Источник: 03-01/07.21П-АР.1 ГЧ л 41 (Файл: 03-01_07.21П- АР.1.pdf, стр.: 41)</t>
  </si>
  <si>
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кирпичу и бетону</t>
  </si>
  <si>
    <t>ВОР 02-01-03, нет в СО — в ВОРе: 1784.21+1780.62 = 3564.83; Источник: 03-01/07.21П-АР.1 ГЧ л 41 (Файл: 03-01_07.21П- АР.1.pdf, стр.: 41)</t>
  </si>
  <si>
    <t>ВОР 483</t>
  </si>
  <si>
    <t>Клей монтажный сухой для внутренних и наружных работ на основе цементного вяжущего, для плитки</t>
  </si>
  <si>
    <t>ВОР 484</t>
  </si>
  <si>
    <t>Плитка керамическая для внутренней облицовки стен, глазурованная, гладкая, цветная, толщина 8 мм</t>
  </si>
  <si>
    <t>ВОР 485</t>
  </si>
  <si>
    <t>Смеси сухие водостойкие для затирки межплиточных швов шириной 1-6 мм (различная цветовая гамма)</t>
  </si>
  <si>
    <t>ВОР 02-01-03, нет в СО — в ВОРе: 0.892+0.89 = 1.782; Источник: 03-01/07.21П-АР.1 ГЧ л 41 (Файл: 03-01_07.21П- АР.1.pdf, стр.: 41)</t>
  </si>
  <si>
    <t>Силикатная окраска водными составами внутри помещений: по штукатурке и кирпичу</t>
  </si>
  <si>
    <t>ВОР 02-01-03, нет в СО — в ВОРе: 4637.79+1508.91 = 6146.7; Источник: 03-01/07.21П-АР.1 ГЧ л 41 (Файл: 03-01_07.21П- АР.1.pdf, стр.: 41)</t>
  </si>
  <si>
    <t>ВОР 487</t>
  </si>
  <si>
    <t>Краска водно-дисперсионная латексная ВД-КЧ-22</t>
  </si>
  <si>
    <t>ВОР 489</t>
  </si>
  <si>
    <t>Клей монтажный сухой для внутренних и наружных работ на основе цементного вяжущего, для плитки, керамогранита, мозаики, камня</t>
  </si>
  <si>
    <t>ВОР 495</t>
  </si>
  <si>
    <t>Стекло многослойное из листового закаленного бесцветного стекла, толщина 16 (8+8) мм</t>
  </si>
  <si>
    <t>ВОР 02-01-03, нет в СО; Источник: 03-01/07.21П-АР.1 ГЧ л 32 (Файл: 03-01_07.21П- АР.1.pdf, стр.: 41)</t>
  </si>
  <si>
    <t>ВОР 497</t>
  </si>
  <si>
    <t>Поручни из ПВХ, диаметр 50 мм</t>
  </si>
  <si>
    <t>ВОР 02-01-03, нет в СО; Источник: 03-01/07.21П-АР.1 ГЧ л 32 (Файл: 03-01_07.21П- АР.1.pdf, стр.: 32)</t>
  </si>
  <si>
    <t>ВОР 499</t>
  </si>
  <si>
    <t>Лестница-стремянка металлическая, марка НТС 62-91-111а, ширина 600 мм, шаг ступеней 300 мм, высота от 1 до 6 м</t>
  </si>
  <si>
    <t>ВОР 02-01-11 — Технологические решения (ТХ.2). ЗДЕСЬ ТОЛЬКО ТО, ЧЕГО НЕТ В ТХ.2.СО. Прежние 366 строк убраны: это были те же самые позиции, что расписаны выше в ТХ.2.СО по помещениям (ВОР режет их крупнее, поэтому одна и та же вещь встречалась в книге дважды). Цены со снятых строк перенесены на строки ТХ.2.СО, ИТОГО не изменилось.</t>
  </si>
  <si>
    <t>ВОР 408</t>
  </si>
  <si>
    <t>Аппарат настенный, масса от 0,15 т до 0,2 т</t>
  </si>
  <si>
    <t>Есть в ВОР 02-01-11, в ТХ.2.СО отсутствует — закупать по этой строке; Источник: 03-01/07.21П-ТХ.2 (Файл: 03-01_07.21П—ТХ.2.pdf, стр.: 28)</t>
  </si>
  <si>
    <t>ВОР 904</t>
  </si>
  <si>
    <t>Арматура муфтовая с ручным приводом или без привода водопроводная на номинальное давление до 10 МПа, номинальный диаметр: 50 мм</t>
  </si>
  <si>
    <t>Есть в ВОР 02-01-11, в ТХ.2.СО отсутствует — закупать по этой строке; Источник: 03-01/07.21П-ТХ.2 (Файл: 03-01_07.21П-ТХ.2.pdf, стр.: 63)</t>
  </si>
  <si>
    <t>ВОР 1140</t>
  </si>
  <si>
    <t>Зеркало настенное 1800х900</t>
  </si>
  <si>
    <t>Есть в ВОР 02-01-11, в ТХ.2.СО отсутствует — закупать по этой строке (проверить: в ТХ.2.СО есть зеркало 800х900, похоже на опечатку в ВОРе); Источник: 03-01/07.21П-ТХ.2 (Файл: 03-01_07.21П-ТХ.2.pdf, стр.: 78)</t>
  </si>
  <si>
    <t>ВОР 02-01-12 — Лифты и подъемники</t>
  </si>
  <si>
    <t>Лифт пассажирский со скоростью движения кабины до 1 м/с: грузоподъемностью 1000 кг, количество остановок 12, высота шахты 44 м</t>
  </si>
  <si>
    <t>ВОР 02-01-12, нет в СО; Источник: 03-01/07.21П-ТХ.2. л.10 (Файл: Раздел_03-0107.21П ТХ.2!.pdf, стр.: 1)</t>
  </si>
  <si>
    <t>Лифт размером 1100х2100 Назначение и марка лифта: Пассажирский, для пожарных подразделений 1Грузоподъёмность: кг 1000 2Скорость движения кабины: м/с 1,0 - 1,6 ЗВысота подъёма: м 4,5 4Количество остановок/шахтных дверей: шт. 2 5Характеристика электрической сети (напряжение, род тока) бМощность потребляемая 11 кВт, Потребляемый ток в период пуска 36 А 7Номинальный ток 22,5 А</t>
  </si>
  <si>
    <t>Лифт грузовой общего назначения со скоростью движения кабины 0,5 м/с на 6 остановок, высота шахты 22,5 м, скорость движения кабины 0,5 м/с, грузоподъемность: 500 кг</t>
  </si>
  <si>
    <t>ВОР 02-01-12, нет в СО; Источник: 03-01/07.21П-ТХ.2. л.39 (Файл: Раздел_03-0107.21П ТХ.2!.pdf, стр.: 1)</t>
  </si>
  <si>
    <t>Подъемник (для замены ламп) телескопический одноместный Грузоподъёмность 125 кг; Габаритные размеры (Д х Ш), мм: 1420 х 840х 2080; Н подъёма, мм - 8000, 220 В, 50 Гц</t>
  </si>
  <si>
    <t>ВОР 07-01-02 — Дороги и благоустройство</t>
  </si>
  <si>
    <t>Геосетка из полиэфирного волокна для армирования асфальтобетона, покрытие битумной дисперсией, продольная/поперечная нагрузка на разрыв 50/50 кН/м</t>
  </si>
  <si>
    <t>ВОР 07-01-02, нет в СО — в ВОРе: 28+7132+935+867+995 = 9957; Источник: 03-01/07.21П-ПЗУ. ГЧ Приложение 1 (Файл: 03- 01_07.21П-ПЗУ .pdf, стр.: 3)</t>
  </si>
  <si>
    <t>ВОР 9</t>
  </si>
  <si>
    <t>Смеси асфальтобетонные плотные крупнозернистые, тип А, марка I</t>
  </si>
  <si>
    <t>Асфальт</t>
  </si>
  <si>
    <t>ВОР 07-01-02, нет в СО — в ВОРе: 2.71+1.355+639.267+319.634+89.153 = 1052.119; Источник: 03-01/07.21П-ПЗУ. ГЧ Приложение 1 (Файл: 03- 01 07.21П-ПЗУ .pdf, стр.: 3)</t>
  </si>
  <si>
    <t>Смеси асфальтобетонные плотные мелкозернистые, тип А, марка I</t>
  </si>
  <si>
    <t>ВОР 07-01-02, нет в СО — в ВОРе: 1.439+339.446+61.834+20.611 = 423.33; Источник: 03-01/07.21П-ПЗУ. ГЧ Приложение 1 (Файл: 03-01_07.21П-ПЗУ.pdf, стр.: 3)</t>
  </si>
  <si>
    <t>Геополотно нетканое полипропиленовое, иглопробивное, термоскрепленное, поверхностная плотность 600 г/м2</t>
  </si>
  <si>
    <t>ВОР 07-01-02, нет в СО — в ВОРе: 1322.4×2 + 7925 + 1039.2 + 909 + 963 + 3500 + 3062 + 1105.2 + 600 + 525 + 73.2 = 22346.4; Источник: 03-01/07.21П-ПЗУ. ГЧ Приложение 1 (Файл: 03- 01_07.21П-ПЗУ .pdf, стр.: 4)</t>
  </si>
  <si>
    <t>ВОР 07-01-02, нет в СО — в ВОРе: 3995.42 + 523.93 + 264.66 + 962.28 + 160.38 + 363.66 + 60.61 + 455.895 + 165 + 20.13 = 6971.965; Источник: 03-01/07.21П-ПЗУ. ГЧ Приложение 1 (Файл: 03- 01 07.21П-ПЗУ .pdf, стр.: 4)</t>
  </si>
  <si>
    <t>Щебень из плотных горных пород для дорожного строительства М 1200, фракция 31,5-63 мм</t>
  </si>
  <si>
    <t>ВОР 07-01-02, нет в СО — в ВОРе: 1248.156 + 83.21 + 163.674 + 10.912 + 121 + 551.124 + 208.278 + 174.069 + 81.232 + 94.5 + 11.529 = 2747.684; Источник: 03-01/07.21П-ПЗУ. ГЧ Приложение 1 (Файл: 03- 01_07.21П-ПЗУ .pdf, стр.: 4)</t>
  </si>
  <si>
    <t>ВОР 22</t>
  </si>
  <si>
    <t>Щебень из плотных горных пород для дорожного строительства М 1200, фракция 816 мм</t>
  </si>
  <si>
    <t>ВОР 07-01-02, нет в СО — в ВОРе: 99.06+12.99+16+43.74+16.53+13.815+7.5+0.915 = 210.55; Источник: 03-01/07.21П-ПЗУ. ГЧ Приложение 1 (Файл: 03- 01_07.21П-ПЗУ .pdf, стр.: 4)</t>
  </si>
  <si>
    <t>Смеси бетонные тяжелого бетона (БСТ) на щебне из гравия, класс В10, F(1)50, W2</t>
  </si>
  <si>
    <t>ВОР 07-01-02, нет в СО — в ВОРе: 27.895+9.298+19.73+15.576+76.606 = 149.105; Источник: 03-01/07.21П-ПЗУ. ГЧ Приложение 1 (Файл: 03- 01_07.21П-ПЗУ .pdf, стр.: 4)</t>
  </si>
  <si>
    <t>Камни бортовые вибропрессованные дорожные, размеры 1000х300х150 мм, цветные на сером цементе</t>
  </si>
  <si>
    <t>ВОР 07-01-02, нет в СО — в ВОРе: 591+197+418+330+1623 = 3159; Источник: 03-01/07.21П-ПЗУ. ГЧ Приложение 1 (Файл: 03- 01_07.21П-ПЗУ .pdf, стр.: 4)</t>
  </si>
  <si>
    <t>Плитка бетонная тротуарная декоративная (брусчатка), форма кирпичик, толщина 60 мм</t>
  </si>
  <si>
    <t>ВОР 07-01-02, нет в СО; Источник: 03-01/07.21П-ПЗУ. ГЧ Приложение 1 (Файл: 03- 01_07.21П-ПЗУ .pdf, стр.: 5)</t>
  </si>
  <si>
    <t>Смеси сухие цементно-песчаные монтажнокладочные, крупность заполнителя не более 3,5 мм, класс В15 (М200), F100</t>
  </si>
  <si>
    <t>Плитка вибропрессованная тротуарная, форма прямоугольник, на белом цементе, цветная, размеры 300х200х60 мм</t>
  </si>
  <si>
    <t>ВОР 07-01-02, нет в СО; Источник: 03-01/07.21П-ПЗУ. ГЧ Приложение 1 (Файл: 03- 01_07.21П-ПЗУ .pdf, стр.: 7)</t>
  </si>
  <si>
    <t>ВОР 07-01-02, нет в СО; Источник: 03-01/07.21П-ПЗУ. ГЧ Приложение 1 (Файл: 03- 01_07.21П-ПЗУ .pdf, стр.: 8)</t>
  </si>
  <si>
    <t>ВОР 110</t>
  </si>
  <si>
    <t>На каждый 1 см изменения толщины слоя добавлять или исключать к нормам 27-04-00501, 27-04-005-02, 27-04-005-03</t>
  </si>
  <si>
    <t>ВОР 113</t>
  </si>
  <si>
    <t>Смеси бетонные тяжелого бетона (БСТ) на щебне из гравия, класс В7,5, F(1)150, W6</t>
  </si>
  <si>
    <t>ВОР 07-01-02, нет в СО — в ВОРе: 8.968+2.738 = 11.706; Источник: 03-01/07.21П-ПЗУ. ГЧ Приложение 1 (Файл: 03- 01_07.21П-ПЗУ .pdf, стр.: 8)</t>
  </si>
  <si>
    <t>ВОР 114</t>
  </si>
  <si>
    <t>Камни бортовые вибропрессованные тротуарные, размеры 1000х200х80 мм, цветные на сером цементе</t>
  </si>
  <si>
    <t>ВОР 07-01-02, нет в СО — в ВОРе: 190+58 = 248; Источник: 03-01/07.21П-ПЗУ. ГЧ Приложение 1 (Файл: 03- 01_07.21П-ПЗУ .pdf, стр.: 8)</t>
  </si>
  <si>
    <t>ВОР 128</t>
  </si>
  <si>
    <t>Щебень из плотных горных пород для строительных работ М 1200, фракция 5(3)-10 мм</t>
  </si>
  <si>
    <t>ВОР 07-01-02, нет в СО; Источник: 03-01/07.21П-ПЗУ. ГЧ Приложение 1 (Файл: 03- 01_07.21П-ПЗУ .pdf, стр.: 9)</t>
  </si>
  <si>
    <t>ВОР 132</t>
  </si>
  <si>
    <t>Грунтовка однокомпонентная цинконаполненная полиуретановая отверждаемая влагой воздуха для долговременной антикоррозионной защиты металла</t>
  </si>
  <si>
    <t>Клей однокомпонентный на основе полимерного дифенилметандиизоцианата для пенополиуретановых материалов (ППУ), расход 0,3 кг/м2</t>
  </si>
  <si>
    <t>Плитки из резиновой крошки цветные в один цвет, толщина 45 мм</t>
  </si>
  <si>
    <t>ВОР 143</t>
  </si>
  <si>
    <t>Плиты бетонные тротуарные, разного цвета, толщина 100 мм</t>
  </si>
  <si>
    <t>ВОР 07-01-02, нет в СО; Источник: 03-01/07.21П-ПЗУ. ГЧ Приложение 1 (Файл: 03- 01_07.21П-ПЗУ .pdf, стр.: 10)</t>
  </si>
  <si>
    <t>ВОР 144</t>
  </si>
  <si>
    <t>Смеси сухие цементно-песчаные кладочные, класс В7,5 (М100)</t>
  </si>
  <si>
    <t>ВОР 07-01-03 — Озеленение</t>
  </si>
  <si>
    <t>Семена газонных трав (смесь Городская)</t>
  </si>
  <si>
    <t>ВОР 07-01-03, нет в СО; Источник: 03-01/07.21П-ПЗУ.ГЧ Приложение 1. л. 11 (Файл: 03-01/07.21П-ПЗУ .pdf, стр.: 11)</t>
  </si>
  <si>
    <t>Ива белая шаровидная, высота 3,0-3,5 м</t>
  </si>
  <si>
    <t>ВОР 07-01-03, нет в СО; Источник: 03-01/07.21П-ПЗУ.ГЧ Приложение 1. л. 11 (Файл: 03-01_07.21П-ПЗУ .pdf, стр.: 11)</t>
  </si>
  <si>
    <t>Ель колючая, высота 1,5-2,0 м</t>
  </si>
  <si>
    <t>Сосна горная, высота 0,5-1,0 м</t>
  </si>
  <si>
    <t>Береза, высота 2,0-3,0 м</t>
  </si>
  <si>
    <t>Яблоня Недзвецкого, высота 2,0-3,0 м</t>
  </si>
  <si>
    <t>Чубушник (жасмин), высота 1,25-1,5 м</t>
  </si>
  <si>
    <t>ВОР 07-01-03, нет в СО; Источник: 03-01/07.21П-ПЗУ.ГЧ Приложение 1. л. 12 (Файл: 03-01_07.21П-ПЗУ .pdf, стр.: 12)</t>
  </si>
  <si>
    <t>Можжевельник виргинский и китайский, высота 0,6-0,7 м</t>
  </si>
  <si>
    <t>Пузыреплодник калинолистный, высота 1,251,5 м</t>
  </si>
  <si>
    <t>Спирея (разные виды), высота 1,25-1,5 м</t>
  </si>
  <si>
    <t>Дерен сибирский белый, высота 1,25-1,5 м</t>
  </si>
  <si>
    <t>Посадочный материал многолетних цветочных культур, хоста</t>
  </si>
  <si>
    <t>ВОР 07-01-03, нет в СО; Источник: 03-01/07.21П-ПЗУ.ГЧ Приложение 1. л. 12 (Файл: 03-01/07.21П-ПЗУ .pdf, стр.: 13)</t>
  </si>
  <si>
    <t>Посадочный материал многолетних цветочных культур, лаванда</t>
  </si>
  <si>
    <t>ВОР 07-01-03, нет в СО; Источник: 03-01/07.21П-ПЗУ.ГЧ Приложение 1. л. 13 (Файл: 03-01/07.21П-ПЗУ .pdf, стр.: 13)</t>
  </si>
  <si>
    <t>Посадочный материал многолетних цветочных культур, флокс</t>
  </si>
  <si>
    <t>Посадочный материал многолетних цветочных культур, чистец</t>
  </si>
  <si>
    <t>Посадочный материал однолетних цветочных культур, цинерария</t>
  </si>
  <si>
    <t>Посадочный материал однолетних цветочных культур, агератум</t>
  </si>
  <si>
    <t>Посадочный материал однолетних цветочных культур, кохия</t>
  </si>
  <si>
    <t>ВОР 07-01-03, нет в СО; Источник: 03-01/07.21П-ПЗУ.ГЧ Приложение 1. л. 13 (Файл: 03-01_07.21П-ПЗУ .pdf, стр.: 13)</t>
  </si>
  <si>
    <t>Посадочный материал многолетних цветочных культур, аквилегия</t>
  </si>
  <si>
    <t>ВОР 07-01-03, нет в СО; Источник: 03-01/07.21П-ПЗУ.ГЧ Приложение 1. л. 14 (Файл: 03-01_07.21П-ПЗУ .pdf, стр.: 14)</t>
  </si>
  <si>
    <t>Щебень кварцевый белый, фракция 2-5 мм</t>
  </si>
  <si>
    <t>Щебень из гравия для строительных работ М 1000, фракция 20-40 мм</t>
  </si>
  <si>
    <t>ВОР 33</t>
  </si>
  <si>
    <t>Полигональная фигура из стеклопластика Белый Медведь ДхШхВ: 2000х900х1000мм</t>
  </si>
  <si>
    <t>Урна "Блок Стил" Цвет: RAL 7040 ДхШхВ: 570х450х950мм</t>
  </si>
  <si>
    <t>ВОР 35</t>
  </si>
  <si>
    <t>Контейнер для мусора 0,24м3 0,24м3 ДхШхВ: 721х582х1069мм</t>
  </si>
  <si>
    <t>Велопарковка "Плот", чистый бетон ДхШхВ: 600х600х890мм</t>
  </si>
  <si>
    <t>Велопарковка "ВелоАрт"</t>
  </si>
  <si>
    <t>ВОР 38</t>
  </si>
  <si>
    <t>Парковая скамейка - галька ДхШхВ: 1800х1200х450мм</t>
  </si>
  <si>
    <t>ВОР 39</t>
  </si>
  <si>
    <t>Дизайнерский шезлонг ДхШхВ: 2000х700х400мм Производитель "Пластифор"</t>
  </si>
  <si>
    <t>ВОР 40</t>
  </si>
  <si>
    <t>Скамейка кресло "Фора со спинкой и подлокотниками", серый жемчуг/серый ДхШхВ: 2000х670х860мм Производитель "Евровазон"</t>
  </si>
  <si>
    <t>ВОР 41</t>
  </si>
  <si>
    <t>Уличная скамья "Фора", серый жемчуг/серый ДхШхВ: 2000х500х450мм Производитель "Евровазон"</t>
  </si>
  <si>
    <t>ВОР 07-01-03, нет в СО; Источник: 03-01/07.21П-ПЗУ.ГЧ Приложение 1. л. 15 (Файл: 03-01_07.21П-ПЗУ .pdf, стр.: 14)</t>
  </si>
  <si>
    <t>ВОР 42</t>
  </si>
  <si>
    <t>Навес теневой тип 5, Комплект со стенкой, скамейкой и урной ДхШхВ: 5000х2000х2800мм Производитель «Хоббика»</t>
  </si>
  <si>
    <t>Контейнерная площадка «Экология», Артикул: 19441 ДхШхВ: 5600х2500х2268мм Производитель «Хоббика»</t>
  </si>
  <si>
    <t>ОБЩЕСТРОИТЕЛЬНЫЕ / ВСПОМОГАТЕЛЬНЫЕ МАТЕРИАЛЫ ИЗ ВОРа (земляные работы, ПОС) — в спецификацию обычно не входят</t>
  </si>
  <si>
    <t>Щиты настила, толщина 40 мм</t>
  </si>
  <si>
    <t>ВОР 06-01-01, вспомогательные; Источник: 03-01/07.21П-ПОС.ТЧ. Приложение Д. л. 179 (Файл: 03-01/07.21П-ПОС.pdf, стр.: 1)</t>
  </si>
  <si>
    <t>Насосы грязевые погружные, производительность 10 м3/ч, напор до 10 м</t>
  </si>
  <si>
    <t>маш.-ч</t>
  </si>
  <si>
    <t>ВОР 06-01-01, вспомогательные; Источник: 03-01/07.21П-ПОС.ТЧ. Приложение Д. л. 174 (Файл: 03-01_07.21П-ПОС.pdf, стр.: 1)</t>
  </si>
  <si>
    <t>ВОР 06-01-01, вспомогательные; Источник: 03-01/07.21П-ПОС.ТЧ. Приложение Д. л. 179 (Файл: 03-01_07.21П-ПОС.pdf, стр.: 1)</t>
  </si>
  <si>
    <t>ВОР 06-01-01, вспомогательные; Источник: 03-01/07.21П-ПОС.ТЧ. Приложение Д. л. 180 (Файл: 03-01_07.21П-ПОС.pdf, стр.: 1)</t>
  </si>
  <si>
    <t>ВОР 06-01-01, вспомогательные; Источник: 03-01/07.21П-ПОС.ТЧ. Приложение Д. л. 180 (Файл: 03-01/07.21П-ПОС.pdf, стр.: 1)</t>
  </si>
  <si>
    <t>Щебень из плотных горных пород для строительных работ М 400, фракция 20-40 мм</t>
  </si>
  <si>
    <t>ВОР 06-01-02, вспомогательные; Источник: 03-01/07.21П-ПОС.ТЧ. Приложение Д. л. 181-182 (Файл: 03-01/07.21П-ПОС.pdf, стр.: 1)</t>
  </si>
  <si>
    <t>ВОР 06-01-02, вспомогательные; Источник: 03-01/07.21П-ПОС.ТЧ. Приложение Д. л. 181-182 (Файл: 03-01_07.21П-ПОС.pdf, стр.: 1)</t>
  </si>
  <si>
    <t>ВОР 06-01-02, вспомогательные; Источник: 03-01/07.21П-ПОС.ТЧ. Приложение Д. л. 175 (Файл: 03-01_07.21П-ПОС.pdf, стр.: 1)</t>
  </si>
  <si>
    <t>ВОР 28</t>
  </si>
  <si>
    <t>ВОР 30</t>
  </si>
  <si>
    <t>ВОР 46</t>
  </si>
  <si>
    <t>ВОР 06-01-02, вспомогательные; Источник: 03-01/07.21П-ПОС.ТЧ. Приложение Д. л. 183 (Файл: 03-01_07.21П-ПОС.pdf, стр.: 1)</t>
  </si>
  <si>
    <t>ВОР 06-01-02, вспомогательные; Источник: 03-01/07.21П-ПОС.ТЧ. Приложение Д. л. 176 (Файл: 03-01_07.21П-ПОС.pdf, стр.: 1)</t>
  </si>
  <si>
    <t>ВОР 55</t>
  </si>
  <si>
    <t>ВОР 06-01-02, вспомогательные; Источник: 03-01/07.21П-ПОС.ТЧ. Приложение Д. л. 184 (Файл: 03-01/07.21П-ПОС.pdf, стр.: 1)</t>
  </si>
  <si>
    <t>ВОР 59</t>
  </si>
  <si>
    <t>ВОР 67</t>
  </si>
  <si>
    <t>ВОР 69</t>
  </si>
  <si>
    <t>ВОР 06-01-02, вспомогательные; Источник: 03-01/07.21П-ПОС.ТЧ. Приложение Д. л. 184 (Файл: 03-01_07.21П-ПОС.pdf, стр.: 1)</t>
  </si>
  <si>
    <t>ВОР 06-01-04, вспомогательные; Источник: 03-01/07.21П-ПОС.ТЧ. Приложение Д л. 186 (Файл: 03-01/07.21П-ИОС4.4.pdf, стр.: 185)</t>
  </si>
  <si>
    <t>ВОР 06-01-04, вспомогательные; Источник: 03-01/07.21П-ИОС.4.4.СО л. 1 (Файл: 03-01_07.21П- ИОС4.4.pdf, стр.: 1)</t>
  </si>
  <si>
    <t>ВОР 06-01-04, вспомогательные; Источник: 03-01/07.21П-ПОС.ТЧ. Приложение Д л. 186 (Файл: 03-01_07.21П-ИОС4.4.р#, стр.: 186)</t>
  </si>
  <si>
    <t>Сталь арматурная горячекатаная периодического профиля, класс A-III, диаметр 12 мм</t>
  </si>
  <si>
    <t>ВОР 06-01-04, вспомогательные; Источник: 03-01/07.21П-ИОС.4.4.СО л. 4,5 (Файл: 03- 01_07.21П-ИОС4.4.pdf, стр.: 4)</t>
  </si>
  <si>
    <t>ВОР 60</t>
  </si>
  <si>
    <t>ВОР 97</t>
  </si>
  <si>
    <t>Порошок (глинопорошок) бентонитовый для приготовления буровых растворов, выход раствора 8,0-11,0 м3/т</t>
  </si>
  <si>
    <t>ВОР 06-01-04, вспомогательные; Источник: 03-01/07.21П-ИОС.4.4.СО л. 4,5 (Файл: 03- 01_07.21П-ИОС4.4.pdf, стр.: 4 5)</t>
  </si>
  <si>
    <t>ВОР 98</t>
  </si>
  <si>
    <t>Состав на основе анионных ПАВ для кондиционирования грунтов, плотность 1,04 г/см3 при температуре +20 °C</t>
  </si>
  <si>
    <t>ВОР 108</t>
  </si>
  <si>
    <t>Сталь арматурная горячекатаная периодического профиля, класс A-III, диаметр 8 мм</t>
  </si>
  <si>
    <t>ВОР 109</t>
  </si>
  <si>
    <t>ВОР 112</t>
  </si>
  <si>
    <t>Сталь арматурная горячекатаная периодического профиля, класс A-III, диаметр 10 мм</t>
  </si>
  <si>
    <t>За каждую остановку, более или менее указанных в характеристике лифта, добавлять или уменьшать для лифтов грузоподъемностью: до 1000 кг</t>
  </si>
  <si>
    <t>ВОР 02-01-12, сметная корректировка ГЭСН (отрицат. кол-во) — НЕ закупка; Источник: 03-01/07.21П-ТХ.2. л.10 (Файл: Раздел_03-0107.21П ТХ.2!.pdf, стр.: 1)</t>
  </si>
  <si>
    <t>За каждый метр высоты шахты, более или менее указанных в характеристике лифта, добавлять или уменьшать для лифтов грузоподъемность: до 1000 кг</t>
  </si>
  <si>
    <t>Добавлять или уменьшать на каждую остановку, более или менее 6 остановок, грузоподъемность: 500 кг</t>
  </si>
  <si>
    <t>ВОР 02-01-12, сметная корректировка ГЭСН (отрицат. кол-во) — НЕ закупка; Источник: 03-01/07.21П-ТХ.2. л.39 (Файл: Раздел_03-0107.21П ТХ.2!.pdf, стр.: 1)</t>
  </si>
  <si>
    <t>Добавлять или уменьшать за каждый 1 м высоты шахты, более или менее 22,5 м, грузоподъемность: 500, 1000 кг</t>
  </si>
  <si>
    <t xml:space="preserve">  </t>
  </si>
  <si>
    <t>ИТОГО, руб. с НДС:</t>
  </si>
  <si>
    <t>ЧТО ЕСТЬ В ВОРах, НО ОТСУТСТВУЕТ В СПЕЦИФИКАЦИЯХ (СО)</t>
  </si>
  <si>
    <t>Правило: позиция есть и в СО, и в ВОРе — берём как в СО. В СО нет, а в ВОРе есть — берём по ВОРу. Складывать СО и ВОР нельзя.</t>
  </si>
  <si>
    <t>Здесь только второе — то, чего в СО нет вообще. Это то, что придётся закупать и расценивать сверх спецификаций.</t>
  </si>
  <si>
    <t>Кол-во, цена и сумма подтянуты формулами с листа «Спецификация» — править их надо там, здесь пересчитается само. Колонка J — номер строки-источника.</t>
  </si>
  <si>
    <t>Блок ВОР 02-01-11 (ТХ.2) на листе «Спецификация» сокращён с 369 строк до 3: остальные 366 были дублями ТХ.2.СО. Их цены (257 100 ₽) перенесены на строки ТХ.2.СО, ИТОГО книги не изменилось.</t>
  </si>
  <si>
    <t>№</t>
  </si>
  <si>
    <t>Раздел / дисциплина ВОР</t>
  </si>
  <si>
    <t>№ по ВОР</t>
  </si>
  <si>
    <t>Наименование</t>
  </si>
  <si>
    <t>Тип, марка</t>
  </si>
  <si>
    <t>Строка в «Спецификации»</t>
  </si>
  <si>
    <t>Статус цены</t>
  </si>
  <si>
    <t>Примечание в книге</t>
  </si>
  <si>
    <t>Логистика — перевозка грузов (из ВОРов)   (15 поз.)</t>
  </si>
  <si>
    <t>Логистика — перевозка грузов (из ВОРов)</t>
  </si>
  <si>
    <t>03-01/07.21П-ООС.ТЧ. л 47 (Файл: 03-01_07.21П- ПЗУ.pdf, стр.: 178 179)</t>
  </si>
  <si>
    <t>ВОР 01-01-01, логистика</t>
  </si>
  <si>
    <t>03-01/07.21П-ПОС.ТЧ. Приложение Д л. 179,187 (Файл: 03-01_07.21П-КР.pdf, стр.: 179)</t>
  </si>
  <si>
    <t>03-01/07.21П-ИОС.1.5. л.10 (Файл: 03-01_07.21П- ИОС.1.5.pdf, стр.: 10)</t>
  </si>
  <si>
    <t>т груз а</t>
  </si>
  <si>
    <t>ВОР 04-01-01, логистика</t>
  </si>
  <si>
    <t>03-01/07.21П-ПОС.ТЧ. Приложение Д. л. 179 (Файл: 03-01_07.21П-ПОС.pdf, стр.: 1)</t>
  </si>
  <si>
    <t>ВОР 06-01-01, логистика</t>
  </si>
  <si>
    <t>03-01/07.21П-ПОС.ТЧ. Приложение Д. л. 180 (Файл: 03-01_07.21П-ПОС.pdf, стр.: 1)</t>
  </si>
  <si>
    <t>03-01/07.21П-ПОС.ТЧ. Приложение Д. л. 186 (Файл: 03-01_07.21П-ПОС.pdf, стр.: 1)</t>
  </si>
  <si>
    <t>1т</t>
  </si>
  <si>
    <t>ВОР 06-01-02, логистика</t>
  </si>
  <si>
    <t>03-01/07.21П-ПОС.ТЧ. Приложение Д. л. 181-182 (Файл: 03-01_07.21П-ПОС.pdf, стр.: 1)</t>
  </si>
  <si>
    <t>03-01/07.21П-ПОС.ТЧ. Приложение Д. л. 184 (Файл: 03-01_07.21П-ПОС.pdf, стр.: 1)</t>
  </si>
  <si>
    <t>03-01/07.21П-ПОС.ТЧ. Приложение Д л. 186 (Файл: 03-01_07.21П-ИОС4.4.pdf, стр.: 186)</t>
  </si>
  <si>
    <t>ВОР 06-01-04, логистика</t>
  </si>
  <si>
    <t>03-01/07.21П-ПЗУ.ГЧ л.6 (Файл: 03-01_07.21П- ПЗУ.pdf.pdf, стр.: 55)</t>
  </si>
  <si>
    <t>ВОР 07-01-02, логистика</t>
  </si>
  <si>
    <t>03-01/07.21П-ИОС.1.4.ГЧ л.2 (Файл: 03-01_07.21П- ИОС.1.4.pdf, стр.: 18 19 20 21)</t>
  </si>
  <si>
    <t>ВОР 07-01-04, логистика</t>
  </si>
  <si>
    <t>Итого по разделу</t>
  </si>
  <si>
    <t>Позиции из ВОРов, вставленные в разделы СО (ИОС)   (46 поз.)</t>
  </si>
  <si>
    <t>Позиции из ВОРов, вставленные в разделы СО (ИОС)</t>
  </si>
  <si>
    <t>Умывальник полуфарфоровый и фарфоровый прямоугольный с кронштейнами, сифоном бутылочным из латуни, выпуском, одно отверстие под смеситель, смеситель с центральным подводом, набортный с двумя рукоятями, излив с развальцованным носиком, вынос излива 280 мм, размеры 450x330x150 мм</t>
  </si>
  <si>
    <t>03-01/07.21П-ИОС 2.1.ГЧ Спецификация (Файл: 03- 01_07.21П-ИОС.2.pdf стр.: 1 2 3 4 5 6)</t>
  </si>
  <si>
    <t>к-т</t>
  </si>
  <si>
    <t>ВОР, нет в СО</t>
  </si>
  <si>
    <t>Унитаз керамический напольный в комплекте с бачком, с косым выпуском, размеры 360x620x765 мм</t>
  </si>
  <si>
    <t>Писсуар настенный керамический, подвод воды скрытый, вход слива скрытый, размеры 275x310x540 мм, с краном нажимным, центральным подводом, набортный, размеры 215x104x50 мм</t>
  </si>
  <si>
    <t>Мойка стальная эмалированная, одна чаша, с креплениями, с пластмассовым бутылочным сифоном и выпуском, размеры 500x500x160 мм</t>
  </si>
  <si>
    <t>03-01/07.21П-ИОС 2.1.ГЧ Спецификация (Файл: 03- 01 07.21П-ИОС.2.pdf стр.: 1 2 3 4 5 6)</t>
  </si>
  <si>
    <t>03-01/07.21П-ИОС 3.1 ГЧ. Спецификация л. 1 (Файл: 03-01_07.21П-ИОС3.1.pdf, стр.: 1)</t>
  </si>
  <si>
    <t>03-01/07.21П-ИОС 3.1 ГЧ. Спецификация л. 2 (Файл: 03-01_07.21П-ИОС3.1.pdf, стр.: 1)</t>
  </si>
  <si>
    <t>03-01/07.21П-ИОС 3.1 ГЧ. Спецификация л. 2 (Файл: 03-01 07.21П-ИОС3.1.pdf, стр.: 1)</t>
  </si>
  <si>
    <t>03-01/07.21П-ИОС3.2.СО л.1 (Файл: 03-01_07.21П- ИОС3.2.pdf, стр.: 17)</t>
  </si>
  <si>
    <t>03-01/07.21П-ИОС.4.1.СО л.5 (Файл: 03-0107.21П- ИОС 4.3.pdf, стр.: 1 2 3 4 5 6)</t>
  </si>
  <si>
    <t>03-01/07.21П-ИОС.4.2.СО Спецификация л.20 (Файл: 03-01_07.21П-ИОС.4.2.pdf, стр.: 1 2 3 4 5)</t>
  </si>
  <si>
    <t>03-01/07.21П-ИОС.4.2.СО Спецификация л.22 (Файл: 03-01_07.21П-ИОС.4.2.pdf, стр.: 1 2 3 4 5)</t>
  </si>
  <si>
    <t>Комплект медных рефнет (разветвителей) с переходниками для газовой и жидкостной линий трубных систем кондиционирования, диаметр входа рефнеты газовой линии 12,7x15,88x19,05 мм, диаметр входа рефнеты жидкостной линии 9,52x12,7 мм</t>
  </si>
  <si>
    <t>03-01/07.21П-ИОС.4.2.СО Спецификация л.24 (Файл: 03-01_07.21П-ИОС.4.2.pdf, стр.: 1 2 3 4 5)</t>
  </si>
  <si>
    <t>ВОР, нет в СО. Проверить: насос ручной опрессовочный - инструмент для испытаний, решить, включать ли в закупку</t>
  </si>
  <si>
    <t>03-01/07.21П-ИОС.4.4.СО л. 4 (Файл: 03-01_07.21П- HCOM.pdf, стр.: 2)</t>
  </si>
  <si>
    <t>ВОР, нет в СО. Проверить по ИОС.4.4 л.4: кожух изоляции отвода (в СО нет) или стальной отвод (в СО есть 90-159х5 и 90-42,4х5 по 4 шт = те же 4+4)?</t>
  </si>
  <si>
    <t>03-01/07.21П-ИОС.4.4.СО л. 4,5 (Файл: 03- 01 07.21П-ИОС4.4.pdf, стр.: 4 5)</t>
  </si>
  <si>
    <t>ВОР, нет в СО. Проверить по ИОС.4.4 л.4,5: кожух изоляции отвода (в СО нет) или стальной отвод (в СО есть 90-159х5 и 90-42,4х5 по 4 шт = те же 4+4)?</t>
  </si>
  <si>
    <t>ВОР, нет в СО. Проверить: в СО есть заглушка фланцевая Ду80 Ру40, 2 шт — у ВОРа Ду100. Расхождение диаметра</t>
  </si>
  <si>
    <t>03-01/07.21П-ИОС.5.1.СО л.6 (Файл: Том СС 03- 0107.21П-ИОС.5.1.pdf, стр.: 1 2 3 4)</t>
  </si>
  <si>
    <t>ВОР, нет в СО — ПРОВЕРИТЬ: та же длина 160 м, что у поз. 1.121 (ВОК 8 волокон), марка иная</t>
  </si>
  <si>
    <t>ВОР 01-01-01 — Общестроительные работы и конструкции (КР)   (19 поз.)</t>
  </si>
  <si>
    <t>03-01/07.21П-ПОС.ТЧ. Приложение Д л. 179 (Файл: 03-01 07.21П-КР.pdf, стр.: 179)</t>
  </si>
  <si>
    <t>ВОР 01-01-01, нет в СО; есть в КР.СО</t>
  </si>
  <si>
    <t>03-01/07.21П-КР.СО. Спецификация п. 34 (Файл: 03- 01_07.21П-КР.pdf, стр.: 4)</t>
  </si>
  <si>
    <t>ВОР 01-01-01, нет в СО — в ВОРе: 0.483×3 + 1.288×2 + 0.575×2 + 0.31×2 + 0.38×2 + 0.69×2 + 3.68 + 10.626 + 1.38 + 1.1 + 1.208 + 0.356 + 2.254 + 0.966 + 0.713 + 1.046 + 3.864 + 0.805 + 0.92 + 4.025 = 40.879; есть в КР.СО</t>
  </si>
  <si>
    <t>03-01/07.21П-КР.СО. Спецификация п. 31 (Файл: 03- 01_07.21П-КР.pdf, стр.: 4)</t>
  </si>
  <si>
    <t>ВОР 01-01-01, нет в СО — в ВОРе: 12.316×3 + 32.844×2 + 9.752×2 + 17.595×2 + 93.84 + 270.963 + 35.54 + 29.256 + 30.774 + 9.143 + 14.777 + 57.477 + 24.633 + 18.067 + 7.82 + 26.599 + 14.775 + 98.532 + 20.516 + 7.935 + 24.38 + 74.52 = 1016.879; есть в КР.СО</t>
  </si>
  <si>
    <t>03-01/07.21П-КР.СО. Спецификация п. 20 (Файл: 03- 01_07.21П-КР.pdf, стр.: 3)</t>
  </si>
  <si>
    <t>ВОР 01-01-01, нет в СО — в ВОРе: 3.06×3 + 24.48×2 + 9.792×2 + 3.672×2 + 6.12×2 + 1.938×2 + 2.448×2 + 4.59×2 + 67.32 + 9.18 + 7.344 + 7.65 + 2.244 + 14.28 + 4.488 + 6.63 + 5.1 + 418.2 + 188.7 + 16.32 + 11.22 + 15.3 = 889.236; есть в КР.СО</t>
  </si>
  <si>
    <t>03-01/07.21П-КР.СО. Спецификация п. 21 (Файл: 03- 01_07.21П-КР.pdf, стр.: 3)</t>
  </si>
  <si>
    <t>ВОР 01-01-01, нет в СО — в ВОРе: 0.424×3 + 0.132×3 + 0.363×2 + 0.369×2 + 0.264×2 + 0.424×2 + 0.13×2 + 1.84 + 3.8 + 0.133 + 0.566 + 0.577 + 0.107 + 0.218 + 1.697 + 0.289 + 0.26 + 6.912 + 2.478 + 1.39 + 1.115 + 0.095 + 0.371 + 0.932 + 0.312 + 0.014 + 0.217 + 0.094 + 0.204 = 28.389; есть в КР.СО</t>
  </si>
  <si>
    <t>ВОР 01-01-01, нет в СО — в ВОРе: 1.53×5 + 9.744×5 + 4.6×3 + 2.305×3 + 39.382×2 + 6.12×2 + 17.722×2 + 2.764×2 + 3.366×2 + 23.751×2 + 126.672 + 24.48 + 324.901 + 50.49 + 35.525 + 15.3 + 29.232 + 12.24 + 30.755 + 4.59 + 9.135 + 68.918 + 10.72 + 29.537 + 21.66 + 7.816 + 31.901 + 4.967 + 118.146 + 18.401 + 20.503 + 3.06 + 7.917 + 24.36 + 154.787 + 55.013 + 982.52 + 785.61 + 66.99 + 28 + 150 + 70.035 + 6.5 + 53 + 65.975 + 54.81 + 95.41 + 83 = 3946.173; есть в КР.СО</t>
  </si>
  <si>
    <t>03-01/07.21П-КР.СО. Спецификация п. 22 (Файл: 03- 01_07.21П-КР.pdf, стр.: 3)</t>
  </si>
  <si>
    <t>ВОР 01-01-01, нет в СО — в ВОРе: 0.093×5 + 0.155×3 + 0.051×3 + 0.52×2 + 0.206×2 + 0.113×2 + 0.8 + 1.7 + 0.412 + 0.154 + 0.11 + 0.361 + 0.167 + 0.618 + 0.103 + 169.3 + 69.4 + 6.1 + 7.7 = 259.686; есть в КР.СО</t>
  </si>
  <si>
    <t>03-01/07.21П-КР.СО. Спецификация п. 23 (Файл: 03- 01_07.21П-КР.pdf, стр.: 3)</t>
  </si>
  <si>
    <t>ВОР 01-01-01, нет в СО — в ВОРе: 0.64×5 + 1.422×2 + 0.422×2 + 0.836×2 + 4.5 + 11.74 + 1.54 + 1.267 + 1.333 + 0.396 + 2.489 + 1.067 + 0.782 + 0.339 + 1.152 + 4.267 + 0.889 + 0.343 + 1.056 + 6.044 + 2.534 + 101.5 + 10.4 + 3.1 + 28.436 + 12.639 + 4.9 + 0.57 + 4.211 + 2 + 9.3 + 6.1 + 7.211 = 240.666; есть в КР.СО</t>
  </si>
  <si>
    <t>03-01/07.21П-КР.СО. Спецификация п. 24,25 (Файл: 03-01_07.21П-КР.pdf, стр.: 3)</t>
  </si>
  <si>
    <t>ВОР 01-01-01, нет в СО — в ВОРе: 0.229×5 + 0.382×4 + 0.127×3 + 1.272×2 + 0.509×2 + 0.28×2 + 2.04 + 4.2 + 1.018 + 0.24 + 0.89 + 0.412 + 1.526 + 0.254 + 6.316 + 2.648 + 4.5 + 2.2 + 1.89 + 1.472 + 0.614 + 1.3 + 0.037 + 0.269 + 0.9 + 1.5 = 41.401; есть в КР.СО</t>
  </si>
  <si>
    <t>03-01/07.21П-КР.СО. Спецификация п. 26 (Файл: 03- 01_07.21П-КР.pdf, стр.: 3)</t>
  </si>
  <si>
    <t>ВОР 01-01-01, нет в СО — в ВОРе: 0.19×7 + 0.095×3 + 1.52 + 3.136 + 0.57 + 0.095 + 0.38 + 0.19 + 0.019 + 0.665 + 0.285 + 0.475 + 1.14 + 0.38 = 10.473; есть в КР.СО</t>
  </si>
  <si>
    <t>03-01/07.21П-КР.СО. Спецификация п. 27 (Файл: 03- 01_07.21П-КР.pdf, стр.: 3)</t>
  </si>
  <si>
    <t>ВОР 01-01-01, нет в СО — в ВОРе: 0.205×3 + 0.547×2 + 0.246×2 + 0.162×2 + 0.292×2 + 1.555 + 4.514 + 0.593 + 0.488 + 0.513 + 0.152 + 0.958 + 0.41 + 0.301 + 0.13 + 0.443 + 1.642 + 0.342 + 0.132 + 0.406 + 2.772 + 1.231 + 18.06 + 3.3 + 9.366 + 1.176 + 1.013 + 1.281 + 1.57 = 55.458; есть в КР.СО</t>
  </si>
  <si>
    <t>ВОР 01-01-01, нет в СО — в ВОРе: 0.014×3 + 0.036×2 + 0.016×2 + 0.011×2 + 0.019×2 + 0.104 + 0.301 + 0.04 + 0.033 + 0.034 + 0.01 + 0.064 + 0.027 + 0.02 + 0.009 + 0.03 + 0.109 + 0.023 + 0.009 + 0.027 + 0.185 + 0.082 + 0.688 + 0.12 + 0.357 + 0.045 + 0.068 + 0.049 + 0.105 = 2.743; есть в КР.СО</t>
  </si>
  <si>
    <t>03-01/07.21П-КР.СО. Спецификация п. 56 (Файл: 03- 01_07.21П-КР.pdf, стр.: 5)</t>
  </si>
  <si>
    <t>ВОР 01-01-01, нет в СО — в ВОРе: 0.271×6 + 2.708 + 2.17 + 0.814 + 2.712 = 10.03; есть в КР.СО</t>
  </si>
  <si>
    <t>03-01/07.21П-КР.СО. Спецификация п. 415 (Файл: 03-01_07.21П-КР.pdf, стр.: 19)</t>
  </si>
  <si>
    <t>ВОР 01-01-01, нет в СО — в ВОРе: 10.065+4.22 = 14.285; есть в КР.СО</t>
  </si>
  <si>
    <t>03-01/07.21П-КР.СО. Спецификация п. 429 (Файл: 03-01_07.21П-КР.pdf, стр.: 20)</t>
  </si>
  <si>
    <t>ВОР 01-01-01, нет в СО — в ВОРе: 9460+1725+4906+616+671 = 17378; есть в КР.СО</t>
  </si>
  <si>
    <t>03-01/07.21П-КР.СО. Спецификация п. 434 (Файл: 03-01_07.21П-КР.pdf, стр.: 20)</t>
  </si>
  <si>
    <t>ВОР 01-01-01, нет в СО — в ВОРе: 107.5+55.75+7+7.625 = 177.875; есть в КР.СО</t>
  </si>
  <si>
    <t>03-01/07.21П-КР.СО. Спецификация п. 431 (Файл: 03-01_07.21П-КР.pdf, стр.: 20)</t>
  </si>
  <si>
    <t>03-01/07.21П-КР.СО. Спецификация п. 456-459 (Файл: 03-01_07.21П-КР.pdf, стр.: 21)</t>
  </si>
  <si>
    <t>ВОР 01-01-01, нет в СО — в ВОРе: 1292.907+3253.481+50.242+755.87+713.443 = 6065.945; есть в КР.СО</t>
  </si>
  <si>
    <t>ВОР 01-01-01, нет в СО — в ВОРе: 13.856+6.645+0.346+2.845+4.4+6.845 = 34.937; есть в КР.СО</t>
  </si>
  <si>
    <t>ВОР 02-01-02 — Металлоконструкции   (9 поз.)</t>
  </si>
  <si>
    <t>03-01/07.21П-КР.СО л. 1 п.2 (Файл: Раздел_03- 0107.21П-КР!.pdf, стр.: 1)</t>
  </si>
  <si>
    <t>ВОР 02-01-02, нет в СО — в ВОРе: 473.37+82.54 = 555.91</t>
  </si>
  <si>
    <t>ВОР 02-01-02, нет в СО</t>
  </si>
  <si>
    <t>ВОР 02-01-02, нет в СО — в ВОРе: 64.31+77.25+8.29+13.48+0.864 = 164.194</t>
  </si>
  <si>
    <t>ВОР 02-01-02, нет в СО — в ВОРе: 48.29+141.22+72.81 = 262.32</t>
  </si>
  <si>
    <t>ВОР 02-01-02, нет в СО — в ВОРе: 34.25+84.48+200.77 = 319.5</t>
  </si>
  <si>
    <t>03-01/07.21П-КР.СО л. 2 п.4 (Файл: Раздел_03- 0107.21П-КР!.pdf, стр.: 2)</t>
  </si>
  <si>
    <t>ВОР 02-01-02, нет в СО — в ВОРе: 22.11+38.74+121.68 = 182.53</t>
  </si>
  <si>
    <t>03-01/07.21П-КР.СО л. 1 п.1 (Файл: Раздел_03- 0107.21П-КР!.pdf, стр.: 1)</t>
  </si>
  <si>
    <t>03-01/07.21П-КР.СО л. 2 п.6 (Файл: Раздел_03- 0107.21П-КР!.pdf, стр.: 2)</t>
  </si>
  <si>
    <t>03-01/07.21П-КР.СО л. 3. п 15 (Файл: Раздел_03- 0107.21П-КР!.pdf, стр.: 3)</t>
  </si>
  <si>
    <t>ВОР 02-01-02, нет в СО — в ВОРе: 30984.525+369.6+-107.52+10699.425+12450.24+2029.5+3306.24 = 59732.01</t>
  </si>
  <si>
    <t>ВОР 02-01-03 — Архитектурные решения (АР)   (102 поз.)</t>
  </si>
  <si>
    <t>03-01/07.21П-АР.1 ГЧ л 1,2,4,17,26,34 (Файл: 03- 01_07.21П-АР.1.pdf, стр.: 1 2 4 17 26 34)</t>
  </si>
  <si>
    <t>ВОР 02-01-03, нет в СО — в ВОРе: 133.46+555.645+79.713+388.528+307.204+714.877 = 2179.427</t>
  </si>
  <si>
    <t>ВОР 02-01-03, нет в СО</t>
  </si>
  <si>
    <t>Витраж из алюминиевого профиля шириной 45 мм с термовставкой, окрашенный, с двойным стеклопакетом толщиной 32 мм, с двумя поворотно-откидными створками размером 715x1390 мм, в комплекте с нащельниками и сливами</t>
  </si>
  <si>
    <t>Витраж из алюминиевого профиля шириной 45 мм без термовставки, окрашенный, с одинарным остеклением, толщина стекла 6 мм и сэндвич-панель, толщина 10 мм, с двумя поворотно-откидными створками размером 715x1390 мм, в комплекте с нащельниками и сливами</t>
  </si>
  <si>
    <t>ВОР 02-01-03, нет в СО — в ВОРе: 1253.06+31.43 = 1284.49</t>
  </si>
  <si>
    <t>03-01/07.21П-АР.1 ГЧ л 1,2,4,17,26,34 (Файл: 03- 01 07.21П-АР.1.pdf, стр.: 1 2 4 17 26 34)</t>
  </si>
  <si>
    <t>ВОР 02-01-03, нет в СО — в ВОРе: 2211+4402.82 = 6613.82</t>
  </si>
  <si>
    <t>ВОР 02-01-03, нет в СО — в ВОРе: 2371.44+1955.25 = 4326.69</t>
  </si>
  <si>
    <t>03-01/07.21П-АР.1 ГЧ л 11,13,34 (Файл: 03- 01 07.21П-АР.1.pdf, стр.: 34 11 13)</t>
  </si>
  <si>
    <t>ВОР 02-01-03, нет в СО — в ВОРе: 5.857×2 + 7.786 + 15.572 + 33.624 + 58.842 + 0.802 + 1.604 + 11.113 + 22.226 + 3.298 + 5.745 + 17.235 + 6.144 + 12.288 + 14.298 + 42.893 + 23.883 + 55.728 = 344.795</t>
  </si>
  <si>
    <t>03-01/07.21П-АР.1 ГЧ л 11,13,34 (Файл: 03- 01_07.21П-АР.1.pdf, стр.: 34 11 13)</t>
  </si>
  <si>
    <t>ВОР 02-01-03, нет в СО — в ВОРе: 385.487 + 1664.722 + 39.703 + 155.631 + 550.197 + 284.436 + 310.999 + 304.192 + 707.869 + 290.001 = 4693.238</t>
  </si>
  <si>
    <t>ВОР 02-01-03, нет в СО — в ВОРе: 2.256+9.741+1.697 = 13.694</t>
  </si>
  <si>
    <t>ВОР 02-01-03, нет в СО — в ВОРе: 10.734 + 8.051 + 1.594 + 1.196 + 2.792 + 2.094 + 3.207 + 5.613 + 6.455 + 2.916 + 2.187 + 0.448 = 47.286</t>
  </si>
  <si>
    <t>ВОР 02-01-03, нет в СО — в ВОРе: 589.333+87.528+153.261+176.098 = 1006.219</t>
  </si>
  <si>
    <t>ВОР 02-01-03, нет в СО — в ВОРе: 1294.427+192.249+336.626+386.786+3137.61+3137.61 = 8485.309</t>
  </si>
  <si>
    <t>03-01/07.21П-АР.1 ГЧ л 11,13,34 (Файл: 03- 01_07.21П-AK1.pdf, стр.: 34 11 13)</t>
  </si>
  <si>
    <t>ВОР 02-01-03, нет в СО — в ВОРе: 5.425+21.264+42.493 = 69.182</t>
  </si>
  <si>
    <t>ВОР 02-01-03, нет в СО — в ВОРе: 7.936+15.858+7.361+33.452+18.011+217.33+53.55 = 353.498</t>
  </si>
  <si>
    <t>ВОР 02-01-03, нет в СО — в ВОРе: 3.143+12.574+6.282+12.563 = 34.562</t>
  </si>
  <si>
    <t>ВОР 02-01-03, нет в СО — в ВОРе: 6.537+0.938+4.571+3.614+8.41 = 24.07</t>
  </si>
  <si>
    <t>ВОР 02-01-03, нет в СО — в ВОРе: 39.791+59.686 = 99.477</t>
  </si>
  <si>
    <t>ВОР 02-01-03, нет в СО — в ВОРе: 1.204+1.215+2.923+40.857+1.621+22.658 = 70.478</t>
  </si>
  <si>
    <t>ВОР 02-01-03, нет в СО — в ВОРе: 0.13+0.072 = 0.202</t>
  </si>
  <si>
    <t>03-01/07.21П-АР.1 ГЧ л 36 (Файл: 03-01_07.21П- АР.1.pdf стр.: 36)</t>
  </si>
  <si>
    <t>03-01/07.21П-АР.1 ГЧ л 14 (Файл: 03-01_07.21П- АР.1.pdf стр.: 14)</t>
  </si>
  <si>
    <t>ВОР 02-01-03, нет в СО — в ВОРе: 4726+1717 = 6443</t>
  </si>
  <si>
    <t>ВОР 02-01-03, нет в СО — в ВОРе: 651.99+15.6+241.174+80.391 = 989.156</t>
  </si>
  <si>
    <t>(Файл: 03-01_07.21П-АР.1.pdf, стр.: 14)</t>
  </si>
  <si>
    <t>03-01/07.21П-АР.1 ГЧ л 28 (Файл: 03-01_07.21П- АР.1.pdf, стр.: 28)</t>
  </si>
  <si>
    <t>ВОР 02-01-03, нет в СО — в ВОРе: 4.536+73.5+18.48+18.522 = 115.038</t>
  </si>
  <si>
    <t>ВОР 02-01-03, нет в СО — в ВОРе: 15.12+75.768+29.484 = 120.372</t>
  </si>
  <si>
    <t>ВОР 02-01-03, нет в СО — в ВОРе: 4.116+14.406+22.176 = 40.698</t>
  </si>
  <si>
    <t>Блок дверной металлический противопожарный однопольный, предел огнестойкости EI 30, с заполнением минеральной ватой, окрашенный порошковыми красками, с замком-защелкой, без доводчика, размеры 1000x2100 мм</t>
  </si>
  <si>
    <t>ВОР 02-01-03, нет в СО — в ВОРе: 2+14+24 = 40</t>
  </si>
  <si>
    <t>Блок дверной металлический противопожарный однопольный, предел огнестойкости EI 60, с заполнением минеральной ватой, окрашенный порошковыми красками, с замком-защелкой, без доводчика, размеры 1000x2100 мм</t>
  </si>
  <si>
    <t>ВОР 02-01-03, нет в СО — в ВОРе: 4+1+3+4 = 12</t>
  </si>
  <si>
    <t>Блок дверной металлический противопожарный однопольный, предел огнестойкости EI 30, с заполнением минеральной ватой, окрашенный порошковыми красками, с замком-защелкой, без доводчика, размеры 900x1600 мм</t>
  </si>
  <si>
    <t>Блок дверной металлический противопожарный двупольный, предел огнестойкости EI 30, с заполнением минеральной ватой, окрашенный порошковыми красками, с замком-защелкой, без доводчика, размеры 1500x2100 мм</t>
  </si>
  <si>
    <t>ВОР 02-01-03, нет в СО — в ВОРе: 6+5+3 = 14</t>
  </si>
  <si>
    <t>Блок дверной металлический противопожарный двупольный, предел огнестойкости EI 60, с заполнением минеральной ватой, окрашенный порошковыми красками, с замком-защелкой, без доводчика, размеры 1600x2100 мм</t>
  </si>
  <si>
    <t>Блок дверной металлический противопожарный двупольный, предел огнестойкости EI 60, с заполнением минеральной ватой, окрашенный порошковыми красками, с замком-защелкой, без доводчика, размеры 1400x2100 мм</t>
  </si>
  <si>
    <t>Блок дверной металлический противопожарный двупольный остекленный, предел огнестойкости EI 60, с заполнением минеральной ватой, окрашенный порошковыми красками, с замком-защелкой, без доводчика, размеры 1400x2100 мм</t>
  </si>
  <si>
    <t>Ворота подъемно-вертикальные рулонные (роллетные) из алюминиевых профилей, с пружинно-инерционным механизмом подъема и опускания, стальным круглым защитным коробом, с запорным устройством, размеры ворот 3000x2500 мм</t>
  </si>
  <si>
    <t>03-01/07.21П-АР.1 ГЧ л 30 (Файл: 03-01_07.21П- АР.1.pdf стр.: 30)</t>
  </si>
  <si>
    <t>ВОР 02-01-03, нет в СО — в ВОРе: 14.95+4.71+33.71+17.27+7.744+11.281+50.077+76.82 = 216.562</t>
  </si>
  <si>
    <t>ВОР 02-01-03, нет в СО — в ВОРе: 3.59×6 + 9.22×2 + 4.608 + 2.14 + 3.89 + 7.78 + 4.61 + 4.69 = 67.698</t>
  </si>
  <si>
    <t>ВОР 02-01-03, нет в СО — в ВОРе: 87.071 + 109.16 + 9.49 + 5.92 + 4.9 + 6 + 11.3 + 9.04 + 10.39 = 253.271</t>
  </si>
  <si>
    <t>Ворота подъемно-вертикальные рулонные (роллетные) из алюминиевых профилей, с пружинно-инерционным механизмом подъема и опускания, стальным круглым защитным коробом, с запорным устройством, размеры ворот 2000x2000 мм</t>
  </si>
  <si>
    <t>03-01/07.21П-АР.1 ГЧ л 31 (Файл: 03-01_07.21П- АР.1.pdf стр.: 31)</t>
  </si>
  <si>
    <t>ВОР 02-01-03, нет в СО — в ВОРе: 539.599+65.655+39.575 = 644.83</t>
  </si>
  <si>
    <t>ВОР 02-01-03, нет в СО — в ВОРе: 11027.737+12363.638 = 23391.375</t>
  </si>
  <si>
    <t>ВОР 02-01-03, нет в СО — в ВОРе: 11027.737+12363.638+423.452 = 23814.827</t>
  </si>
  <si>
    <t>ВОР 02-01-03, нет в СО — в ВОРе: 38582.5+298482.4 = 337064.9</t>
  </si>
  <si>
    <t>ВОР 02-01-03, нет в СО — в ВОРе: 17.748+183.802 = 201.55</t>
  </si>
  <si>
    <t>03-01/07.21П-АР.1 ГЧ л 41 (Файл: 03-01_07.21П- АР.1.pdf стр.: 41)</t>
  </si>
  <si>
    <t>ВОР 02-01-03, нет в СО — в ВОРе: 1113.348+1842.43+636.241+445.16 = 4037.179</t>
  </si>
  <si>
    <t>ВОР 02-01-03, нет в СО — в ВОРе: 82+428.07 = 510.07</t>
  </si>
  <si>
    <t>ВОР 02-01-03, нет в СО — в ВОРе: 127.73+211.088 = 338.818</t>
  </si>
  <si>
    <t>ВОР 02-01-03, нет в СО — в ВОРе: 1.067+1.229+0.453 = 2.748</t>
  </si>
  <si>
    <t>03-01/07.21П-АР.1 ГЧ л 41 (Файл: 03-01_07.21П- АР.1.pdf, стр.: 41)</t>
  </si>
  <si>
    <t>ВОР 02-01-03, нет в СО — в ВОРе: 1784.21+1780.62 = 3564.83</t>
  </si>
  <si>
    <t>ВОР 02-01-03, нет в СО — в ВОРе: 0.892+0.89 = 1.782</t>
  </si>
  <si>
    <t>ВОР 02-01-03, нет в СО — в ВОРе: 4637.79+1508.91 = 6146.7</t>
  </si>
  <si>
    <t>03-01/07.21П-АР.1 ГЧ л 32 (Файл: 03-01_07.21П- АР.1.pdf, стр.: 41)</t>
  </si>
  <si>
    <t>03-01/07.21П-АР.1 ГЧ л 32 (Файл: 03-01_07.21П- АР.1.pdf, стр.: 32)</t>
  </si>
  <si>
    <t>ВОР 02-01-11 — Технологические решения ТХ.2 (мебель, инвентарь, оборудование)   (3 поз.)</t>
  </si>
  <si>
    <t>ВОР 02-01-11 — Технологические решения ТХ.2 (мебель, инвентарь, оборудование)</t>
  </si>
  <si>
    <t>03-01/07.21П-IX.2 (Файл: 03-01_07.21П—IX.2.pdf, стр.: 28)</t>
  </si>
  <si>
    <t>Есть в ВОР 02-01-11, в ТХ.2.СО отсутствует — закупать по этой строке</t>
  </si>
  <si>
    <t>03-01/07.21П-ТХ.2 (Файл: 03-01_07.21П-ТХ.2.pdf, стр.: 63)</t>
  </si>
  <si>
    <t>03-01/07.21П-ТХ.2 (Файл: 03-01_07.21П-ТХ.2.pdf, стр.: 78)</t>
  </si>
  <si>
    <t>Есть в ВОР 02-01-11, в ТХ.2.СО отсутствует — закупать по этой строке (проверить: в ТХ.2.СО есть зеркало 800х900, похоже на опечатку в ВОРе)</t>
  </si>
  <si>
    <t>ВОР 02-01-12 — Лифты и подъемники   (4 поз.)</t>
  </si>
  <si>
    <t>03-01/07.21П-ТХ.2. л.10 (Файл: Раздел_03-0107.21П IX.2!.pdf, стр.: 1)</t>
  </si>
  <si>
    <t>ВОР 02-01-12, нет в СО</t>
  </si>
  <si>
    <t>Лифт размером 1100x2100 Назначение и марка лифта: Пассажирский, для пожарных подразделений 1Грузоподъёмность: кг 1000 2Скорость движения кабины: м/с 1,0 - 1,6 ЗВысота подъёма: м 4,5 4Количество остановок/шахтных дверей: шт. 2 5Характеристика электрической сети (напряжение, род тока) бМощность потребляемая 11 кВт, Потребляемый ток в период пуска 36 А 7Номинальный ток 22,5 А</t>
  </si>
  <si>
    <t>03-01/07.21П-ТХ.2. л.39 (Файл: Раздел_03-0107.21П IX.2!.pdf, стр.: 1)</t>
  </si>
  <si>
    <t>03-01/07.21П-IХ.2. л.39 (Файл: Раздел_03-0107.21П IX.2!.pdf, стр.: 1)</t>
  </si>
  <si>
    <t>ВОР 07-01-02 — Дороги и благоустройство   (22 поз.)</t>
  </si>
  <si>
    <t>03-01/07.21П-ПЗУ. ГЧ Приложение 1 (Файл: 03- 01_07.21П-ПЗУ .pdf.pdf, стр.: 3)</t>
  </si>
  <si>
    <t>ВОР 07-01-02, нет в СО — в ВОРе: 28+7132+935+867+995 = 9957</t>
  </si>
  <si>
    <t>03-01/07.21П-ПЗУ. ГЧ Приложение 1 (Файл: 03- 01 07.21П-ПЗУ .pdf.pdf, стр.: 3)</t>
  </si>
  <si>
    <t>ВОР 07-01-02, нет в СО — в ВОРе: 2.71+1.355+639.267+319.634+89.153 = 1052.119</t>
  </si>
  <si>
    <t>03-01/07.21П-ПЗУ. ГЧ Приложение 1 (Файл: 03-01_07.2in-n3y.pdf.pdf, стр.: 3)</t>
  </si>
  <si>
    <t>ВОР 07-01-02, нет в СО — в ВОРе: 1.439+339.446+61.834+20.611 = 423.33</t>
  </si>
  <si>
    <t>03-01/07.21П-ПЗУ. ГЧ Приложение 1 (Файл: 03- 01_07.21П-ПЗУ .pdf.pdf, стр.: 4)</t>
  </si>
  <si>
    <t>ВОР 07-01-02, нет в СО — в ВОРе: 1322.4×2 + 7925 + 1039.2 + 909 + 963 + 3500 + 3062 + 1105.2 + 600 + 525 + 73.2 = 22346.4</t>
  </si>
  <si>
    <t>03-01/07.21П-ПЗУ. ГЧ Приложение 1 (Файл: 03- 01 07.21П-ПЗУ .pdf.pdf, стр.: 4)</t>
  </si>
  <si>
    <t>ВОР 07-01-02, нет в СО — в ВОРе: 3995.42 + 523.93 + 264.66 + 962.28 + 160.38 + 363.66 + 60.61 + 455.895 + 165 + 20.13 = 6971.965</t>
  </si>
  <si>
    <t>ВОР 07-01-02, нет в СО — в ВОРе: 1248.156 + 83.21 + 163.674 + 10.912 + 121 + 551.124 + 208.278 + 174.069 + 81.232 + 94.5 + 11.529 = 2747.684</t>
  </si>
  <si>
    <t>ВОР 07-01-02, нет в СО — в ВОРе: 99.06+12.99+16+43.74+16.53+13.815+7.5+0.915 = 210.55</t>
  </si>
  <si>
    <t>ВОР 07-01-02, нет в СО — в ВОРе: 27.895+9.298+19.73+15.576+76.606 = 149.105</t>
  </si>
  <si>
    <t>Камни бортовые вибропрессованные дорожные, размеры 1000x300x150 мм, цветные на сером цементе</t>
  </si>
  <si>
    <t>ВОР 07-01-02, нет в СО — в ВОРе: 591+197+418+330+1623 = 3159</t>
  </si>
  <si>
    <t>03-01/07.21П-ПЗУ. ГЧ Приложение 1 (Файл: 03- 01_07.21П-ПЗУ .pdf.pdf, стр.: 5)</t>
  </si>
  <si>
    <t>ВОР 07-01-02, нет в СО</t>
  </si>
  <si>
    <t>Плитка вибропрессованная тротуарная, форма прямоугольник, на белом цементе, цветная, размеры 300x200x60 мм</t>
  </si>
  <si>
    <t>03-01/07.21П-ПЗУ. ГЧ Приложение 1 (Файл: 03- 01_07.21П-ПЗУ .pdf.pdf, стр.: 7)</t>
  </si>
  <si>
    <t>03-01/07.21П-ПЗУ. ГЧ Приложение 1 (Файл: 03- 01_07.21П-ПЗУ .pdf.pdf, стр.: 8)</t>
  </si>
  <si>
    <t>ВОР 07-01-02, нет в СО — в ВОРе: 8.968+2.738 = 11.706</t>
  </si>
  <si>
    <t>ВОР 07-01-02, нет в СО — в ВОРе: 190+58 = 248</t>
  </si>
  <si>
    <t>03-01/07.21П-ПЗУ. ГЧ Приложение 1 (Файл: 03- 01_07.21П-ПЗУ .pdf.pdf, стр.: 9)</t>
  </si>
  <si>
    <t>03-01/07.21П-ПЗУ. ГЧ Приложение 1 (Файл: 03- 01_07.21П-ПЗУ .pdf.pdf, стр.: 10)</t>
  </si>
  <si>
    <t>ВОР 07-01-03 — Озеленение   (32 поз.)</t>
  </si>
  <si>
    <t>03-01/07.21П-ПЗУ.ГЧ Приложение 1. л. 11 (Файл: 03-01 07.21П-ПЗУ .pdf.pdf, стр.: 11)</t>
  </si>
  <si>
    <t>ВОР 07-01-03, нет в СО</t>
  </si>
  <si>
    <t>03-01/07.21П-ПЗУ.ГЧ Приложение 1. л. 11 (Файл: 03-01_07.21П-ПЗУ .pdf.pdf, стр.: 11)</t>
  </si>
  <si>
    <t>03-01/07.21П-ПЗУ.ГЧ Приложение 1. л. 12 (Файл: 03-01_07.21П-ПЗУ .pdf.pdf, стр.: 12)</t>
  </si>
  <si>
    <t>03-01/07.21П-ПЗУ.ГЧ Приложение 1. л. 12 (Файл: 03-01 07.21П-ПЗУ .pdf.pdf, стр.: 13)</t>
  </si>
  <si>
    <t>03-01/07.21П-ПЗУ.ГЧ Приложение 1. л. 13 (Файл: 03-01 07.21П-ПЗУ .pdf.pdf, стр.: 13)</t>
  </si>
  <si>
    <t>03-01/07.21П-ПЗУ.ГЧ Приложение 1. л. 13 (Файл: 03-01_07.21П-ПЗУ .pdf.pdf, стр.: 13)</t>
  </si>
  <si>
    <t>03-01/07.21П-ПЗУ.ГЧ Приложение 1. л. 14 (Файл: 03-01_07.21П-ПЗУ .pdf.pdf, стр.: 14)</t>
  </si>
  <si>
    <t>03-01/07.21П-ПЗУ.ГЧ Приложение 1. л. 15 (Файл: 03-01_07.21П-ПЗУ .pdf.pdf, стр.: 14)</t>
  </si>
  <si>
    <t>ОБЩЕСТРОИТЕЛЬНЫЕ / ВСПОМОГАТЕЛЬНЫЕ МАТЕРИАЛЫ ИЗ ВОРа (земляные работы, ПОС) — в спецификацию обычно не входят   (43 поз.)</t>
  </si>
  <si>
    <t>03-01/07.21П-ПОС.ТЧ. Приложение Д. л. 179 (Файл: 03-01 07.21П-ПОС.pdf, стр.: 1)</t>
  </si>
  <si>
    <t>ВОР 06-01-01, вспомогательные</t>
  </si>
  <si>
    <t>03-01/07.21П-ПОС.ТЧ. Приложение Д. л. 174 (Файл: 03-01_07.21П-ПОС.pdf, стр.: 1)</t>
  </si>
  <si>
    <t>03-01/07.21П-ПОС.ТЧ. Приложение Д. л. 180 (Файл: 03-01 07.21П-ПОС.pdf, стр.: 1)</t>
  </si>
  <si>
    <t>03-01/07.21П-ПОС.ТЧ. Приложение Д. л. 181-182 (Файл: 03-01 07.21П-ПОС.pdf, стр.: 1)</t>
  </si>
  <si>
    <t>ВОР 06-01-02, вспомогательные</t>
  </si>
  <si>
    <t>03-01/07.21П-ПОС.ТЧ. Приложение Д. л. 175 (Файл: 03-01_07.21П-ПОС.pdf, стр.: 1)</t>
  </si>
  <si>
    <t>03-01/07.21П-ПОС.ТЧ. Приложение Д. л. 183 (Файл: 03-01_07.21П-ПОС.pdf, стр.: 1)</t>
  </si>
  <si>
    <t>03-01/07.21П-ПОС.ТЧ. Приложение Д. л. 176 (Файл: 03-01_07.21П-ПОС.pdf, стр.: 1)</t>
  </si>
  <si>
    <t>03-01/07.21П-ПОС.ТЧ. Приложение Д. л. 184 (Файл: 03-01 07.21П-ПОС.pdf, стр.: 1)</t>
  </si>
  <si>
    <t>03-01/07.21П-ПОС.ТЧ. Приложение Д л. 186 (Файл: 03-01 07.21П-ИОС4.4.pdf, стр.: 185)</t>
  </si>
  <si>
    <t>ВОР 06-01-04, вспомогательные</t>
  </si>
  <si>
    <t>03-01/07.21П-ИОС.4.4.СО л. 1 (Файл: 03-01_07.21П- ИОС4.4.pdf, стр.: 1)</t>
  </si>
  <si>
    <t>03-01/07.21П-ПОС.ТЧ. Приложение Д л. 186 (Файл: 03-01_07.21П-ИОС4.4.р#, стр.: 186)</t>
  </si>
  <si>
    <t>03-01/07.21П-ИОС.4.4.СО л. 4,5 (Файл: 03- 01_07.21П-ИОС4.4.pdf, стр.: 4)</t>
  </si>
  <si>
    <t>03-01/07.21П-ИОС.4.4.СО л. 4,5 (Файл: 03- 01_07.21П-ИОС4.4.pdf, стр.: 4 5)</t>
  </si>
  <si>
    <t>ВОР 02-01-12, сметная корректировка ГЭСН (отрицат. кол-во) — НЕ закупка</t>
  </si>
  <si>
    <t>03-01/07.21П-1Х.2. л.10 (Файл: Раздел_03-0107.21П IX.2!.pdf, стр.: 1)</t>
  </si>
  <si>
    <t>ИТОГО по всем разделам, руб. с НДС</t>
  </si>
  <si>
    <t>СПРАВКА — что было сделано с фиолетовым блоком ВОР 02-01-11 (ТХ.2):</t>
  </si>
  <si>
    <t xml:space="preserve">  • Было 369 строк. 366 из них — те же позиции, что уже стоят выше в ТХ.2.СО: ВОР режет их крупнее (по сметным участкам), а СО — по помещениям. В книге одна и та же вещь лежала дважды, поэтому логика «что есть в ВОРе, но нет в СО» на этом блоке не работала.</t>
  </si>
  <si>
    <t xml:space="preserve">  • Эти 366 строк удалены. В блоке остались 3 позиции, которых в ТХ.2.СО действительно нет (см. таблицу выше).</t>
  </si>
  <si>
    <t xml:space="preserve">  • Пять удалённых строк несли цену — стулья для посетителей (84+4 шт), стулья для кафе Eames (27+26 шт) и контейнер 90 л (2 шт), всего 257 100 ₽. Цена перенесена на соответствующие строки ТХ.2.СО, в их примечании это указано. ИТОГО книги не изменилось.</t>
  </si>
  <si>
    <t xml:space="preserve">  • Лист «Сверка ТХ.2» оставлен как есть — это архив сверки количеств СО ↔ ВОР, по которой и определялись дубли.</t>
  </si>
  <si>
    <t>Сверка ВОР 02-01-11 (технологические решения) с оригиналом спецификации 03-01/07.21П-ТХ.2.СО</t>
  </si>
  <si>
    <t>Слева — позиции по СО (свод по всем 268 помещениям), справа — сумма количеств по строкам ВОРа, сопоставленным с этой позицией. Сопоставление по наименованию, поэтому у близких по названию позиций объём может быть отнесён к соседней строке — расхождения смотреть вместе с соседними строками.</t>
  </si>
  <si>
    <t>Наименование по ТХ.2.СО</t>
  </si>
  <si>
    <t>Кол-во по СО</t>
  </si>
  <si>
    <t>Кол-во по ВОР</t>
  </si>
  <si>
    <t>Разница (ВОР − СО)</t>
  </si>
  <si>
    <t>Строк в ВОРе</t>
  </si>
  <si>
    <t>Статус</t>
  </si>
  <si>
    <t>компл</t>
  </si>
  <si>
    <t>ВОР больше СО на 67</t>
  </si>
  <si>
    <t>ВОР больше СО на 63</t>
  </si>
  <si>
    <t>ВОР больше СО на 24</t>
  </si>
  <si>
    <t>ВОР больше СО на 21</t>
  </si>
  <si>
    <t>ВОР больше СО на 16</t>
  </si>
  <si>
    <t>ВОР больше СО на 13</t>
  </si>
  <si>
    <t>ВОР больше СО на 10</t>
  </si>
  <si>
    <t>Шкаф для раздевалок HPL пластик ТС 2-1 (2 секции) (64,5, В комплекте — верхняя полка, нижняя полка, штанга и крючок) (ДхВхШ) 624х1950х500</t>
  </si>
  <si>
    <t>ВОР больше СО на 9</t>
  </si>
  <si>
    <t>ВОР больше СО на 8</t>
  </si>
  <si>
    <t>ВОР больше СО на 6</t>
  </si>
  <si>
    <t>комплект</t>
  </si>
  <si>
    <t>ВОР больше СО на 5</t>
  </si>
  <si>
    <t>ВОР больше СО на 4</t>
  </si>
  <si>
    <t>ВОР больше СО на 2</t>
  </si>
  <si>
    <t>шгт</t>
  </si>
  <si>
    <t>Шкаф холодильный среднетемпературный Э1Ф, 220В, 169кВтч/год Габаритные: размеры: 595x650x1860 мм</t>
  </si>
  <si>
    <t>ВОР больше СО на 1</t>
  </si>
  <si>
    <t>кв.м</t>
  </si>
  <si>
    <t>ВОР меньше СО на 21</t>
  </si>
  <si>
    <t>ВОР меньше СО на 19</t>
  </si>
  <si>
    <t>ВОР меньше СО на 14</t>
  </si>
  <si>
    <t>ВОР меньше СО на 10</t>
  </si>
  <si>
    <t>ВОР меньше СО на 8</t>
  </si>
  <si>
    <t>ВОР меньше СО на 5</t>
  </si>
  <si>
    <t>ВОР меньше СО на 2</t>
  </si>
  <si>
    <t>ВОР меньше СО на 1</t>
  </si>
  <si>
    <t>нет прямой пары в ВОРе; близкая строка ВОРа отнесена к «Скамья гардеробная 854х390х475(h) мм» — проверить</t>
  </si>
  <si>
    <t>нет прямой пары в ВОРе; близкая строка ВОРа отнесена к «Стул для посетителей (материал обивки – к/з);» — проверить</t>
  </si>
  <si>
    <t>Шкаф для раздевалок HPL пластик ТС 2-1 (2 секции) Один ярус (64,5, В комплекте — верхняя полка, нижняя полка, штанга и крючок) (ДхВхШ) 624х1950х500</t>
  </si>
  <si>
    <t>нет прямой пары в ВОРе; близкая строка ВОРа отнесена к «Шкаф для раздевалок HPL пластик ТС 2-1 (2 сек» — проверить</t>
  </si>
  <si>
    <t>в ВОРе не найдено — позиция к закупке сверх ведомости (проверить)</t>
  </si>
  <si>
    <t>нет прямой пары в ВОРе; близкая строка ВОРа отнесена к «Банкетка параметрическая. - Габаритный размер» — проверить</t>
  </si>
  <si>
    <t>нет прямой пары в ВОРе; близкая строка ВОРа отнесена к «Стеллаж сборный со сплошными полками (5 полок» — проверить</t>
  </si>
  <si>
    <t>нет прямой пары в ВОРе; близкая строка ВОРа отнесена к «Стеллаж-шпилька Габариты: 560х520х1800 мм» — проверить</t>
  </si>
  <si>
    <t>Шкаф холодильный среднетемпературный Э1Ф, 220В, 169кВтч/год Габаритные: размеры: 595x650x1860мм</t>
  </si>
  <si>
    <t>нет прямой пары в ВОРе; близкая строка ВОРа отнесена к «Шкаф холодильный среднетемпературный Э1Ф, 220» — проверить</t>
  </si>
  <si>
    <t>нет прямой пары в ВОРе; близкая строка ВОРа отнесена к «Окно кассира для передачи Билет/деньги Машина» — проверить</t>
  </si>
  <si>
    <t>нет прямой пары в ВОРе; близкая строка ВОРа отнесена к «Защитная бросковая сетка на торцах и радиусах» — проверить</t>
  </si>
  <si>
    <t>нет прямой пары в ВОРе; близкая строка ВОРа отнесена к «Стол рабочий прямой; 1200х700х750 (h) мм» — проверить</t>
  </si>
  <si>
    <t>нет прямой пары в ВОРе; близкая строка ВОРа отнесена к «Ванна моечная цельнотянутая односекционная (к» — проверить</t>
  </si>
  <si>
    <t>нет прямой пары в ВОРе; близкая строка ВОРа отнесена к «Стерилизатор для ножей. Мощность лампы или ла» — проверить</t>
  </si>
  <si>
    <t>нет прямой пары в ВОРе; близкая строка ВОРа отнесена к «Зонт вытяжной пристенный АЛТЭК ЗВП 14/7 без ф» — проверить</t>
  </si>
  <si>
    <t>нет прямой пары в ВОРе; близкая строка ВОРа отнесена к «Контейнер 90л полипропилен d=42,5см h=85см с » — проверить</t>
  </si>
  <si>
    <t>нет прямой пары в ВОРе; близкая строка ВОРа отнесена к «Персональный компьютер (моноблок) с периферие» — проверить</t>
  </si>
  <si>
    <t>2 м</t>
  </si>
  <si>
    <t>сходится</t>
  </si>
  <si>
    <t>Шкаф для раздевалок ТС 6-8 (3 секции); HPL; Высота (мм) — 1800. Ширина (мм) — 400. Глубина (мм) – 500.</t>
  </si>
  <si>
    <t>Фонтан питьевой напольный. Подключение к ХВ, К</t>
  </si>
  <si>
    <t>Табло универсальные Импульс 735-D35x6-D27x7-S 16x224xP10-S6-A2 (0.5 Кд) Импульс 735-D35x6-D27x7-S 16x224xP10-S6-A2 в комплекте радиопульт дистанционного управления</t>
  </si>
  <si>
    <t>Овощерезка профессиональная, 8 видов нарезки., производительность 400 кг/час, 0.615кВт, 380В, размеры 550x290x550 мм</t>
  </si>
  <si>
    <t>Витрина холодильная настольная, с гнутым стеклом, объем 115 литров, 2 полки-рештки верхняя 642x372мм, нижняя 642x408мм, расстояние между полками 120мм, электронный термостат, дисплей температуры, LED подсветка, автоматическая оттайка, температура 3…8°C, размеры 695х580х670 мм, 0.16кВт 220В,</t>
  </si>
  <si>
    <t>Смарт-терминал АТОЛ Sigma 10 (АТОЛ 150Ф) 46 500, Черный. Без ФН. Лицензия Qasl + контракт Платформа ОФД Программный продукт «Небольшие рестораны». Процессор - Mediatek MTK832 2x1,33ГГц.. RAM - 1Гб. ROM - 8Гб. Операционная система - Android 7.0. Скорость печати - до 100 мм/сек. Автоотрез – есть. Ширина чековой ленты - 57 мм. Ресурс печатающей головки - 50км. Длина намотки - 32м. Тип дисплея - IPS матрица, размер экрана 10. Интерфейсы подключения - Bluetooth, 4 USB-A, RJ-11 (для денежного ящика). Беспроводная сеть - Ethernet, Wi-Fi, 3G. Габариты - 239х151х104 мм</t>
  </si>
  <si>
    <t>Фронтальная посудомоечная машина; Х.В. ø3/4″, расход 6 л/цикл, К. ø50мм; Э: 1ф, 220В, 3.0кВт; 440x530x670 мм (h) мм</t>
  </si>
  <si>
    <t>Проекционный экран Cactus CS-PSW-168X299-BK Размеры — 2990 на 1680 мм, диагональ — 135 дюймов</t>
  </si>
  <si>
    <t>Позиции ВОР 02-01-11, которым пары в ТХ.2.СО не нашлось (в книге помечены «нет в СО»)</t>
  </si>
  <si>
    <t>нет в ТХ.2.СО — проверить</t>
  </si>
  <si>
    <t>ВСЕ ПРАВКИ, ВНЕСЁННЫЕ В ЛИСТ «СПЕЦИФИКАЦИЯ» — можно проверить каждую и при желании удалить этот лист</t>
  </si>
  <si>
    <t>Строка</t>
  </si>
  <si>
    <t>Колонка</t>
  </si>
  <si>
    <t>Было</t>
  </si>
  <si>
    <t>Стало</t>
  </si>
  <si>
    <t>Что сделано</t>
  </si>
  <si>
    <t>K — Примечание</t>
  </si>
  <si>
    <t>ссылка на документ перенесена из «Тип, марка» в примечание</t>
  </si>
  <si>
    <t>C — Тип, марка</t>
  </si>
  <si>
    <t>ссылка на документ убрана из «Тип, марка»</t>
  </si>
  <si>
    <t>ВОР, нет в СО — ДУБЛЬ поз. 2.21 (добавлена по СО), исключить из закупки</t>
  </si>
  <si>
    <t>03-01/07.21П-ИОС.5.1.СО л.7 (Файл: Том СС 03- 0107.21П-ИОС.5.1.pdf, стр.: 1 2 3 4)</t>
  </si>
  <si>
    <t>ВОР, нет в СО — ДУБЛЬ поз. 2.22 (добавлена по СО), исключить из закупки</t>
  </si>
  <si>
    <t>ВОР, нет в СО — ДУБЛЬ поз. 4.1 (добавлена по СО), исключить из закупки</t>
  </si>
  <si>
    <t>03-01/07.21П-ИОС.5.1.СО л.9 (Файл: Том СС 03- 0107.21П-ИОС.5.1.pdf, стр.: 1 2 3 4)</t>
  </si>
  <si>
    <t>ВОР, нет в СО — ДУБЛЬ поз. 4.2 (добавлена по СО), исключить из закупки</t>
  </si>
  <si>
    <t>ВОР, нет в СО — ДУБЛЬ поз. 4.3 (добавлена по СО), исключить из закупки</t>
  </si>
  <si>
    <t>03-01/07.21П-ПБ2.СО л.3 (Файл: 03-01_07.21П-nb2.pdf, стр.: 1 2 3)</t>
  </si>
  <si>
    <t>03-01/07.21П-ПБ2.СО л.3 (Файл: 03-01_07.21П-ПБ2.pdf, стр.: 1 2 3)</t>
  </si>
  <si>
    <t>ВОР 02-01-13, нет в ПБ2.СО — возможно = пульт микрофонный МЕТА 18580-8 — проверить</t>
  </si>
  <si>
    <t>ВОР 02-01-07 — то же оборудование, что в ТХ.3.СО (теплообменник снеготаяния), в ВОРе учтено массой 0,196 т — проверить, чтобы не задвоить</t>
  </si>
  <si>
    <t>03-01/07.21П-ТХ.3.СО л.3 (Файл: 03-0107.21П- ТХ.3.pdf, стр.: 1)</t>
  </si>
  <si>
    <t>ВОР 02-01-07 — ДУБЛЬ: погружной теплообменник ямы снеготаяния (2 шт., КИБО) есть в ТХ.3.СО, исключить из закупки</t>
  </si>
  <si>
    <t>ВОР 02-01-07, нет в ТХ.4.СО</t>
  </si>
  <si>
    <t>03-01/07.21П-ТХ.4.СО л.2 (Файл: 03-0107.21П- ТХ.3.pdf, стр.: 1)</t>
  </si>
  <si>
    <t>B — Наименование</t>
  </si>
  <si>
    <t xml:space="preserve">Конденсаторная установка </t>
  </si>
  <si>
    <t>чистка текста (латинская x в размерах, тире, опечатки, двойные пробелы)</t>
  </si>
  <si>
    <t>ВВГнг(А)-HF 3x2,5</t>
  </si>
  <si>
    <t>ВВГнг(А)-HF 3x4</t>
  </si>
  <si>
    <t>ВВГнг(А)-HF 3x6</t>
  </si>
  <si>
    <t>ВВГнг(А)-HF 3x10</t>
  </si>
  <si>
    <t>ВВГнг(А)-HF 5x2,5</t>
  </si>
  <si>
    <t>ВВГнг(А)-HF 5x4</t>
  </si>
  <si>
    <t>ВВГнг(А)-HF 5x25</t>
  </si>
  <si>
    <t>ВВГнг(А)-HF 5x16</t>
  </si>
  <si>
    <t>ВВГнг(А)-HF 5x6</t>
  </si>
  <si>
    <t>ВВГнг(А)-HF 5x10</t>
  </si>
  <si>
    <t>ВВГнг(А)-HF 5x70</t>
  </si>
  <si>
    <t>ВВГнг(А)-HF 5x150</t>
  </si>
  <si>
    <t>ВВГнг(A)-FRHF 3x2,5</t>
  </si>
  <si>
    <t>ВВГнг(A)-FRHF 5x2,5</t>
  </si>
  <si>
    <t>ВВГнг(A)-FRHF 5x4</t>
  </si>
  <si>
    <t>ВВГнг(A)-FRHF 5x6</t>
  </si>
  <si>
    <t>ВВГнг(A)-FRHF 5x25</t>
  </si>
  <si>
    <t>Лоток неперфорированный 200x100x3000мм с крышкой</t>
  </si>
  <si>
    <t>Лоток неперфорированный 300x100x3000мм с крышкой</t>
  </si>
  <si>
    <t>Швеллер перфорированный П-образный 40x20x2, L=1м</t>
  </si>
  <si>
    <t xml:space="preserve">   1x25</t>
  </si>
  <si>
    <t xml:space="preserve">   1x6</t>
  </si>
  <si>
    <t xml:space="preserve">   - шина в изоляторе 8x12 групп 12 ответвлений</t>
  </si>
  <si>
    <t xml:space="preserve">   - вводная клемма для модульного оборудования, изолированная с винтовым зажимом 4-25мм2</t>
  </si>
  <si>
    <t>Полоса стальная оцинкованная 40x5мм</t>
  </si>
  <si>
    <t>Ковер диэлектрический 900x900, ~U до 20кВ</t>
  </si>
  <si>
    <t>Плита из минерал. волокна с огнестойким покрытием, размером 1000x500x52</t>
  </si>
  <si>
    <t>ВВГнг(А)-FRHF 3x1,5</t>
  </si>
  <si>
    <t>ВВГнг(А)-FRHF 4x1,5</t>
  </si>
  <si>
    <t>ВВГнг(А)-FRHF 5x2,5</t>
  </si>
  <si>
    <t>ВВГнг(А)-FRHF 4x4</t>
  </si>
  <si>
    <t>Сталь угловая 50x50x5мм L=3000мм</t>
  </si>
  <si>
    <t xml:space="preserve">Плитка </t>
  </si>
  <si>
    <t xml:space="preserve">Огнезащитный состав </t>
  </si>
  <si>
    <t>Водоснабжение   03-01/07.21П-ИОС-2.1.СО</t>
  </si>
  <si>
    <t>Труба ПЭ PN10.0 SDR17 Ø140x8,3мм</t>
  </si>
  <si>
    <t>Труба ПЭ PN10.0 SDR17 Ø180x10,7мм</t>
  </si>
  <si>
    <t>Труба PP-R PN10 ⌀20x1,9 DN15 ГОСТ 32415-2013</t>
  </si>
  <si>
    <t>Труба PP-R PN10 ⌀25x2,3 DN20 ГОСТ 32415-2013</t>
  </si>
  <si>
    <t>Труба PP-R PN10 ⌀32x2,9 DN25 ГОСТ 32415-2013</t>
  </si>
  <si>
    <t>Труба PP-R PN10 ⌀40x3,7 DN32 ГОСТ 32415-2013</t>
  </si>
  <si>
    <t>Труба PP-R PN10 ⌀50x4,6 DN40 ГОСТ 32415-2013</t>
  </si>
  <si>
    <t>Труба PP-R PN10 ⌀63x5,8 DN50 ГОСТ 32415-2013</t>
  </si>
  <si>
    <t>Труба PP-R PN10 ⌀90x8,2 DN80 ГОСТ 32415-2013</t>
  </si>
  <si>
    <t>Труба PP-R PN10 ⌀125x11,4 DN100 ГОСТ 32415-2013</t>
  </si>
  <si>
    <t>Труба PP-R PN10 ⌀140x12,7 DN125 ГОСТ 32415-2013</t>
  </si>
  <si>
    <t>Отвод 90° PP-R PN10 ⌀20x1,9 DN15 ГОСТ 32415-2013</t>
  </si>
  <si>
    <t>Отвод 90° PP-R PN10 ⌀25x2,3 DN20 ГОСТ 32415-2013</t>
  </si>
  <si>
    <t>Отвод 90° PP-R PN10 ⌀32x2,9 DN25 ГОСТ 32415-2013</t>
  </si>
  <si>
    <t>Отвод 90° PP-R PN10 ⌀40x3,7 DN32 ГОСТ 32415-2013</t>
  </si>
  <si>
    <t>Отвод 90° PP-R PN10 ⌀50x4,6 DN40 ГОСТ 32415-2013</t>
  </si>
  <si>
    <t>Отвод 90° PP-R PN10 ⌀63x5,8 DN50 ГОСТ 32415-2013</t>
  </si>
  <si>
    <t>Отвод 90° PP-R PN10 ⌀90x8,2 DN80 ГОСТ 32415-2013</t>
  </si>
  <si>
    <t>Отвод 90° PP-R PN10 ⌀125x11,4 DN100 ГОСТ 32415-2013</t>
  </si>
  <si>
    <t>Отвод 90° PP-R PN10 ⌀140x12,7 DN125 ГОСТ 32415-2013</t>
  </si>
  <si>
    <t>Труба стальная Ст3 электросварная ⌀76x4,0 DN65</t>
  </si>
  <si>
    <t>Труба стальная Ст3 электросварная ⌀89x4,0 DN80</t>
  </si>
  <si>
    <t>Труба стальная Ст3 электросварная ⌀114x4,5 DN100</t>
  </si>
  <si>
    <t>Отвод стальной Ст3 ⌀76x4 90°</t>
  </si>
  <si>
    <t>Отвод стальной Ст3 ⌀89x4 90°</t>
  </si>
  <si>
    <t>Отвод стальной Ст3 ⌀114x5 90°</t>
  </si>
  <si>
    <t>Труба PP-R PN25 ⌀40x6,7 DN32 ГОСТ 32415-2013</t>
  </si>
  <si>
    <t>Труба PP-R PN25 ⌀50x8,3 DN40 ГОСТ 32415-2013</t>
  </si>
  <si>
    <t>Труба PP-R PN25 ⌀65x10,5 DN50 ГОСТ 32415-2013</t>
  </si>
  <si>
    <t>Труба PP-R PN20 ⌀140x19,2 DN125 ГОСТ 32415-2013</t>
  </si>
  <si>
    <t>Отвод 90° PP-R ⌀125x17,1 DN100 ГОСТ 32415-2013</t>
  </si>
  <si>
    <t>Отвод 90° PP-R ⌀140x19,2 DN125 ГОСТ 32415-2013</t>
  </si>
  <si>
    <t>Отвод 90° PP-R ⌀65x10,5 DN50 ГОСТ 32415-2013</t>
  </si>
  <si>
    <t xml:space="preserve">Комплет терморегулирующей арматуры </t>
  </si>
  <si>
    <t>АМР 200x100</t>
  </si>
  <si>
    <t>Дроссель-клапан 300x250</t>
  </si>
  <si>
    <t>АВК-300x250</t>
  </si>
  <si>
    <t>Дроссель-клапан 500x250</t>
  </si>
  <si>
    <t>АВК-500x250</t>
  </si>
  <si>
    <t>Дроссель-клапан 600x500</t>
  </si>
  <si>
    <t>АВК-600x500</t>
  </si>
  <si>
    <t>Воздуховод из оцинк. стали по ГОСТ 14918-80 S=0,55мм 200x100</t>
  </si>
  <si>
    <t>Воздуховод из оцинк. стали по ГОСТ 14918-80 S=0,55мм 250x200</t>
  </si>
  <si>
    <t>Воздуховод из оцинк. стали по ГОСТ 14918-80 S=0,7мм 300x100</t>
  </si>
  <si>
    <t>Воздуховод из оцинк. стали по ГОСТ 14918-80 S=0,7мм 300x150</t>
  </si>
  <si>
    <t>Воздуховод из оцинк. стали по ГОСТ 14918-80 S=0,7мм 300x200</t>
  </si>
  <si>
    <t>Воздуховод из оцинк. стали по ГОСТ 14918-80 S=0,7мм 300x250</t>
  </si>
  <si>
    <t>Воздуховод из оцинк. стали по ГОСТ 14918-80 S=0,7мм 400x200</t>
  </si>
  <si>
    <t>Воздуховод из оцинк. стали по ГОСТ 14918-80 S=0,7мм 400x250</t>
  </si>
  <si>
    <t>Воздуховод из оцинк. стали по ГОСТ 14918-80 S=0,7мм 400x300</t>
  </si>
  <si>
    <t>Воздуховод из оцинк. стали по ГОСТ 14918-80 S=0,7мм 400x400</t>
  </si>
  <si>
    <t>Воздуховод из оцинк. стали по ГОСТ 14918-80 S=0,7мм 500x200</t>
  </si>
  <si>
    <t>Воздуховод из оцинк. стали по ГОСТ 14918-80 S=0,7мм 500x250</t>
  </si>
  <si>
    <t>Воздуховод из оцинк. стали по ГОСТ 14918-80 S=0,7мм 500x300</t>
  </si>
  <si>
    <t>Воздуховод из оцинк. стали по ГОСТ 14918-80 S=0,7мм 500x400</t>
  </si>
  <si>
    <t>Воздуховод из оцинк. стали по ГОСТ 14918-80 S=0,7мм 600x300</t>
  </si>
  <si>
    <t>Воздуховод из оцинк. стали по ГОСТ 14918-80 S=0,7мм 600x350</t>
  </si>
  <si>
    <t>Воздуховод из оцинк. стали по ГОСТ 14918-80 S=0,7мм 600x400</t>
  </si>
  <si>
    <t>Воздуховод из оцинк. стали по ГОСТ 14918-80 S=0,7мм 600x500</t>
  </si>
  <si>
    <t>Воздуховод из оцинк. стали по ГОСТ 14918-80 S=0,7мм 600x600</t>
  </si>
  <si>
    <t>Воздуховод из оцинк. стали по ГОСТ 14918-80 S=0,7мм 700x300</t>
  </si>
  <si>
    <t>Воздуховод из оцинк. стали по ГОСТ 14918-80 S=0,7мм 700x400</t>
  </si>
  <si>
    <t>Воздуховод из оцинк. стали по ГОСТ 14918-80 S=0,7мм 800x300</t>
  </si>
  <si>
    <t>Воздуховод из оцинк. стали по ГОСТ 14918-80 S=0,7мм 800x400</t>
  </si>
  <si>
    <t>Воздуховод из оцинк. стали по ГОСТ 14918-80 S=0,7мм 800x500</t>
  </si>
  <si>
    <t>Воздуховод из оцинк. стали по ГОСТ 14918-80 S=0,7мм 850x700</t>
  </si>
  <si>
    <t>Воздуховод из оцинк. стали по ГОСТ 14918-80 S=0,7мм 900x500</t>
  </si>
  <si>
    <t>Воздуховод из оцинк. стали по ГОСТ 14918-80 S=0,7мм 1000x400</t>
  </si>
  <si>
    <t>Воздуховод из оцинк. стали по ГОСТ 14918-80 S=0,7мм 1000x500</t>
  </si>
  <si>
    <t>Воздуховод из оцинк. стали по ГОСТ 14918-80 S=0,7мм 1000x800</t>
  </si>
  <si>
    <t>Воздуховод из оцинк. стали по ГОСТ 14918-80 S=0,9мм 1050x800</t>
  </si>
  <si>
    <t>Воздуховод из оцинк. стали по ГОСТ 14918-80 S=0,9мм 1100x300</t>
  </si>
  <si>
    <t>Воздуховод из оцинк. стали по ГОСТ 14918-80 S=0,9мм 1100x600</t>
  </si>
  <si>
    <t>Воздуховод из оцинк. стали по ГОСТ 14918-80 S=0,9мм 1200x600</t>
  </si>
  <si>
    <t>Воздуховод из оцинк. стали по ГОСТ 14918-80 S=0,9мм 1200x800</t>
  </si>
  <si>
    <t>Воздуховод из оцинк. стали по ГОСТ 14918-80 S=0,9мм 1200x1000</t>
  </si>
  <si>
    <t>Воздуховод из оцинк. стали по ГОСТ 14918-80 S=0,9мм 1400x800</t>
  </si>
  <si>
    <t>Врезка из оцинк. стали по ГОСТ 14918-80 S=0,55мм Ø100/200x100</t>
  </si>
  <si>
    <t>Врезка из оцинк. стали по ГОСТ 14918-80 S=0,55мм Ø125/200x100</t>
  </si>
  <si>
    <t>Врезка из оцинк. стали по ГОСТ 14918-80 S=0,7мм Ø125/300x100</t>
  </si>
  <si>
    <t>Врезка из оцинк. стали по ГОСТ 14918-80 S=0,7мм Ø160/300x100</t>
  </si>
  <si>
    <t>Врезка из оцинк. стали по ГОСТ 14918-80 S=0,7мм Ø160/300x150</t>
  </si>
  <si>
    <t>Врезка из оцинк. стали по ГОСТ 14918-80 S=0,7мм Ø200/300x100</t>
  </si>
  <si>
    <t>Врезка из оцинк. стали по ГОСТ 14918-80 S=0,7мм Ø200/300x150</t>
  </si>
  <si>
    <t>Врезка из оцинк. стали по ГОСТ 14918-80 S=0,7мм Ø200/400x200</t>
  </si>
  <si>
    <t>Врезка из оцинк. стали по ГОСТ 14918-80 S=0,7мм Ø250/300x100</t>
  </si>
  <si>
    <t>Врезка из оцинк. стали по ГОСТ 14918-80 S=0,7мм Ø250/300x150</t>
  </si>
  <si>
    <t>Врезка из оцинк. стали по ГОСТ 14918-80 S=0,7мм Ø250/300x200</t>
  </si>
  <si>
    <t>Врезка из оцинк. стали по ГОСТ 14918-80 S=0,7мм Ø250/400x200</t>
  </si>
  <si>
    <t>Врезка из оцинк. стали по ГОСТ 14918-80 S=0,7мм Ø250/500x200</t>
  </si>
  <si>
    <t>Врезка из оцинк. стали по ГОСТ 14918-80 S=0,7мм Ø315/300x200</t>
  </si>
  <si>
    <t>Врезка из оцинк. стали по ГОСТ 14918-80 S=0,7мм Ø315/400x300</t>
  </si>
  <si>
    <t>Врезка из оцинк. стали по ГОСТ 14918-80 S=0,7мм Ø315/500x200</t>
  </si>
  <si>
    <t>Врезка из оцинк. стали по ГОСТ 14918-80 S=0,7мм Ø315/700x300</t>
  </si>
  <si>
    <t>Врезка из оцинк. стали по ГОСТ 14918-80 S=0,7мм Ø400/500x200</t>
  </si>
  <si>
    <t>Врезка из оцинк. стали по ГОСТ 14918-80 S=0,7мм Ø500/500x200</t>
  </si>
  <si>
    <t>Врезка из оцинк. стали по ГОСТ 14918-80 S=0,7мм Ø500/700x300</t>
  </si>
  <si>
    <t>Врезка из оцинк. стали по ГОСТ 14918-80 S=0,7мм Ø630/700x300</t>
  </si>
  <si>
    <t>Врезка из оцинк. стали по ГОСТ 14918-80 S=0,7мм Ø710/700x300</t>
  </si>
  <si>
    <t>Врезка из оцинк. стали по ГОСТ 14918-80 S=0,7мм Ø800/1000x800</t>
  </si>
  <si>
    <t>Врезка из оцинк. стали по ГОСТ 14918-80 S=0,7мм Ø900/700x300</t>
  </si>
  <si>
    <t>Врезка из оцинк. стали по ГОСТ 14918-80 S=0,7мм 300x150</t>
  </si>
  <si>
    <t>Врезка из оцинк. стали по ГОСТ 14918-80 S=0,7мм 300x200</t>
  </si>
  <si>
    <t>Врезка из оцинк. стали по ГОСТ 14918-80 S=0,7мм 300x250</t>
  </si>
  <si>
    <t>Врезка из оцинк. стали по ГОСТ 14918-80 S=0,7мм 400x200</t>
  </si>
  <si>
    <t>Врезка из оцинк. стали по ГОСТ 14918-80 S=0,7мм 400x250</t>
  </si>
  <si>
    <t>Врезка из оцинк. стали по ГОСТ 14918-80 S=0,7мм 400x300</t>
  </si>
  <si>
    <t>Врезка из оцинк. стали по ГОСТ 14918-80 S=0,7мм 500x250</t>
  </si>
  <si>
    <t>Врезка из оцинк. стали по ГОСТ 14918-80 S=0,7мм 500x300</t>
  </si>
  <si>
    <t>Врезка из оцинк. стали по ГОСТ 14918-80 S=0,7мм 600x300</t>
  </si>
  <si>
    <t>Врезка из оцинк. стали по ГОСТ 14918-80 S=0,7мм 600x500</t>
  </si>
  <si>
    <t>Врезка из оцинк. стали по ГОСТ 14918-80 S=0,7мм 700x300</t>
  </si>
  <si>
    <t>Врезка из оцинк. стали по ГОСТ 14918-80 S=0,7мм 800x300</t>
  </si>
  <si>
    <t>Врезка из оцинк. стали по ГОСТ 14918-80 S=0,7мм 800x400</t>
  </si>
  <si>
    <t>Врезка из оцинк. стали по ГОСТ 14918-80 S=0,7мм 800x500</t>
  </si>
  <si>
    <t>Заглушка из оцинк. стали по ГОСТ 14918-80 S=0,7мм 300x250</t>
  </si>
  <si>
    <t>Заглушка из оцинк. стали по ГОСТ 14918-80 S=0,7мм 400x250</t>
  </si>
  <si>
    <t>Заглушка из оцинк. стали по ГОСТ 14918-80 S=0,7мм 500x300</t>
  </si>
  <si>
    <t>Заглушка из оцинк. стали по ГОСТ 14918-80 S=0,7мм 600x400</t>
  </si>
  <si>
    <t>Заглушка из оцинк. стали по ГОСТ 14918-80 S=0,7мм 600x500</t>
  </si>
  <si>
    <t>Заглушка из оцинк. стали по ГОСТ 14918-80 S=0,7мм 800x500</t>
  </si>
  <si>
    <t>Отвод-15° из оцинк. стали по ГОСТ 14918-80 S=0,7мм 1000x500</t>
  </si>
  <si>
    <t>Отвод-30° из оцинк. стали по ГОСТ 14918-80 S=0,7мм 1000x800</t>
  </si>
  <si>
    <t>Отвод-30° из оцинк. стали по ГОСТ 14918-80 S=0,7мм 250x500</t>
  </si>
  <si>
    <t>Отвод-30° из оцинк. стали по ГОСТ 14918-80 S=0,7мм 300x250</t>
  </si>
  <si>
    <t>Отвод-30° из оцинк. стали по ГОСТ 14918-80 S=0,7мм 300x400</t>
  </si>
  <si>
    <t>Отвод-30° из оцинк. стали по ГОСТ 14918-80 S=0,7мм 400x200</t>
  </si>
  <si>
    <t>Отвод-30° из оцинк. стали по ГОСТ 14918-80 S=0,7мм 500x250</t>
  </si>
  <si>
    <t>Отвод-30° из оцинк. стали по ГОСТ 14918-80 S=0,7мм 600x300</t>
  </si>
  <si>
    <t>Отвод-30° из оцинк. стали по ГОСТ 14918-80 S=0,7мм 800x500</t>
  </si>
  <si>
    <t>Отвод-30° из оцинк. стали по ГОСТ 14918-80 S=0,7мм 1000x500</t>
  </si>
  <si>
    <t>Отвод-30° из оцинк. стали по ГОСТ 14918-80 S=0,9мм 1200x800</t>
  </si>
  <si>
    <t>Отвод-30° из оцинк. стали по ГОСТ 14918-80 S=0,9мм 1400x800</t>
  </si>
  <si>
    <t>Отвод-45° из оцинк. стали по ГОСТ 14918-80 S=0,7мм 250x300</t>
  </si>
  <si>
    <t>Отвод-45° из оцинк. стали по ГОСТ 14918-80 S=0,7мм 250x400</t>
  </si>
  <si>
    <t>Отвод-45° из оцинк. стали по ГОСТ 14918-80 S=0,7мм 400x250</t>
  </si>
  <si>
    <t>Отвод-45° из оцинк. стали по ГОСТ 14918-80 S=0,7мм 400x300</t>
  </si>
  <si>
    <t>Отвод-45° из оцинк. стали по ГОСТ 14918-80 S=0,7мм 600x300</t>
  </si>
  <si>
    <t>Отвод-45° из оцинк. стали по ГОСТ 14918-80 S=0,7мм 1000x800</t>
  </si>
  <si>
    <t>Отвод-60° из оцинк. стали по ГОСТ 14918-80 S=0,7мм 250x500</t>
  </si>
  <si>
    <t>Отвод-60° из оцинк. стали по ГОСТ 14918-80 S=0,7мм 300x250</t>
  </si>
  <si>
    <t>Отвод-60° из оцинк. стали по ГОСТ 14918-80 S=0,7мм 300x600</t>
  </si>
  <si>
    <t>Отвод-60° из оцинк. стали по ГОСТ 14918-80 S=0,7мм 400x200</t>
  </si>
  <si>
    <t>Отвод-60° из оцинк. стали по ГОСТ 14918-80 S=0,7мм 400x250</t>
  </si>
  <si>
    <t>Отвод-60° из оцинк. стали по ГОСТ 14918-80 S=0,7мм 800x500</t>
  </si>
  <si>
    <t>Отвод-60° из оцинк. стали по ГОСТ 14918-80 S=0,9мм 1100x300</t>
  </si>
  <si>
    <t>Отвод-60° из оцинк. стали по ГОСТ 14918-80 S=0,9мм 1400x800</t>
  </si>
  <si>
    <t>Отвод-90° из оцинк. стали по ГОСТ 14918-80 S=0,7мм 500x1000</t>
  </si>
  <si>
    <t>Отвод-90° из оцинк. стали по ГОСТ 14918-80 S=0,7мм 1000x500</t>
  </si>
  <si>
    <t>Отвод-90° из оцинк. стали по ГОСТ 14918-80 S=0,55мм 200x250</t>
  </si>
  <si>
    <t>Отвод-90° из оцинк. стали по ГОСТ 14918-80 S=0,7мм 200x400</t>
  </si>
  <si>
    <t>Отвод-90° из оцинк. стали по ГОСТ 14918-80 S=0,7мм 250x300</t>
  </si>
  <si>
    <t>Отвод-90° из оцинк. стали по ГОСТ 14918-80 S=0,7мм 250x400</t>
  </si>
  <si>
    <t>Отвод-90° из оцинк. стали по ГОСТ 14918-80 S=0,7мм 250x500</t>
  </si>
  <si>
    <t>Отвод-90° из оцинк. стали по ГОСТ 14918-80 S=0,7мм 300x200</t>
  </si>
  <si>
    <t>Отвод-90° из оцинк. стали по ГОСТ 14918-80 S=0,7мм 300x250</t>
  </si>
  <si>
    <t>Отвод-90° из оцинк. стали по ГОСТ 14918-80 S=0,7мм 300x400</t>
  </si>
  <si>
    <t>Отвод-90° из оцинк. стали по ГОСТ 14918-80 S=0,7мм 300x500</t>
  </si>
  <si>
    <t>Отвод-90° из оцинк. стали по ГОСТ 14918-80 S=0,7мм 300x600</t>
  </si>
  <si>
    <t>Отвод-90° из оцинк. стали по ГОСТ 14918-80 S=0,9мм 300x1100</t>
  </si>
  <si>
    <t>Отвод-90° из оцинк. стали по ГОСТ 14918-80 S=0,7мм 400x200</t>
  </si>
  <si>
    <t>Отвод-90° из оцинк. стали по ГОСТ 14918-80 S=0,7мм 400x250</t>
  </si>
  <si>
    <t>Отвод-90° из оцинк. стали по ГОСТ 14918-80 S=0,7мм 400x300</t>
  </si>
  <si>
    <t>Отвод-90° из оцинк. стали по ГОСТ 14918-80 S=0,7мм 400x400</t>
  </si>
  <si>
    <t>Отвод-90° из оцинк. стали по ГОСТ 14918-80 S=0,7мм 400x500</t>
  </si>
  <si>
    <t>Отвод-90° из оцинк. стали по ГОСТ 14918-80 S=0,7мм 400x600</t>
  </si>
  <si>
    <t>Отвод-90° из оцинк. стали по ГОСТ 14918-80 S=0,7мм 400x800</t>
  </si>
  <si>
    <t>Отвод-90° из оцинк. стали по ГОСТ 14918-80 S=0,7мм 400x1000</t>
  </si>
  <si>
    <t>Отвод-90° из оцинк. стали по ГОСТ 14918-80 S=0,7мм 500x250</t>
  </si>
  <si>
    <t>Отвод-90° из оцинк. стали по ГОСТ 14918-80 S=0,7мм 500x300</t>
  </si>
  <si>
    <t>Отвод-90° из оцинк. стали по ГОСТ 14918-80 S=0,7мм 500x400</t>
  </si>
  <si>
    <t>Отвод-90° из оцинк. стали по ГОСТ 14918-80 S=0,7мм 500x800</t>
  </si>
  <si>
    <t>Отвод-90° из оцинк. стали по ГОСТ 14918-80 S=0,7мм 500x900</t>
  </si>
  <si>
    <t>Отвод-90° из оцинк. стали по ГОСТ 14918-80 S=0,7мм 600x300</t>
  </si>
  <si>
    <t>Отвод-90° из оцинк. стали по ГОСТ 14918-80 S=0,7мм 600x400</t>
  </si>
  <si>
    <t>Отвод-90° из оцинк. стали по ГОСТ 14918-80 S=0,7мм 600x500</t>
  </si>
  <si>
    <t>Отвод-90° из оцинк. стали по ГОСТ 14918-80 S=0,7мм 800x400</t>
  </si>
  <si>
    <t>Отвод-90° из оцинк. стали по ГОСТ 14918-80 S=0,7мм 800x500</t>
  </si>
  <si>
    <t>Отвод-90° из оцинк. стали по ГОСТ 14918-80 S=0,7мм 800x1000</t>
  </si>
  <si>
    <t>Отвод-90° из оцинк. стали по ГОСТ 14918-80 S=0,9мм 800x1200</t>
  </si>
  <si>
    <t>Отвод-90° из оцинк. стали по ГОСТ 14918-80 S=0,9мм 800x1400</t>
  </si>
  <si>
    <t>Отвод-90° из оцинк. стали по ГОСТ 14918-80 S=0,7мм 900x500</t>
  </si>
  <si>
    <t>Отвод-90° из оцинк. стали по ГОСТ 14918-80 S=0,7мм 1000x400</t>
  </si>
  <si>
    <t>Отвод-90° из оцинк. стали по ГОСТ 14918-80 S=0,9мм 1000x1200</t>
  </si>
  <si>
    <t>Отвод-90° из оцинк. стали по ГОСТ 14918-80 S=0,9мм 1100x300</t>
  </si>
  <si>
    <t>Отвод-90° из оцинк. стали по ГОСТ 14918-80 S=0,9мм 1200x1000</t>
  </si>
  <si>
    <t>Отвод-90° из оцинк. стали по ГОСТ 14918-80 S=0,9мм 1400x800</t>
  </si>
  <si>
    <t>Переход из оцинк. стали по ГОСТ 14918-80 S=0,7мм 300x200/Ø200</t>
  </si>
  <si>
    <t>Переход из оцинк. стали по ГОСТ 14918-80 S=0,7мм 300x250/Ø200</t>
  </si>
  <si>
    <t>Переход из оцинк. стали по ГОСТ 14918-80 S=0,7мм Ø250/300x250</t>
  </si>
  <si>
    <t>Переход из оцинк. стали по ГОСТ 14918-80 S=0,7мм 300x250/250x300</t>
  </si>
  <si>
    <t>Переход из оцинк. стали по ГОСТ 14918-80 S=0,7мм Ø315/250x200</t>
  </si>
  <si>
    <t>Переход из оцинк. стали по ГОСТ 14918-80 S=0,7мм Ø315/300x250</t>
  </si>
  <si>
    <t>Переход из оцинк. стали по ГОСТ 14918-80 S=0,7мм 300x200/400x200</t>
  </si>
  <si>
    <t>Переход из оцинк. стали по ГОСТ 14918-80 S=0,7мм Ø315/400x200</t>
  </si>
  <si>
    <t>Переход из оцинк. стали по ГОСТ 14918-80 S=0,7мм Ø250/400x250</t>
  </si>
  <si>
    <t>Переход из оцинк. стали по ГОСТ 14918-80 S=0,7мм 300x250/400x250</t>
  </si>
  <si>
    <t>Переход из оцинк. стали по ГОСТ 14918-80 S=0,7мм 400x300/Ø250</t>
  </si>
  <si>
    <t>Переход из оцинк. стали по ГОСТ 14918-80 S=0,7мм 400x300/300x250</t>
  </si>
  <si>
    <t>Переход из оцинк. стали по ГОСТ 14918-80 S=0,7мм 400x400/400x300</t>
  </si>
  <si>
    <t>Переход из оцинк. стали по ГОСТ 14918-80 S=0,7мм 400x400/Ø315</t>
  </si>
  <si>
    <t>Переход из оцинк. стали по ГОСТ 14918-80 S=0,7мм 500x250/Ø160</t>
  </si>
  <si>
    <t>Переход из оцинк. стали по ГОСТ 14918-80 S=0,7мм 500x250/250x400</t>
  </si>
  <si>
    <t>Переход из оцинк. стали по ГОСТ 14918-80 S=0,7мм 250x400/250x500</t>
  </si>
  <si>
    <t>Переход из оцинк. стали по ГОСТ 14918-80 S=0,7мм 400x400/500x250</t>
  </si>
  <si>
    <t>Переход из оцинк. стали по ГОСТ 14918-80 S=0,7мм 500x300/Ø160</t>
  </si>
  <si>
    <t>Переход из оцинк. стали по ГОСТ 14918-80 S=0,7мм 500x300/250x400</t>
  </si>
  <si>
    <t>Переход из оцинк. стали по ГОСТ 14918-80 S=0,7мм 500x300/300x250</t>
  </si>
  <si>
    <t>Переход из оцинк. стали по ГОСТ 14918-80 S=0,7мм 500x300/300x400</t>
  </si>
  <si>
    <t>Переход из оцинк. стали по ГОСТ 14918-80 S=0,7мм 500x300/400x250</t>
  </si>
  <si>
    <t>Переход из оцинк. стали по ГОСТ 14918-80 S=0,7мм 500x300/500x250</t>
  </si>
  <si>
    <t>Переход из оцинк. стали по ГОСТ 14918-80 S=0,7мм 500x400/Ø250</t>
  </si>
  <si>
    <t>Переход из оцинк. стали по ГОСТ 14918-80 S=0,7мм 500x400/300x250</t>
  </si>
  <si>
    <t>Переход из оцинк. стали по ГОСТ 14918-80 S=0,7мм 500x400/Ø315</t>
  </si>
  <si>
    <t>Переход из оцинк. стали по ГОСТ 14918-80 S=0,7мм 300x600/250x300</t>
  </si>
  <si>
    <t>Переход из оцинк. стали по ГОСТ 14918-80 S=0,7мм 300x600/600x300</t>
  </si>
  <si>
    <t>Переход из оцинк. стали по ГОСТ 14918-80 S=0,7мм 600x300/400x250</t>
  </si>
  <si>
    <t>Переход из оцинк. стали по ГОСТ 14918-80 S=0,7мм 600x300/500x250</t>
  </si>
  <si>
    <t>Переход из оцинк. стали по ГОСТ 14918-80 S=0,7мм 500x300/600x300</t>
  </si>
  <si>
    <t>Переход из оцинк. стали по ГОСТ 14918-80 S=0,7мм 500x400/600x300</t>
  </si>
  <si>
    <t>Переход из оцинк. стали по ГОСТ 14918-80 S=0,7мм 600x350/600x300</t>
  </si>
  <si>
    <t>Переход из оцинк. стали по ГОСТ 14918-80 S=0,7мм 600x400/400x300</t>
  </si>
  <si>
    <t>Переход из оцинк. стали по ГОСТ 14918-80 S=0,7мм Ø400/600x400</t>
  </si>
  <si>
    <t>Переход из оцинк. стали по ГОСТ 14918-80 S=0,7мм 600x400/500x300</t>
  </si>
  <si>
    <t>Переход из оцинк. стали по ГОСТ 14918-80 S=0,7мм 600x600/400x600</t>
  </si>
  <si>
    <t>Переход из оцинк. стали по ГОСТ 14918-80 S=0,7мм 700x400/600x300</t>
  </si>
  <si>
    <t>Переход из оцинк. стали по ГОСТ 14918-80 S=0,7мм 300x500/300x800</t>
  </si>
  <si>
    <t>Переход из оцинк. стали по ГОСТ 14918-80 S=0,7мм 600x400/800x400</t>
  </si>
  <si>
    <t>Переход из оцинк. стали по ГОСТ 14918-80 S=0,7мм 800x500/300x250</t>
  </si>
  <si>
    <t>Переход из оцинк. стали по ГОСТ 14918-80 S=0,7мм 500x800/600x350</t>
  </si>
  <si>
    <t>Переход из оцинк. стали по ГОСТ 14918-80 S=0,7мм 800x500/500x400</t>
  </si>
  <si>
    <t>Переход из оцинк. стали по ГОСТ 14918-80 S=0,7мм 800x500/600x400</t>
  </si>
  <si>
    <t>Переход из оцинк. стали по ГОСТ 14918-80 S=0,7мм 900x500/800x500</t>
  </si>
  <si>
    <t>Переход из оцинк. стали по ГОСТ 14918-80 S=0,7мм 800x500/900x500</t>
  </si>
  <si>
    <t>Переход из оцинк. стали по ГОСТ 14918-80 S=0,7мм 400x600/400x1000</t>
  </si>
  <si>
    <t>Переход из оцинк. стали по ГОСТ 14918-80 S=0,7мм 800x400/1000x400</t>
  </si>
  <si>
    <t>Переход из оцинк. стали по ГОСТ 14918-80 S=0,7мм 900x500/1000x400</t>
  </si>
  <si>
    <t>Переход из оцинк. стали по ГОСТ 14918-80 S=0,7мм Ø630/1000x500</t>
  </si>
  <si>
    <t>Переход из оцинк. стали по ГОСТ 14918-80 S=0,7мм 1000x500/800x400</t>
  </si>
  <si>
    <t>Переход из оцинк. стали по ГОСТ 14918-80 S=0,7мм 1000x500/800x500</t>
  </si>
  <si>
    <t>Переход из оцинк. стали по ГОСТ 14918-80 S=0,7мм 850x700/1000x500</t>
  </si>
  <si>
    <t>Переход из оцинк. стали по ГОСТ 14918-80 S=0,7мм 900x500/1000x500</t>
  </si>
  <si>
    <t>Переход из оцинк. стали по ГОСТ 14918-80 S=0,7мм 1000x800/600x300</t>
  </si>
  <si>
    <t>Переход из оцинк. стали по ГОСТ 14918-80 S=0,7мм Ø900/1000x800</t>
  </si>
  <si>
    <t>Переход из оцинк. стали по ГОСТ 14918-80 S=0,7мм 1000x800/1050x800</t>
  </si>
  <si>
    <t>Переход из оцинк. стали по ГОСТ 14918-80 S=0,7мм 300x800/300x1100</t>
  </si>
  <si>
    <t>Переход из оцинк. стали по ГОСТ 14918-80 S=0,7мм 1000x500/1100x300</t>
  </si>
  <si>
    <t>Переход из оцинк. стали по ГОСТ 14918-80 S=0,9мм 1100x600/800x500</t>
  </si>
  <si>
    <t>Переход из оцинк. стали по ГОСТ 14918-80 S=0,9мм 1100x600/900x500</t>
  </si>
  <si>
    <t>Переход из оцинк. стали по ГОСТ 14918-80 S=0,9мм 600x1200/400x1000</t>
  </si>
  <si>
    <t>Переход из оцинк. стали по ГОСТ 14918-80 S=0,7мм 1000x800/1200x800</t>
  </si>
  <si>
    <t>Переход из оцинк. стали по ГОСТ 14918-80 S=0,9мм 1000x1200/1200x1000</t>
  </si>
  <si>
    <t>Переход из оцинк. стали по ГОСТ 14918-80 S=0,9мм 800x1400/600x1200</t>
  </si>
  <si>
    <t>Переход из оцинк. стали по ГОСТ 14918-80 S=0,9мм 1200x1000/1400x800</t>
  </si>
  <si>
    <t>Переход со смещением из оцинк. стали по ГОСТ 14918-80 S=0,7мм 500x250/300x250</t>
  </si>
  <si>
    <t>Переход со смещением из оцинк. стали по ГОСТ 14918-80 S=0,7мм 400x300/500x300</t>
  </si>
  <si>
    <t>Переход со смещением из оцинк. стали по ГОСТ 14918-80 S=0,9мм 1200x1000/1000x800</t>
  </si>
  <si>
    <t>Переход со смещением из оцинк. стали по ГОСТ 14918-80 S=0,7мм 500x300/300x400</t>
  </si>
  <si>
    <t>Переход со смещением из оцинк. стали по ГОСТ 14918-80 S=0,7мм 400x600/500x300</t>
  </si>
  <si>
    <t>Тройник-90° из оцинк. стали по ГОСТ 14918-80 S=0,55мм Ø200/300x150</t>
  </si>
  <si>
    <t>Воздуховод из листовой стали по ГОСТ 19904-90S=1мм 400x200</t>
  </si>
  <si>
    <t>Воздуховод из листовой стали по ГОСТ 19904-90S=1мм 600x300</t>
  </si>
  <si>
    <t>Воздуховод из листовой стали по ГОСТ 19904-90S=1мм 600x600</t>
  </si>
  <si>
    <t>Воздуховод из листовой стали по ГОСТ 19904-90S=1мм 700x700</t>
  </si>
  <si>
    <t>Воздуховод из листовой стали по ГОСТ 19904-90S=1мм 800x600</t>
  </si>
  <si>
    <t>Воздуховод из листовой стали по ГОСТ 19904-90S=1мм 800x800</t>
  </si>
  <si>
    <t>Воздуховод из листовой стали по ГОСТ 19904-90S=1мм 1000x400</t>
  </si>
  <si>
    <t>Воздуховод из листовой стали по ГОСТ 19904-90S=1мм 1000x1000</t>
  </si>
  <si>
    <t>Воздуховод из листовой стали по ГОСТ 19904-90S=1мм 1200x400</t>
  </si>
  <si>
    <t>Воздуховод из листовой стали по ГОСТ 19904-90S=1мм 1300x1150</t>
  </si>
  <si>
    <t>Врезка из листовой стали по ГОСТ 19904-90S=1мм Ø315/400x200</t>
  </si>
  <si>
    <t>Врезка из листовой стали по ГОСТ 19904-90S=1мм Ø315/600x300</t>
  </si>
  <si>
    <t>Врезка из листовой стали по ГОСТ 19904-90S=1мм 600x600</t>
  </si>
  <si>
    <t>Врезка из листовой стали по ГОСТ 19904-90S=1мм 700x700</t>
  </si>
  <si>
    <t>Врезка из листовой стали по ГОСТ 19904-90S=1мм 800x600</t>
  </si>
  <si>
    <t>Врезка из листовой стали по ГОСТ 19904-90S=1мм 800x800</t>
  </si>
  <si>
    <t>Врезка из листовой стали по ГОСТ 19904-90S=1мм 1000x400</t>
  </si>
  <si>
    <t>Врезка из листовой стали по ГОСТ 19904-90S=1мм 1000x1000</t>
  </si>
  <si>
    <t>Заглушка из листовой стали по ГОСТ 19904-90S=1мм 600x600</t>
  </si>
  <si>
    <t>Заглушка из листовой стали по ГОСТ 19904-90S=1мм 800x600</t>
  </si>
  <si>
    <t>Заглушка из листовой стали по ГОСТ 19904-90S=1мм 1000x400</t>
  </si>
  <si>
    <t>Заглушка из листовой стали по ГОСТ 19904-90S=1мм 1200x400</t>
  </si>
  <si>
    <t>Отвод-15° из листовой стали по ГОСТ 19904-90S=1мм 1000x400</t>
  </si>
  <si>
    <t>Отвод-45° из листовой стали по ГОСТ 19904-90S=1мм 1000x400</t>
  </si>
  <si>
    <t>Отвод-60° из листовой стали по ГОСТ 19904-90S=1мм 1000x400</t>
  </si>
  <si>
    <t>Отвод-90° из листовой стали по ГОСТ 19904-90S=1мм 400x1000</t>
  </si>
  <si>
    <t>Отвод-90° из листовой стали по ГОСТ 19904-90S=1мм 400x1200</t>
  </si>
  <si>
    <t>Отвод-90° из листовой стали по ГОСТ 19904-90S=1мм 600x600</t>
  </si>
  <si>
    <t>Отвод-90° из листовой стали по ГОСТ 19904-90S=1мм 600x800</t>
  </si>
  <si>
    <t>Отвод-90° из листовой стали по ГОСТ 19904-90S=1мм 800x600</t>
  </si>
  <si>
    <t>Отвод-90° из листовой стали по ГОСТ 19904-90S=1мм 1000x400</t>
  </si>
  <si>
    <t>Отвод-90° из листовой стали по ГОСТ 19904-90S=1мм 1200x400</t>
  </si>
  <si>
    <t>Переход из листовой стали по ГОСТ 19904-90S=1мм 700x700/800x600</t>
  </si>
  <si>
    <t>Переход из листовой стали по ГОСТ 19904-90S=1мм 1300x1150/1000x1000</t>
  </si>
  <si>
    <t>Переход со смещением из листовой стали по ГОСТ 19904-90S=1мм 1000x1000/800x600</t>
  </si>
  <si>
    <t>Переход со смещением из листовой стали по ГОСТ 19904-90S=1мм 1300x1150/800x600</t>
  </si>
  <si>
    <t>Тройник-90° из листовой стали по ГОСТ 19904-90S=1мм 600x800/600x800</t>
  </si>
  <si>
    <t>13x022-2 ST</t>
  </si>
  <si>
    <t>13x025-2 ST</t>
  </si>
  <si>
    <t>13x035-2 ST</t>
  </si>
  <si>
    <t>13x042-2 ST</t>
  </si>
  <si>
    <t>19x057-2 ST</t>
  </si>
  <si>
    <t>19x076-2 ST</t>
  </si>
  <si>
    <t>19x089-2 ST</t>
  </si>
  <si>
    <t>19x133-2 ST</t>
  </si>
  <si>
    <t>Насос, G = 20,45 м³/ч, H = 5,5 м, 3x400 В, N = 1,5 кВт</t>
  </si>
  <si>
    <t>Насос, G = 4,6 м³/ч, H = 3,5 м, 3x380 В, N = 0,75 кВт</t>
  </si>
  <si>
    <t>Насос, G = 3,53 м³/ч, H = 6,6 м, 3x380 В, N = 0,75 кВт</t>
  </si>
  <si>
    <t>Насос, G = 36,69 м³/ч, H = 6,5 м, 3x400 В, N = 4 кВт</t>
  </si>
  <si>
    <t>Опоры неподвижные щитовые Опора щитовая неподвижная для трубопроводов в изоляции ППУ с проводниками ОДК в ПЭ оболочке диаметрами: 2хØ159x5</t>
  </si>
  <si>
    <t>НО-1-2п 2xD159x5/250ППУ-П с ОДК с. 3.903 кл. 14 в. 1-1</t>
  </si>
  <si>
    <t>Прокладка стальных футляров D426x8 методом ГНБ под дорогой</t>
  </si>
  <si>
    <t>Шкаф монтажный телекоммуникационный 19" напольный для распределительного и серверного оборудования 42U 800x1000x2055мм передняя и задняя перфорированные двери, ручка с замком, цвет серый (RAL 7035)</t>
  </si>
  <si>
    <t xml:space="preserve">Монтажный комплект рельс 3U для 19" стойки </t>
  </si>
  <si>
    <t>Сервисный контракт на коммутационное оборудование Eltex MES, режим взаимодействия - 8x5, 3 календарных года</t>
  </si>
  <si>
    <t xml:space="preserve">Опция EMS-MES-access системы Eltex.EMS для управления и мониторинга сетевыми элементами Eltex: 1 сетевой элемент MES-1000, MES-2000 </t>
  </si>
  <si>
    <t>Сервер DEPO Storm 1420Q1: Intel® Xeon® E-2234, 16 ГБ, 2 x 300 ГБ SAS-накопитель, Сдвоенный блок питания 400 Вт (2x400 Вт)</t>
  </si>
  <si>
    <t xml:space="preserve">Сервисный контракт на техническую поддержку по точкам доступа Wi-Fi, режим взаимодействия - 8x5, 5 календарных лет </t>
  </si>
  <si>
    <t>Беспроводная точка доступа 802.11a/b/g/n/ac/ax, 2.4 ГГц, 5 ГГц; радиоинтерфейс с MU-MIMO 2x2; 1 порт 100/1000/2500BASE-T (RJ-45)</t>
  </si>
  <si>
    <t xml:space="preserve">WEP-3ax </t>
  </si>
  <si>
    <t>Сервер DEPO Storm 3450Z1: Microsoft® Windows Server 2019 Standard (16 ядер), RU, 2 x Intel® Xeon® Silver 4208, 128 Гб, 2 x 240 ГБ SSD SATA-накопитель, 2 x 1000 ГБ SATA-накопитель (7200 об/мин) 2.5" (2 шт.), 3 x 300 ГБ SAS-накопитель (10000 об/мин) 2.5", Сетевая карта (мезонин), 2 порта, 10 Гбит/с, SFP+, трансиверы 1 Гбит/с, RJ-45, Сдвоенный блок питания 800 Вт (2x800 Вт)</t>
  </si>
  <si>
    <t>Шкаф монтажный телекоммуникационный 19" напольный для распределительного и серверного оборудования 42U (ШхГхВ) 800x1000x2055mm передняя и задняя перфорированные двери, ручка с замком, цвет серый (RAL 7035)</t>
  </si>
  <si>
    <t xml:space="preserve">Опция EMS-MES-access системы Eltex. EMS для управления и мониторинга сетевыми элементами Eltex: 1 сетевой элемент MES-1000, MES-2000 </t>
  </si>
  <si>
    <t xml:space="preserve">Опция EMS-TAU системы Eltex. EMS для управления и мониторинга сетевыми элементами Eltex: 1 сетевой элемент TAU-72.IP/TAU-36.IP/TAU- 32M.IP/TAU-24.IP/TAU-16.IP </t>
  </si>
  <si>
    <t>Каркас для монтажа электроустановочных изделий серии "45x45 мм" на 2 модуля</t>
  </si>
  <si>
    <t>Лицевая панель 80х80мм для модулей 45x45 (Mosaic)</t>
  </si>
  <si>
    <t>FF-80x80</t>
  </si>
  <si>
    <t>Вставка 45x22,5 (Mosaic) для 1 модуля формата Keystone Jack</t>
  </si>
  <si>
    <t>Вставка 45x45 (Mosaic) для 2 модулей формата Keystone Jack</t>
  </si>
  <si>
    <t xml:space="preserve">Проходной соединитель SC-SC, SM (для одномодового кабеля), simplex </t>
  </si>
  <si>
    <t>Блок розеток Rem-10 без шнура с инд., 9 Sсhuko, вход IEC 60320 C14, 10A,  алюм., 19"</t>
  </si>
  <si>
    <t>КПСТЭТнг(А)-HF 1x2x1</t>
  </si>
  <si>
    <t>КПСТТнг(А)-HF 1x2x1</t>
  </si>
  <si>
    <t>M10x120</t>
  </si>
  <si>
    <t>М8x2000</t>
  </si>
  <si>
    <t xml:space="preserve">Профиль BPM-21 длиной 500мм </t>
  </si>
  <si>
    <t>Часть 2. Комплексные системы безопасности   03-01/07.21П-ИОС.5.2.СО</t>
  </si>
  <si>
    <t>Шкаф монтажный телекоммуникационный 19" напольный для распределительного и серверного оборудования 42U 800x1000x2055mm (ШхГхВ) передняя и задняя перфорированные двери, ручка с замком, цвет серый (RAL 7035)</t>
  </si>
  <si>
    <t>Шкаф телекоммуникационный настенный разобранный 19" 12U 600x600x635mm (ШхГхВ) дверь стекло, цвет серый (RAL 7035)</t>
  </si>
  <si>
    <t>Шкаф монтажный телекоммуникационный 19" напольный для распределительного и серверного оборудования 18U 600x600x988mm (ШхГхВ) передняя стеклянная и задняя сплошная металлическая двери, ручка с замком, цвет серый (RAL 7035)</t>
  </si>
  <si>
    <t>Рабочая станция оператора с возможностью подключения 2 мониторов (1x DP/HDMI, 1x HDMI). Исполнение 19" 2U. Конфигурация ID3, 1x Intel Core i5 gen11, ОЗУ 16GB, LAN1Gbit/s, ОС - SSD 128GB 2.5" SATA. Windows 10 IoT Enterprise Value. БП 500Вт, вес нет/брут 12/20кг, габариты WxLxH 427x430x88мм, для шкафов глубиной от 600мм. Встроенная защита ОС от оператора. Встроенная система мониторинга Диспетчер VIDEOMAX. В комплекте: клавиатура USB, мышь USB, салазки SR20</t>
  </si>
  <si>
    <t>КПСТТнг(А)-HF 2x2x1</t>
  </si>
  <si>
    <t>КПСТТнг(А)-HF 1x2x0.75</t>
  </si>
  <si>
    <t>КПСТТнг(А)-HF 1x2x0.5</t>
  </si>
  <si>
    <t>Шпилька резьбовая M8x3000</t>
  </si>
  <si>
    <t>iROBO-2000-40i5TRHN-G3 Промышленный компьютер 4U/19"/C236/Intel Core-i5 6400/2,7ГГц/2х4Гб DDR4/2x1Тб SATA HDD-ES HotSwap/RAID 0,1,5,10/DVD-RW/DVI-D,2xDP/2xГб/LAN/IPMI/10xUSB/1xCOM/mSATA/Audio/Video 2Gb GT730/WinSrv2012/БП 400Вт ATX</t>
  </si>
  <si>
    <t>iROBO-3000-00i6-G3 Компактный промышленный компьютер/C236/Intel Core-i5 6400 2.7ГГц/2x4Гб DDR4/2x1000Гб SATA HDD(серверный)/DVD-RW/DVI-D, 2xDP/2xГб/LAN/10xUSB/1xCOM/mSATA/2xPCI/2xPCIe-16(x16,x4)/1xPCIe-8(x1)/2xPCIe-4(x4,x1)/Audio/400Вт/ATX/GT730-SL-2GD3/KBD+MOUSE/Win7</t>
  </si>
  <si>
    <t>ТехноКИПнг(А)-HF 1x2x0,6</t>
  </si>
  <si>
    <t>КИнг(А)-FRHF 2x2x0.5</t>
  </si>
  <si>
    <t>Коробка клеммная, 130x130x77, IP66, мембраны</t>
  </si>
  <si>
    <t>ОКЛ СПЕЦКАБЛАЙН-КиТ-ГФ20 — 450 м (КПСэнг(А)-FRHF 1х2х0,75 — 450м)</t>
  </si>
  <si>
    <t>ОКЛ СПЕЦКАБЛАЙН-КиТ-ГФ20 — 580 м (КПСнг(А)-FRHF 2х2х0,5 — 580м)</t>
  </si>
  <si>
    <t>ОКЛ СПЕЦКАБЛАЙН-КиТ-ГФ20 — 150 м (КПСнг(А)-FRHF 1х2х0,5 — 150м)</t>
  </si>
  <si>
    <t>ОКЛ СПЕЦКАБЛАЙН-КиТ-ГФ20 — 400 м (КПСнг(А)-FRHF 1х2х1,5 — 400м)</t>
  </si>
  <si>
    <t>ОКЛ СПЕЦКАБЛАЙН-КиТ-ГФ20 — 5420 м (КПСнг(А)-FRHF 1х2х0,75 — 5420)</t>
  </si>
  <si>
    <t>ОКЛ СПЕЦКАБЛАЙН-КиТ-ГФ20 — 1650 м (КПСнг(А)-FRHF 1х2х1 — 1650м)</t>
  </si>
  <si>
    <t>ОКЛ СПЕЦКАБЛАЙН-КиТ-ГФ25 — 500 м (КунРс Внг(А)-FRHF 2х1,5 — 500м)</t>
  </si>
  <si>
    <t>ОКЛ СПЕЦКАБЛАЙН-КиТ-ГФ25 — 100 м (КунРс Внг(А)-FRHF 3х1,5 — 100 м)</t>
  </si>
  <si>
    <t>ОКЛ СПЕЦКАБЛАЙН-К2Д 70/40×25 — 15 м (КПСэнг(А)-FRHF 1х2х0.75 — 25 м + КПСнг(А)-FRHF 1х2х1 — 25 м + КПСнг(А)-FRHF 1х2х0,75 – 50 м + КПСнг(А)-FRHF 1х2х1,5 – 10 м)</t>
  </si>
  <si>
    <t>ОКЛ СПЕЦКАБЛАЙН-К2Д 50/25×25 — 10 м (КПСэнг(А)-FRHF 1х2х0,75 – 10 м + КПСнг(А)-FRHF 1х2х0,75 - 10 м - КПСнг(А)-FRHF 1х2х1,5 - 10 м)</t>
  </si>
  <si>
    <t>ОКЛ СПЕЦКАБЛАЙН-КиТ-ГФ20 — 1500 м (КПСЭнг(А)-FRHF 1х2х1,5 — 1500м)</t>
  </si>
  <si>
    <t>ОКЛ СПЕЦКАБЛАЙН-КиТ-ГФ20 — 90 м (СПЕЦЛАН UTP-5нг(А)-FRHF 4х2х0,5 — 90м)</t>
  </si>
  <si>
    <t>По типуу Bi-o-star</t>
  </si>
  <si>
    <t>Импульс 735- D35x6-D27x7-S 16x224xP10-S6- A2</t>
  </si>
  <si>
    <t>Cactus CS-PSW- 168X299-BK</t>
  </si>
  <si>
    <t>Изоляция трубчатая ST-09X048</t>
  </si>
  <si>
    <t>Труба медная Ø54x2,0 для хол. техники</t>
  </si>
  <si>
    <t>Труба медная Ø35x1,5 для хол. техники</t>
  </si>
  <si>
    <t>ST-25X114</t>
  </si>
  <si>
    <t>ST-13X089</t>
  </si>
  <si>
    <t>ST-13X028</t>
  </si>
  <si>
    <t>Подвес с теплоизоляцией 25x160 в комплекте с хомутом</t>
  </si>
  <si>
    <t>Подвес с теплоизоляцией 25x160 без хомута</t>
  </si>
  <si>
    <t>Подвес с теплоизоляцией 25x110 в комплекте с хомутом</t>
  </si>
  <si>
    <t>Подвес с теплоизоляцией 25x110 без хомута</t>
  </si>
  <si>
    <t>Погружной теплообменик ямы снеготаяния ООО"КИБО"</t>
  </si>
  <si>
    <t>FONTECO ФП- КН5-300 Антивандальны й или аналог</t>
  </si>
  <si>
    <t>марка фонтана собрана обратно (перенос строки разорвал её на две ячейки)</t>
  </si>
  <si>
    <t>хвост марки «К» убран из наименования</t>
  </si>
  <si>
    <t>й или аналог</t>
  </si>
  <si>
    <t>в «Тип, марка» лежал обрывок «й или аналог» от марки соседней позиции</t>
  </si>
  <si>
    <t>FONTEC O ФП- КН5-300 Антивандальны й или аналог</t>
  </si>
  <si>
    <t>F — Ед. изм.</t>
  </si>
  <si>
    <t>единица измерения приведена к единому написанию</t>
  </si>
  <si>
    <t>п.м</t>
  </si>
  <si>
    <t>м²</t>
  </si>
  <si>
    <t>пм</t>
  </si>
  <si>
    <t>п.м.</t>
  </si>
  <si>
    <t>уп</t>
  </si>
  <si>
    <t>Шт.</t>
  </si>
  <si>
    <t>Компл.</t>
  </si>
  <si>
    <t>Кв.м</t>
  </si>
  <si>
    <t>Комплект</t>
  </si>
  <si>
    <t>Шт</t>
  </si>
  <si>
    <t>15V</t>
  </si>
  <si>
    <t>iROBO-2000-40i5-G5-SM (C30097396)</t>
  </si>
  <si>
    <t>XL1708US (0956070E)</t>
  </si>
  <si>
    <t>C30097408</t>
  </si>
  <si>
    <t>2 раб. 2 рез. ESAU24U7_AR1</t>
  </si>
  <si>
    <t>ESAC24U7_AR1</t>
  </si>
  <si>
    <t>SCP12A5</t>
  </si>
  <si>
    <t>1 раб. 1 рез. SAU12AR1-A</t>
  </si>
  <si>
    <t>SAS12AR1-A</t>
  </si>
  <si>
    <t>SMZC24V4AI</t>
  </si>
  <si>
    <t>SMZU190V5AI</t>
  </si>
  <si>
    <t>SMZU120V5AI</t>
  </si>
  <si>
    <t>SMZU215V5AI</t>
  </si>
  <si>
    <t>SMZU135V5AI</t>
  </si>
  <si>
    <t>SMZC30V4AI</t>
  </si>
  <si>
    <t>Обратный клапан DN10 PN16</t>
  </si>
  <si>
    <t>Затвор DN100 PN16</t>
  </si>
  <si>
    <t>(БТП FORTUS 64328)</t>
  </si>
  <si>
    <t>БТП FORTUS</t>
  </si>
  <si>
    <t>Работа, ПНР, кключая медь, фитинги эТМ, хладогент и масло</t>
  </si>
  <si>
    <t>ANTARUS 3 MLH20-2/3-II</t>
  </si>
  <si>
    <t>д63</t>
  </si>
  <si>
    <t>PN25</t>
  </si>
  <si>
    <t>GRAF</t>
  </si>
  <si>
    <t xml:space="preserve">ООО «Эдем-Мебель»</t>
  </si>
  <si>
    <t xml:space="preserve">сходится (объединены два написания одного наименования)</t>
  </si>
  <si>
    <t xml:space="preserve">(объединено) Стол рабочий прямой; 1200х700х750(h) мм</t>
  </si>
  <si>
    <t xml:space="preserve">объединено со строкой выше — два написания одного наименования</t>
  </si>
  <si>
    <t xml:space="preserve">E — Поставщик</t>
  </si>
  <si>
    <t xml:space="preserve">исправлен разрыв внутри слова «Торговая»</t>
  </si>
  <si>
    <t xml:space="preserve">наименование приведено к единому написанию — убран лишний пробел перед «(h)»</t>
  </si>
  <si>
    <t xml:space="preserve">проставлен артикул серии «Эдем-1»: позиция идентична стр.3276 (тот же стол 1200х700х750). После объединения двух написаний кол-во по СО 10 шт = кол-во по ВОР 10 шт</t>
  </si>
  <si>
    <t xml:space="preserve">наименование поставщика приведено к единому написанию (было два варианта регистра и лишний пробел после дефиса)</t>
  </si>
  <si>
    <t xml:space="preserve">убран мусорный префикс «+ ЭВ*2», приклеившийся от соседней позиции (стр.3251)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</si>
</sst>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164" formatCode="#,##0.00\ _₽"/>
    <numFmt numFmtId="165" formatCode="#,##0.00;\-#,##0.00;\—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u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u/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1"/>
      <name val="Arial"/>
      <family val="2"/>
      <charset val="204"/>
    </font>
    <font>
      <b/>
      <sz val="12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sz val="11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92D050"/>
        <bgColor rgb="FFB0B0B0"/>
      </patternFill>
    </fill>
    <fill>
      <patternFill patternType="solid">
        <fgColor rgb="FFC6E0B4"/>
        <bgColor rgb="FFD9D9D9"/>
      </patternFill>
    </fill>
    <fill>
      <patternFill patternType="solid">
        <fgColor theme="0" tint="-0.249977111117893"/>
        <bgColor rgb="FFB0B0B0"/>
      </patternFill>
    </fill>
    <fill>
      <patternFill patternType="solid">
        <fgColor rgb="FFD9C2E9"/>
        <bgColor rgb="FFD9D9D9"/>
      </patternFill>
    </fill>
    <fill>
      <patternFill patternType="solid">
        <fgColor rgb="FFEBDFF5"/>
        <bgColor rgb="FFDCE6F1"/>
      </patternFill>
    </fill>
    <fill>
      <patternFill patternType="solid">
        <fgColor theme="0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EBDFF5"/>
      </patternFill>
    </fill>
    <fill>
      <patternFill patternType="solid">
        <fgColor rgb="FFB8CCE4"/>
        <bgColor rgb="FFBFBFBF"/>
      </patternFill>
    </fill>
    <fill>
      <patternFill patternType="solid">
        <fgColor rgb="FFB39BD1"/>
        <bgColor rgb="FFB0B0B0"/>
      </patternFill>
    </fill>
    <fill>
      <patternFill patternType="solid">
        <fgColor rgb="FFD9D9D9"/>
        <bgColor rgb="FFDCE6F1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9000"/>
      </left>
      <right style="thin">
        <color rgb="FFBF9000"/>
      </right>
      <top style="medium">
        <color rgb="FFBF9000"/>
      </top>
      <bottom style="medium">
        <color rgb="FFBF9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158">
    <xf numFmtId="0" fontId="0" fillId="0" borderId="0" xfId="0"/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right" vertical="center" wrapText="1"/>
    </xf>
    <xf numFmtId="0" fontId="6" fillId="2" borderId="0" xfId="0" applyFont="1" applyFill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center" vertical="center" shrinkToFi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/>
    </xf>
    <xf numFmtId="49" fontId="1" fillId="6" borderId="1" xfId="0" applyNumberFormat="1" applyFont="1" applyFill="1" applyBorder="1" applyAlignment="1">
      <alignment horizontal="center" vertical="center" shrinkToFit="1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0" fillId="7" borderId="0" xfId="0" applyFill="1"/>
    <xf numFmtId="0" fontId="4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49" fontId="5" fillId="0" borderId="1" xfId="0" applyNumberFormat="1" applyFont="1" applyBorder="1" applyAlignment="1">
      <alignment horizontal="center" vertical="center" shrinkToFit="1"/>
    </xf>
    <xf numFmtId="164" fontId="5" fillId="0" borderId="1" xfId="0" applyNumberFormat="1" applyFont="1" applyBorder="1" applyAlignment="1">
      <alignment horizontal="right" vertical="center" wrapText="1"/>
    </xf>
    <xf numFmtId="49" fontId="1" fillId="0" borderId="3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right" vertical="center" wrapText="1"/>
    </xf>
    <xf numFmtId="49" fontId="1" fillId="0" borderId="4" xfId="0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49" fontId="5" fillId="0" borderId="4" xfId="0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49" fontId="1" fillId="5" borderId="4" xfId="0" applyNumberFormat="1" applyFont="1" applyFill="1" applyBorder="1" applyAlignment="1">
      <alignment horizontal="center" vertical="center" shrinkToFit="1"/>
    </xf>
    <xf numFmtId="0" fontId="1" fillId="5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 wrapText="1"/>
    </xf>
    <xf numFmtId="164" fontId="1" fillId="5" borderId="4" xfId="0" applyNumberFormat="1" applyFont="1" applyFill="1" applyBorder="1" applyAlignment="1">
      <alignment horizontal="right" vertical="center" wrapText="1"/>
    </xf>
    <xf numFmtId="0" fontId="5" fillId="9" borderId="5" xfId="0" applyFont="1" applyFill="1" applyBorder="1" applyAlignment="1">
      <alignment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5" fillId="10" borderId="5" xfId="0" applyFont="1" applyFill="1" applyBorder="1" applyAlignment="1">
      <alignment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49" fontId="1" fillId="12" borderId="4" xfId="0" applyNumberFormat="1" applyFont="1" applyFill="1" applyBorder="1" applyAlignment="1">
      <alignment horizontal="center" vertical="center" shrinkToFit="1"/>
    </xf>
    <xf numFmtId="0" fontId="1" fillId="12" borderId="4" xfId="0" applyFont="1" applyFill="1" applyBorder="1" applyAlignment="1">
      <alignment horizontal="left" vertical="center" wrapText="1"/>
    </xf>
    <xf numFmtId="0" fontId="1" fillId="12" borderId="4" xfId="0" applyFont="1" applyFill="1" applyBorder="1" applyAlignment="1">
      <alignment horizontal="center" vertical="center" wrapText="1"/>
    </xf>
    <xf numFmtId="164" fontId="1" fillId="12" borderId="4" xfId="0" applyNumberFormat="1" applyFont="1" applyFill="1" applyBorder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0" fontId="2" fillId="13" borderId="6" xfId="0" applyFont="1" applyFill="1" applyBorder="1" applyAlignment="1">
      <alignment horizontal="right" vertical="center"/>
    </xf>
    <xf numFmtId="0" fontId="2" fillId="13" borderId="6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vertical="center"/>
    </xf>
    <xf numFmtId="164" fontId="2" fillId="13" borderId="6" xfId="0" applyNumberFormat="1" applyFont="1" applyFill="1" applyBorder="1" applyAlignment="1">
      <alignment horizontal="right" vertical="center"/>
    </xf>
    <xf numFmtId="0" fontId="14" fillId="12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165" fontId="13" fillId="0" borderId="7" xfId="0" applyNumberFormat="1" applyFont="1" applyBorder="1" applyAlignment="1">
      <alignment horizontal="right" vertical="center" wrapText="1"/>
    </xf>
    <xf numFmtId="0" fontId="0" fillId="0" borderId="7" xfId="0" applyBorder="1"/>
    <xf numFmtId="0" fontId="14" fillId="0" borderId="7" xfId="0" applyFont="1" applyBorder="1" applyAlignment="1">
      <alignment horizontal="right" vertical="center" wrapText="1"/>
    </xf>
    <xf numFmtId="4" fontId="14" fillId="0" borderId="7" xfId="0" applyNumberFormat="1" applyFont="1" applyBorder="1" applyAlignment="1">
      <alignment horizontal="right" vertical="center" wrapText="1"/>
    </xf>
    <xf numFmtId="0" fontId="0" fillId="13" borderId="7" xfId="0" applyFill="1" applyBorder="1"/>
    <xf numFmtId="0" fontId="14" fillId="13" borderId="7" xfId="0" applyFont="1" applyFill="1" applyBorder="1" applyAlignment="1">
      <alignment horizontal="right" vertical="center" wrapText="1"/>
    </xf>
    <xf numFmtId="4" fontId="14" fillId="13" borderId="7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5" fillId="12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>
      <alignment vertical="top"/>
    </xf>
    <xf numFmtId="0" fontId="5" fillId="0" borderId="8" xfId="0" applyFont="1" applyBorder="1" applyAlignment="1">
      <alignment vertical="top" wrapText="1"/>
    </xf>
    <xf numFmtId="0" fontId="13" fillId="0" borderId="7" xfId="0" applyFont="1" applyBorder="1" applyAlignment="1">
      <alignment horizontal="left" vertical="top" wrapText="1"/>
    </xf>
    <xf numFmtId="44" fontId="1" fillId="0" borderId="1" xfId="1" applyNumberFormat="1" applyFont="1" applyBorder="1" applyAlignment="1">
      <alignment horizontal="center" vertical="center" wrapText="1"/>
    </xf>
    <xf numFmtId="44" fontId="1" fillId="3" borderId="1" xfId="1" applyNumberFormat="1" applyFont="1" applyFill="1" applyBorder="1" applyAlignment="1">
      <alignment horizontal="right" vertical="center" wrapText="1"/>
    </xf>
    <xf numFmtId="44" fontId="3" fillId="0" borderId="1" xfId="1" applyNumberFormat="1" applyFont="1" applyBorder="1" applyAlignment="1">
      <alignment horizontal="right" vertical="center" wrapText="1"/>
    </xf>
    <xf numFmtId="44" fontId="1" fillId="4" borderId="1" xfId="1" applyNumberFormat="1" applyFont="1" applyFill="1" applyBorder="1" applyAlignment="1">
      <alignment horizontal="right" vertical="center" wrapText="1"/>
    </xf>
    <xf numFmtId="44" fontId="6" fillId="0" borderId="1" xfId="1" applyNumberFormat="1" applyFont="1" applyBorder="1" applyAlignment="1">
      <alignment horizontal="right" vertical="center" wrapText="1"/>
    </xf>
    <xf numFmtId="44" fontId="7" fillId="2" borderId="0" xfId="1" applyNumberFormat="1" applyFont="1" applyFill="1" applyAlignment="1">
      <alignment horizontal="right" vertical="center" wrapText="1"/>
    </xf>
    <xf numFmtId="44" fontId="1" fillId="5" borderId="1" xfId="1" applyNumberFormat="1" applyFont="1" applyFill="1" applyBorder="1" applyAlignment="1">
      <alignment horizontal="right" vertical="center" wrapText="1"/>
    </xf>
    <xf numFmtId="44" fontId="1" fillId="6" borderId="1" xfId="1" applyNumberFormat="1" applyFont="1" applyFill="1" applyBorder="1" applyAlignment="1">
      <alignment horizontal="right" vertical="center" wrapText="1"/>
    </xf>
    <xf numFmtId="44" fontId="6" fillId="7" borderId="1" xfId="1" applyNumberFormat="1" applyFont="1" applyFill="1" applyBorder="1" applyAlignment="1">
      <alignment horizontal="right" vertical="center" wrapText="1"/>
    </xf>
    <xf numFmtId="44" fontId="9" fillId="8" borderId="1" xfId="1" applyNumberFormat="1" applyFont="1" applyFill="1" applyBorder="1" applyAlignment="1">
      <alignment horizontal="right" vertical="center" wrapText="1"/>
    </xf>
    <xf numFmtId="44" fontId="0" fillId="0" borderId="0" xfId="1" applyNumberFormat="1" applyFont="1"/>
    <xf numFmtId="44" fontId="5" fillId="4" borderId="1" xfId="1" applyNumberFormat="1" applyFont="1" applyFill="1" applyBorder="1" applyAlignment="1">
      <alignment horizontal="right" vertical="center" wrapText="1"/>
    </xf>
    <xf numFmtId="44" fontId="5" fillId="0" borderId="1" xfId="1" applyNumberFormat="1" applyFont="1" applyBorder="1" applyAlignment="1">
      <alignment horizontal="right" vertical="center" wrapText="1"/>
    </xf>
    <xf numFmtId="44" fontId="1" fillId="0" borderId="3" xfId="1" applyNumberFormat="1" applyFont="1" applyBorder="1" applyAlignment="1">
      <alignment horizontal="right" vertical="center" wrapText="1"/>
    </xf>
    <xf numFmtId="44" fontId="1" fillId="0" borderId="4" xfId="1" applyNumberFormat="1" applyFont="1" applyBorder="1" applyAlignment="1">
      <alignment horizontal="right" vertical="center" wrapText="1"/>
    </xf>
    <xf numFmtId="44" fontId="5" fillId="0" borderId="4" xfId="1" applyNumberFormat="1" applyFont="1" applyBorder="1" applyAlignment="1">
      <alignment horizontal="right" vertical="center" wrapText="1"/>
    </xf>
    <xf numFmtId="44" fontId="1" fillId="5" borderId="4" xfId="1" applyNumberFormat="1" applyFont="1" applyFill="1" applyBorder="1" applyAlignment="1">
      <alignment horizontal="right" vertical="center" wrapText="1"/>
    </xf>
    <xf numFmtId="44" fontId="5" fillId="9" borderId="5" xfId="1" applyNumberFormat="1" applyFont="1" applyFill="1" applyBorder="1" applyAlignment="1">
      <alignment vertical="center" wrapText="1"/>
    </xf>
    <xf numFmtId="44" fontId="1" fillId="0" borderId="5" xfId="1" applyNumberFormat="1" applyFont="1" applyBorder="1" applyAlignment="1">
      <alignment horizontal="center" vertical="top" wrapText="1"/>
    </xf>
    <xf numFmtId="44" fontId="5" fillId="10" borderId="5" xfId="1" applyNumberFormat="1" applyFont="1" applyFill="1" applyBorder="1" applyAlignment="1">
      <alignment vertical="center" wrapText="1"/>
    </xf>
    <xf numFmtId="44" fontId="1" fillId="0" borderId="1" xfId="1" applyNumberFormat="1" applyFont="1" applyBorder="1" applyAlignment="1">
      <alignment horizontal="center" vertical="top" wrapText="1"/>
    </xf>
    <xf numFmtId="44" fontId="5" fillId="9" borderId="1" xfId="1" applyNumberFormat="1" applyFont="1" applyFill="1" applyBorder="1" applyAlignment="1">
      <alignment vertical="center" wrapText="1"/>
    </xf>
    <xf numFmtId="44" fontId="1" fillId="12" borderId="4" xfId="1" applyNumberFormat="1" applyFont="1" applyFill="1" applyBorder="1" applyAlignment="1">
      <alignment horizontal="right" vertical="center" wrapText="1"/>
    </xf>
    <xf numFmtId="44" fontId="11" fillId="13" borderId="6" xfId="1" applyNumberFormat="1" applyFont="1" applyFill="1" applyBorder="1" applyAlignment="1">
      <alignment horizontal="righ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center" vertical="center" wrapText="1"/>
    </xf>
    <xf numFmtId="164" fontId="9" fillId="14" borderId="1" xfId="0" applyNumberFormat="1" applyFont="1" applyFill="1" applyBorder="1" applyAlignment="1">
      <alignment horizontal="right" vertical="center" wrapText="1"/>
    </xf>
    <xf numFmtId="0" fontId="5" fillId="11" borderId="4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11" borderId="0" xfId="0" applyFont="1" applyFill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4" fillId="5" borderId="7" xfId="0" applyFont="1" applyFill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top" wrapText="1"/>
    </xf>
    <xf numFmtId="0" fontId="15" fillId="0" borderId="0" xfId="0" applyFont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0B0B0"/>
      <rgbColor rgb="FF993366"/>
      <rgbColor rgb="FFFFF2CC"/>
      <rgbColor rgb="FFDCE6F1"/>
      <rgbColor rgb="FF660066"/>
      <rgbColor rgb="FFFF8080"/>
      <rgbColor rgb="FF0066CC"/>
      <rgbColor rgb="FFD9C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DFF5"/>
      <rgbColor rgb="FFC6E0B4"/>
      <rgbColor rgb="FFFFFF99"/>
      <rgbColor rgb="FFB8CCE4"/>
      <rgbColor rgb="FFFF99CC"/>
      <rgbColor rgb="FFB39BD1"/>
      <rgbColor rgb="FFD9D9D9"/>
      <rgbColor rgb="FF3366FF"/>
      <rgbColor rgb="FF33CCCC"/>
      <rgbColor rgb="FF92D050"/>
      <rgbColor rgb="FFFFCC00"/>
      <rgbColor rgb="FFBF90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K4705"/>
  <sheetViews>
    <sheetView tabSelected="1" zoomScaleNormal="100" workbookViewId="0">
      <pane ySplit="1" topLeftCell="A2" activePane="bottomLeft" state="frozen"/>
      <selection pane="bottomLeft" activeCell="H2684" sqref="H2684:H4339"/>
    </sheetView>
  </sheetViews>
  <sheetFormatPr defaultColWidth="8.7109375" defaultRowHeight="15" x14ac:dyDescent="0.25"/>
  <cols>
    <col min="2" max="2" width="69.140625" customWidth="1"/>
    <col min="3" max="3" width="25.7109375" customWidth="1"/>
    <col min="4" max="4" width="15" customWidth="1"/>
    <col min="5" max="5" width="20.7109375" customWidth="1"/>
    <col min="7" max="7" width="13" style="1" customWidth="1"/>
    <col min="8" max="8" width="15.7109375" customWidth="1"/>
    <col min="9" max="9" width="29.5703125" style="130" customWidth="1"/>
    <col min="10" max="10" width="12.7109375" customWidth="1"/>
    <col min="11" max="11" width="20.7109375" customWidth="1"/>
    <col min="12" max="12" width="9.140625" customWidth="1"/>
  </cols>
  <sheetData>
    <row r="1" spans="1:11" ht="60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20" t="s">
        <v>8</v>
      </c>
      <c r="J1" s="3" t="s">
        <v>9</v>
      </c>
      <c r="K1" s="3" t="s">
        <v>10</v>
      </c>
    </row>
    <row r="2" spans="1:11" ht="21.75" customHeight="1" x14ac:dyDescent="0.25">
      <c r="A2" s="149" t="s">
        <v>11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11" ht="90" customHeight="1" x14ac:dyDescent="0.25">
      <c r="A3" s="5" t="s">
        <v>12</v>
      </c>
      <c r="B3" s="6" t="s">
        <v>13</v>
      </c>
      <c r="C3" s="7"/>
      <c r="D3" s="7"/>
      <c r="E3" s="7" t="s">
        <v>14</v>
      </c>
      <c r="F3" s="7" t="s">
        <v>15</v>
      </c>
      <c r="G3" s="7">
        <v>269</v>
      </c>
      <c r="H3" s="8">
        <v>900</v>
      </c>
      <c r="I3" s="121">
        <f t="shared" ref="I3:I17" si="0">H3*G3</f>
        <v>242100</v>
      </c>
      <c r="J3" s="7"/>
      <c r="K3" s="6" t="s">
        <v>16</v>
      </c>
    </row>
    <row r="4" spans="1:11" ht="90" customHeight="1" x14ac:dyDescent="0.25">
      <c r="A4" s="5" t="s">
        <v>17</v>
      </c>
      <c r="B4" s="6" t="s">
        <v>18</v>
      </c>
      <c r="C4" s="7"/>
      <c r="D4" s="7"/>
      <c r="E4" s="7" t="s">
        <v>14</v>
      </c>
      <c r="F4" s="7" t="s">
        <v>15</v>
      </c>
      <c r="G4" s="7">
        <v>26796.799999999999</v>
      </c>
      <c r="H4" s="8">
        <v>900</v>
      </c>
      <c r="I4" s="121">
        <f t="shared" si="0"/>
        <v>24117120</v>
      </c>
      <c r="J4" s="7"/>
      <c r="K4" s="6" t="s">
        <v>19</v>
      </c>
    </row>
    <row r="5" spans="1:11" ht="90" customHeight="1" x14ac:dyDescent="0.25">
      <c r="A5" s="5" t="s">
        <v>20</v>
      </c>
      <c r="B5" s="6" t="s">
        <v>18</v>
      </c>
      <c r="C5" s="7"/>
      <c r="D5" s="7"/>
      <c r="E5" s="7" t="s">
        <v>14</v>
      </c>
      <c r="F5" s="7" t="s">
        <v>15</v>
      </c>
      <c r="G5" s="7">
        <v>112.70399999999999</v>
      </c>
      <c r="H5" s="8">
        <v>900</v>
      </c>
      <c r="I5" s="121">
        <f t="shared" si="0"/>
        <v>101433.59999999999</v>
      </c>
      <c r="J5" s="7"/>
      <c r="K5" s="6" t="s">
        <v>21</v>
      </c>
    </row>
    <row r="6" spans="1:11" ht="90" customHeight="1" x14ac:dyDescent="0.25">
      <c r="A6" s="5" t="s">
        <v>17</v>
      </c>
      <c r="B6" s="6" t="s">
        <v>18</v>
      </c>
      <c r="C6" s="7"/>
      <c r="D6" s="7"/>
      <c r="E6" s="7" t="s">
        <v>14</v>
      </c>
      <c r="F6" s="7" t="s">
        <v>15</v>
      </c>
      <c r="G6" s="7">
        <v>169.6</v>
      </c>
      <c r="H6" s="8">
        <v>900</v>
      </c>
      <c r="I6" s="121">
        <f t="shared" si="0"/>
        <v>152640</v>
      </c>
      <c r="J6" s="7"/>
      <c r="K6" s="6" t="s">
        <v>22</v>
      </c>
    </row>
    <row r="7" spans="1:11" ht="90" customHeight="1" x14ac:dyDescent="0.25">
      <c r="A7" s="5" t="s">
        <v>23</v>
      </c>
      <c r="B7" s="6" t="s">
        <v>18</v>
      </c>
      <c r="C7" s="7"/>
      <c r="D7" s="7"/>
      <c r="E7" s="7" t="s">
        <v>14</v>
      </c>
      <c r="F7" s="7" t="s">
        <v>15</v>
      </c>
      <c r="G7" s="7">
        <v>851.2</v>
      </c>
      <c r="H7" s="8">
        <v>900</v>
      </c>
      <c r="I7" s="121">
        <f t="shared" si="0"/>
        <v>766080</v>
      </c>
      <c r="J7" s="7"/>
      <c r="K7" s="6" t="s">
        <v>22</v>
      </c>
    </row>
    <row r="8" spans="1:11" ht="90" customHeight="1" x14ac:dyDescent="0.25">
      <c r="A8" s="5" t="s">
        <v>24</v>
      </c>
      <c r="B8" s="6" t="s">
        <v>18</v>
      </c>
      <c r="C8" s="7"/>
      <c r="D8" s="7"/>
      <c r="E8" s="7" t="s">
        <v>14</v>
      </c>
      <c r="F8" s="7" t="s">
        <v>15</v>
      </c>
      <c r="G8" s="7">
        <v>76.8</v>
      </c>
      <c r="H8" s="8">
        <v>900</v>
      </c>
      <c r="I8" s="121">
        <f t="shared" si="0"/>
        <v>69120</v>
      </c>
      <c r="J8" s="7"/>
      <c r="K8" s="6" t="s">
        <v>25</v>
      </c>
    </row>
    <row r="9" spans="1:11" ht="90" customHeight="1" x14ac:dyDescent="0.25">
      <c r="A9" s="5" t="s">
        <v>17</v>
      </c>
      <c r="B9" s="6" t="s">
        <v>18</v>
      </c>
      <c r="C9" s="7"/>
      <c r="D9" s="7"/>
      <c r="E9" s="7" t="s">
        <v>14</v>
      </c>
      <c r="F9" s="7" t="s">
        <v>15</v>
      </c>
      <c r="G9" s="7">
        <v>228.8</v>
      </c>
      <c r="H9" s="8">
        <v>900</v>
      </c>
      <c r="I9" s="121">
        <f t="shared" si="0"/>
        <v>205920</v>
      </c>
      <c r="J9" s="7"/>
      <c r="K9" s="6" t="s">
        <v>26</v>
      </c>
    </row>
    <row r="10" spans="1:11" ht="90" customHeight="1" x14ac:dyDescent="0.25">
      <c r="A10" s="5" t="s">
        <v>27</v>
      </c>
      <c r="B10" s="6" t="s">
        <v>18</v>
      </c>
      <c r="C10" s="7"/>
      <c r="D10" s="7"/>
      <c r="E10" s="7" t="s">
        <v>14</v>
      </c>
      <c r="F10" s="7" t="s">
        <v>15</v>
      </c>
      <c r="G10" s="7">
        <v>30.4</v>
      </c>
      <c r="H10" s="8">
        <v>900</v>
      </c>
      <c r="I10" s="121">
        <f t="shared" si="0"/>
        <v>27360</v>
      </c>
      <c r="J10" s="7"/>
      <c r="K10" s="6" t="s">
        <v>28</v>
      </c>
    </row>
    <row r="11" spans="1:11" ht="90" customHeight="1" x14ac:dyDescent="0.25">
      <c r="A11" s="5" t="s">
        <v>29</v>
      </c>
      <c r="B11" s="6" t="s">
        <v>18</v>
      </c>
      <c r="C11" s="7"/>
      <c r="D11" s="7"/>
      <c r="E11" s="7" t="s">
        <v>14</v>
      </c>
      <c r="F11" s="7" t="s">
        <v>15</v>
      </c>
      <c r="G11" s="7">
        <v>625.6</v>
      </c>
      <c r="H11" s="8">
        <v>900</v>
      </c>
      <c r="I11" s="121">
        <f t="shared" si="0"/>
        <v>563040</v>
      </c>
      <c r="J11" s="7"/>
      <c r="K11" s="6" t="s">
        <v>26</v>
      </c>
    </row>
    <row r="12" spans="1:11" ht="90" customHeight="1" x14ac:dyDescent="0.25">
      <c r="A12" s="5" t="s">
        <v>30</v>
      </c>
      <c r="B12" s="6" t="s">
        <v>18</v>
      </c>
      <c r="C12" s="7"/>
      <c r="D12" s="7"/>
      <c r="E12" s="7" t="s">
        <v>14</v>
      </c>
      <c r="F12" s="7" t="s">
        <v>15</v>
      </c>
      <c r="G12" s="7">
        <v>104</v>
      </c>
      <c r="H12" s="8">
        <v>900</v>
      </c>
      <c r="I12" s="121">
        <f t="shared" si="0"/>
        <v>93600</v>
      </c>
      <c r="J12" s="7"/>
      <c r="K12" s="6" t="s">
        <v>28</v>
      </c>
    </row>
    <row r="13" spans="1:11" ht="90" customHeight="1" x14ac:dyDescent="0.25">
      <c r="A13" s="5" t="s">
        <v>31</v>
      </c>
      <c r="B13" s="6" t="s">
        <v>18</v>
      </c>
      <c r="C13" s="7"/>
      <c r="D13" s="7"/>
      <c r="E13" s="7" t="s">
        <v>14</v>
      </c>
      <c r="F13" s="7" t="s">
        <v>15</v>
      </c>
      <c r="G13" s="7">
        <v>1510.4</v>
      </c>
      <c r="H13" s="8">
        <v>900</v>
      </c>
      <c r="I13" s="121">
        <f t="shared" si="0"/>
        <v>1359360</v>
      </c>
      <c r="J13" s="7"/>
      <c r="K13" s="6" t="s">
        <v>26</v>
      </c>
    </row>
    <row r="14" spans="1:11" ht="90" customHeight="1" x14ac:dyDescent="0.25">
      <c r="A14" s="5" t="s">
        <v>32</v>
      </c>
      <c r="B14" s="6" t="s">
        <v>18</v>
      </c>
      <c r="C14" s="7"/>
      <c r="D14" s="7"/>
      <c r="E14" s="7" t="s">
        <v>14</v>
      </c>
      <c r="F14" s="7" t="s">
        <v>15</v>
      </c>
      <c r="G14" s="7">
        <v>329.6</v>
      </c>
      <c r="H14" s="8">
        <v>900</v>
      </c>
      <c r="I14" s="121">
        <f t="shared" si="0"/>
        <v>296640</v>
      </c>
      <c r="J14" s="7"/>
      <c r="K14" s="6" t="s">
        <v>33</v>
      </c>
    </row>
    <row r="15" spans="1:11" ht="90" customHeight="1" x14ac:dyDescent="0.25">
      <c r="A15" s="5" t="s">
        <v>34</v>
      </c>
      <c r="B15" s="6" t="s">
        <v>18</v>
      </c>
      <c r="C15" s="7"/>
      <c r="D15" s="7"/>
      <c r="E15" s="7" t="s">
        <v>14</v>
      </c>
      <c r="F15" s="7" t="s">
        <v>15</v>
      </c>
      <c r="G15" s="7">
        <v>452.8</v>
      </c>
      <c r="H15" s="8">
        <v>900</v>
      </c>
      <c r="I15" s="121">
        <f t="shared" si="0"/>
        <v>407520</v>
      </c>
      <c r="J15" s="7"/>
      <c r="K15" s="6" t="s">
        <v>35</v>
      </c>
    </row>
    <row r="16" spans="1:11" ht="90" customHeight="1" x14ac:dyDescent="0.25">
      <c r="A16" s="5" t="s">
        <v>36</v>
      </c>
      <c r="B16" s="6" t="s">
        <v>18</v>
      </c>
      <c r="C16" s="7"/>
      <c r="D16" s="7"/>
      <c r="E16" s="7" t="s">
        <v>14</v>
      </c>
      <c r="F16" s="7" t="s">
        <v>15</v>
      </c>
      <c r="G16" s="7">
        <v>7708.8</v>
      </c>
      <c r="H16" s="8">
        <v>900</v>
      </c>
      <c r="I16" s="121">
        <f t="shared" si="0"/>
        <v>6937920</v>
      </c>
      <c r="J16" s="7"/>
      <c r="K16" s="6" t="s">
        <v>37</v>
      </c>
    </row>
    <row r="17" spans="1:11" ht="90" customHeight="1" x14ac:dyDescent="0.25">
      <c r="A17" s="5" t="s">
        <v>38</v>
      </c>
      <c r="B17" s="6" t="s">
        <v>18</v>
      </c>
      <c r="C17" s="7"/>
      <c r="D17" s="7"/>
      <c r="E17" s="7" t="s">
        <v>14</v>
      </c>
      <c r="F17" s="7" t="s">
        <v>15</v>
      </c>
      <c r="G17" s="7">
        <v>124.03</v>
      </c>
      <c r="H17" s="8">
        <v>900</v>
      </c>
      <c r="I17" s="121">
        <f t="shared" si="0"/>
        <v>111627</v>
      </c>
      <c r="J17" s="7"/>
      <c r="K17" s="6" t="s">
        <v>39</v>
      </c>
    </row>
    <row r="18" spans="1:11" ht="19.5" customHeight="1" x14ac:dyDescent="0.25">
      <c r="A18" s="9" t="s">
        <v>40</v>
      </c>
      <c r="B18" s="10" t="s">
        <v>41</v>
      </c>
      <c r="C18" s="11"/>
      <c r="D18" s="11"/>
      <c r="E18" s="11"/>
      <c r="F18" s="11"/>
      <c r="G18" s="11"/>
      <c r="H18" s="12"/>
      <c r="I18" s="122"/>
      <c r="J18" s="11"/>
      <c r="K18" s="13"/>
    </row>
    <row r="19" spans="1:11" ht="15.75" customHeight="1" x14ac:dyDescent="0.25">
      <c r="A19" s="14"/>
      <c r="B19" s="15" t="s">
        <v>42</v>
      </c>
      <c r="C19" s="16"/>
      <c r="D19" s="16"/>
      <c r="E19" s="16"/>
      <c r="F19" s="16"/>
      <c r="G19" s="16"/>
      <c r="H19" s="17"/>
      <c r="I19" s="123"/>
      <c r="J19" s="16"/>
      <c r="K19" s="18"/>
    </row>
    <row r="20" spans="1:11" ht="15.75" customHeight="1" x14ac:dyDescent="0.25">
      <c r="A20" s="19">
        <v>1</v>
      </c>
      <c r="B20" s="20" t="s">
        <v>43</v>
      </c>
      <c r="C20" s="21"/>
      <c r="D20" s="21"/>
      <c r="E20" s="22"/>
      <c r="F20" s="22"/>
      <c r="G20" s="21"/>
      <c r="H20" s="23"/>
      <c r="I20" s="124"/>
      <c r="J20" s="21"/>
      <c r="K20" s="24"/>
    </row>
    <row r="21" spans="1:11" ht="15.75" customHeight="1" x14ac:dyDescent="0.25">
      <c r="A21" s="25"/>
      <c r="B21" s="26" t="s">
        <v>44</v>
      </c>
      <c r="C21" s="3" t="s">
        <v>45</v>
      </c>
      <c r="D21" s="21"/>
      <c r="E21" s="22" t="s">
        <v>46</v>
      </c>
      <c r="F21" s="3" t="s">
        <v>47</v>
      </c>
      <c r="G21" s="3">
        <v>1</v>
      </c>
      <c r="H21" s="23">
        <v>959419.25</v>
      </c>
      <c r="I21" s="124">
        <f t="shared" ref="I21:I48" si="1">H21*G21</f>
        <v>959419.25</v>
      </c>
      <c r="J21" s="21"/>
      <c r="K21" s="24"/>
    </row>
    <row r="22" spans="1:11" ht="15.75" customHeight="1" x14ac:dyDescent="0.25">
      <c r="A22" s="25"/>
      <c r="B22" s="26" t="s">
        <v>48</v>
      </c>
      <c r="C22" s="3" t="s">
        <v>45</v>
      </c>
      <c r="D22" s="21"/>
      <c r="E22" s="22" t="s">
        <v>46</v>
      </c>
      <c r="F22" s="3" t="s">
        <v>47</v>
      </c>
      <c r="G22" s="3">
        <v>1</v>
      </c>
      <c r="H22" s="23">
        <v>2812830</v>
      </c>
      <c r="I22" s="124">
        <f t="shared" si="1"/>
        <v>2812830</v>
      </c>
      <c r="J22" s="21"/>
      <c r="K22" s="24"/>
    </row>
    <row r="23" spans="1:11" ht="15.75" customHeight="1" x14ac:dyDescent="0.25">
      <c r="A23" s="25"/>
      <c r="B23" s="26" t="s">
        <v>49</v>
      </c>
      <c r="C23" s="3" t="s">
        <v>45</v>
      </c>
      <c r="D23" s="21"/>
      <c r="E23" s="22" t="s">
        <v>46</v>
      </c>
      <c r="F23" s="3" t="s">
        <v>47</v>
      </c>
      <c r="G23" s="3">
        <v>1</v>
      </c>
      <c r="H23" s="23">
        <v>66620.7</v>
      </c>
      <c r="I23" s="124">
        <f t="shared" si="1"/>
        <v>66620.7</v>
      </c>
      <c r="J23" s="21"/>
      <c r="K23" s="24"/>
    </row>
    <row r="24" spans="1:11" ht="15.75" customHeight="1" x14ac:dyDescent="0.25">
      <c r="A24" s="25"/>
      <c r="B24" s="26" t="s">
        <v>50</v>
      </c>
      <c r="C24" s="3" t="s">
        <v>45</v>
      </c>
      <c r="D24" s="21"/>
      <c r="E24" s="22" t="s">
        <v>46</v>
      </c>
      <c r="F24" s="3" t="s">
        <v>47</v>
      </c>
      <c r="G24" s="3">
        <v>1</v>
      </c>
      <c r="H24" s="23">
        <v>94135.83</v>
      </c>
      <c r="I24" s="124">
        <f t="shared" si="1"/>
        <v>94135.83</v>
      </c>
      <c r="J24" s="21"/>
      <c r="K24" s="24"/>
    </row>
    <row r="25" spans="1:11" ht="15.75" customHeight="1" x14ac:dyDescent="0.25">
      <c r="A25" s="25"/>
      <c r="B25" s="26" t="s">
        <v>51</v>
      </c>
      <c r="C25" s="3" t="s">
        <v>45</v>
      </c>
      <c r="D25" s="21"/>
      <c r="E25" s="22" t="s">
        <v>46</v>
      </c>
      <c r="F25" s="3" t="s">
        <v>47</v>
      </c>
      <c r="G25" s="3">
        <v>1</v>
      </c>
      <c r="H25" s="23">
        <v>40035.53</v>
      </c>
      <c r="I25" s="124">
        <f t="shared" si="1"/>
        <v>40035.53</v>
      </c>
      <c r="J25" s="21"/>
      <c r="K25" s="24"/>
    </row>
    <row r="26" spans="1:11" ht="15.75" customHeight="1" x14ac:dyDescent="0.25">
      <c r="A26" s="25"/>
      <c r="B26" s="26" t="s">
        <v>52</v>
      </c>
      <c r="C26" s="3" t="s">
        <v>45</v>
      </c>
      <c r="D26" s="21"/>
      <c r="E26" s="22" t="s">
        <v>46</v>
      </c>
      <c r="F26" s="3" t="s">
        <v>47</v>
      </c>
      <c r="G26" s="3">
        <v>1</v>
      </c>
      <c r="H26" s="23">
        <v>46940.94</v>
      </c>
      <c r="I26" s="124">
        <f t="shared" si="1"/>
        <v>46940.94</v>
      </c>
      <c r="J26" s="21"/>
      <c r="K26" s="24"/>
    </row>
    <row r="27" spans="1:11" ht="15.75" customHeight="1" x14ac:dyDescent="0.25">
      <c r="A27" s="25"/>
      <c r="B27" s="26" t="s">
        <v>53</v>
      </c>
      <c r="C27" s="3" t="s">
        <v>45</v>
      </c>
      <c r="D27" s="21"/>
      <c r="E27" s="22" t="s">
        <v>46</v>
      </c>
      <c r="F27" s="3" t="s">
        <v>47</v>
      </c>
      <c r="G27" s="3">
        <v>1</v>
      </c>
      <c r="H27" s="23">
        <v>53529.39</v>
      </c>
      <c r="I27" s="124">
        <f t="shared" si="1"/>
        <v>53529.39</v>
      </c>
      <c r="J27" s="21"/>
      <c r="K27" s="24"/>
    </row>
    <row r="28" spans="1:11" ht="15.75" customHeight="1" x14ac:dyDescent="0.25">
      <c r="A28" s="25"/>
      <c r="B28" s="26" t="s">
        <v>54</v>
      </c>
      <c r="C28" s="3" t="s">
        <v>45</v>
      </c>
      <c r="D28" s="21"/>
      <c r="E28" s="22" t="s">
        <v>46</v>
      </c>
      <c r="F28" s="3" t="s">
        <v>47</v>
      </c>
      <c r="G28" s="3">
        <v>1</v>
      </c>
      <c r="H28" s="23">
        <v>56081.52</v>
      </c>
      <c r="I28" s="124">
        <f t="shared" si="1"/>
        <v>56081.52</v>
      </c>
      <c r="J28" s="21"/>
      <c r="K28" s="24"/>
    </row>
    <row r="29" spans="1:11" ht="15.75" customHeight="1" x14ac:dyDescent="0.25">
      <c r="A29" s="25"/>
      <c r="B29" s="26" t="s">
        <v>55</v>
      </c>
      <c r="C29" s="3" t="s">
        <v>45</v>
      </c>
      <c r="D29" s="21"/>
      <c r="E29" s="22" t="s">
        <v>46</v>
      </c>
      <c r="F29" s="3" t="s">
        <v>47</v>
      </c>
      <c r="G29" s="3">
        <v>1</v>
      </c>
      <c r="H29" s="23">
        <v>47192.31</v>
      </c>
      <c r="I29" s="124">
        <f t="shared" si="1"/>
        <v>47192.31</v>
      </c>
      <c r="J29" s="21"/>
      <c r="K29" s="24"/>
    </row>
    <row r="30" spans="1:11" ht="15.75" customHeight="1" x14ac:dyDescent="0.25">
      <c r="A30" s="25"/>
      <c r="B30" s="26" t="s">
        <v>56</v>
      </c>
      <c r="C30" s="3" t="s">
        <v>45</v>
      </c>
      <c r="D30" s="21"/>
      <c r="E30" s="22" t="s">
        <v>46</v>
      </c>
      <c r="F30" s="3" t="s">
        <v>47</v>
      </c>
      <c r="G30" s="3">
        <v>1</v>
      </c>
      <c r="H30" s="23">
        <v>53529.39</v>
      </c>
      <c r="I30" s="124">
        <f t="shared" si="1"/>
        <v>53529.39</v>
      </c>
      <c r="J30" s="21"/>
      <c r="K30" s="24"/>
    </row>
    <row r="31" spans="1:11" ht="15.75" customHeight="1" x14ac:dyDescent="0.25">
      <c r="A31" s="25"/>
      <c r="B31" s="26" t="s">
        <v>57</v>
      </c>
      <c r="C31" s="3" t="s">
        <v>45</v>
      </c>
      <c r="D31" s="21"/>
      <c r="E31" s="22" t="s">
        <v>46</v>
      </c>
      <c r="F31" s="3" t="s">
        <v>47</v>
      </c>
      <c r="G31" s="3">
        <v>1</v>
      </c>
      <c r="H31" s="23">
        <v>40451.43</v>
      </c>
      <c r="I31" s="124">
        <f t="shared" si="1"/>
        <v>40451.43</v>
      </c>
      <c r="J31" s="21"/>
      <c r="K31" s="24"/>
    </row>
    <row r="32" spans="1:11" ht="15.75" customHeight="1" x14ac:dyDescent="0.25">
      <c r="A32" s="25"/>
      <c r="B32" s="26" t="s">
        <v>58</v>
      </c>
      <c r="C32" s="3" t="s">
        <v>45</v>
      </c>
      <c r="D32" s="21"/>
      <c r="E32" s="22" t="s">
        <v>46</v>
      </c>
      <c r="F32" s="3" t="s">
        <v>47</v>
      </c>
      <c r="G32" s="3">
        <v>1</v>
      </c>
      <c r="H32" s="23">
        <v>28839.95</v>
      </c>
      <c r="I32" s="124">
        <f t="shared" si="1"/>
        <v>28839.95</v>
      </c>
      <c r="J32" s="21"/>
      <c r="K32" s="24"/>
    </row>
    <row r="33" spans="1:11" ht="15.75" customHeight="1" x14ac:dyDescent="0.25">
      <c r="A33" s="25"/>
      <c r="B33" s="26" t="s">
        <v>59</v>
      </c>
      <c r="C33" s="3" t="s">
        <v>45</v>
      </c>
      <c r="D33" s="21"/>
      <c r="E33" s="22" t="s">
        <v>46</v>
      </c>
      <c r="F33" s="3" t="s">
        <v>47</v>
      </c>
      <c r="G33" s="3">
        <v>1</v>
      </c>
      <c r="H33" s="23">
        <v>31392.080000000002</v>
      </c>
      <c r="I33" s="124">
        <f t="shared" si="1"/>
        <v>31392.080000000002</v>
      </c>
      <c r="J33" s="21"/>
      <c r="K33" s="24"/>
    </row>
    <row r="34" spans="1:11" ht="15.75" customHeight="1" x14ac:dyDescent="0.25">
      <c r="A34" s="25"/>
      <c r="B34" s="26" t="s">
        <v>60</v>
      </c>
      <c r="C34" s="3" t="s">
        <v>45</v>
      </c>
      <c r="D34" s="21"/>
      <c r="E34" s="22" t="s">
        <v>46</v>
      </c>
      <c r="F34" s="3" t="s">
        <v>47</v>
      </c>
      <c r="G34" s="3">
        <v>1</v>
      </c>
      <c r="H34" s="23">
        <v>7757.34</v>
      </c>
      <c r="I34" s="124">
        <f t="shared" si="1"/>
        <v>7757.34</v>
      </c>
      <c r="J34" s="21"/>
      <c r="K34" s="24"/>
    </row>
    <row r="35" spans="1:11" ht="15.75" customHeight="1" x14ac:dyDescent="0.25">
      <c r="A35" s="25"/>
      <c r="B35" s="26" t="s">
        <v>61</v>
      </c>
      <c r="C35" s="3" t="s">
        <v>45</v>
      </c>
      <c r="D35" s="21"/>
      <c r="E35" s="22" t="s">
        <v>46</v>
      </c>
      <c r="F35" s="3" t="s">
        <v>47</v>
      </c>
      <c r="G35" s="3">
        <v>1</v>
      </c>
      <c r="H35" s="23">
        <v>5637.21</v>
      </c>
      <c r="I35" s="124">
        <f t="shared" si="1"/>
        <v>5637.21</v>
      </c>
      <c r="J35" s="21"/>
      <c r="K35" s="24"/>
    </row>
    <row r="36" spans="1:11" ht="15.75" customHeight="1" x14ac:dyDescent="0.25">
      <c r="A36" s="25"/>
      <c r="B36" s="26" t="s">
        <v>62</v>
      </c>
      <c r="C36" s="3" t="s">
        <v>45</v>
      </c>
      <c r="D36" s="21"/>
      <c r="E36" s="22" t="s">
        <v>46</v>
      </c>
      <c r="F36" s="3" t="s">
        <v>47</v>
      </c>
      <c r="G36" s="3">
        <v>1</v>
      </c>
      <c r="H36" s="23">
        <v>9343.0499999999993</v>
      </c>
      <c r="I36" s="124">
        <f t="shared" si="1"/>
        <v>9343.0499999999993</v>
      </c>
      <c r="J36" s="21"/>
      <c r="K36" s="24"/>
    </row>
    <row r="37" spans="1:11" ht="15.75" customHeight="1" x14ac:dyDescent="0.25">
      <c r="A37" s="25"/>
      <c r="B37" s="26" t="s">
        <v>63</v>
      </c>
      <c r="C37" s="3" t="s">
        <v>45</v>
      </c>
      <c r="D37" s="21"/>
      <c r="E37" s="22" t="s">
        <v>46</v>
      </c>
      <c r="F37" s="3" t="s">
        <v>47</v>
      </c>
      <c r="G37" s="3">
        <v>1</v>
      </c>
      <c r="H37" s="23">
        <v>6261.57</v>
      </c>
      <c r="I37" s="124">
        <f t="shared" si="1"/>
        <v>6261.57</v>
      </c>
      <c r="J37" s="21"/>
      <c r="K37" s="24"/>
    </row>
    <row r="38" spans="1:11" ht="15.75" customHeight="1" x14ac:dyDescent="0.25">
      <c r="A38" s="25"/>
      <c r="B38" s="26" t="s">
        <v>64</v>
      </c>
      <c r="C38" s="3" t="s">
        <v>45</v>
      </c>
      <c r="D38" s="21"/>
      <c r="E38" s="22" t="s">
        <v>46</v>
      </c>
      <c r="F38" s="3" t="s">
        <v>47</v>
      </c>
      <c r="G38" s="3">
        <v>1</v>
      </c>
      <c r="H38" s="23">
        <v>12751.74</v>
      </c>
      <c r="I38" s="124">
        <f t="shared" si="1"/>
        <v>12751.74</v>
      </c>
      <c r="J38" s="21"/>
      <c r="K38" s="24"/>
    </row>
    <row r="39" spans="1:11" ht="15.75" customHeight="1" x14ac:dyDescent="0.25">
      <c r="A39" s="25"/>
      <c r="B39" s="26" t="s">
        <v>65</v>
      </c>
      <c r="C39" s="3" t="s">
        <v>45</v>
      </c>
      <c r="D39" s="21"/>
      <c r="E39" s="22" t="s">
        <v>46</v>
      </c>
      <c r="F39" s="3" t="s">
        <v>47</v>
      </c>
      <c r="G39" s="3">
        <v>1</v>
      </c>
      <c r="H39" s="23">
        <v>6967.73</v>
      </c>
      <c r="I39" s="124">
        <f t="shared" si="1"/>
        <v>6967.73</v>
      </c>
      <c r="J39" s="21"/>
      <c r="K39" s="24"/>
    </row>
    <row r="40" spans="1:11" ht="15.75" customHeight="1" x14ac:dyDescent="0.25">
      <c r="A40" s="25"/>
      <c r="B40" s="26" t="s">
        <v>66</v>
      </c>
      <c r="C40" s="3" t="s">
        <v>45</v>
      </c>
      <c r="D40" s="21"/>
      <c r="E40" s="22" t="s">
        <v>46</v>
      </c>
      <c r="F40" s="3" t="s">
        <v>47</v>
      </c>
      <c r="G40" s="3">
        <v>1</v>
      </c>
      <c r="H40" s="23">
        <v>5843.1</v>
      </c>
      <c r="I40" s="124">
        <f t="shared" si="1"/>
        <v>5843.1</v>
      </c>
      <c r="J40" s="21"/>
      <c r="K40" s="24"/>
    </row>
    <row r="41" spans="1:11" ht="15.75" customHeight="1" x14ac:dyDescent="0.25">
      <c r="A41" s="25"/>
      <c r="B41" s="26" t="s">
        <v>67</v>
      </c>
      <c r="C41" s="3" t="s">
        <v>45</v>
      </c>
      <c r="D41" s="21"/>
      <c r="E41" s="22" t="s">
        <v>46</v>
      </c>
      <c r="F41" s="3" t="s">
        <v>47</v>
      </c>
      <c r="G41" s="3">
        <v>1</v>
      </c>
      <c r="H41" s="23">
        <v>46048.07</v>
      </c>
      <c r="I41" s="124">
        <f t="shared" si="1"/>
        <v>46048.07</v>
      </c>
      <c r="J41" s="21"/>
      <c r="K41" s="24"/>
    </row>
    <row r="42" spans="1:11" ht="15.75" customHeight="1" x14ac:dyDescent="0.25">
      <c r="A42" s="25"/>
      <c r="B42" s="26" t="s">
        <v>68</v>
      </c>
      <c r="C42" s="3" t="s">
        <v>45</v>
      </c>
      <c r="D42" s="21"/>
      <c r="E42" s="22" t="s">
        <v>46</v>
      </c>
      <c r="F42" s="3" t="s">
        <v>47</v>
      </c>
      <c r="G42" s="3">
        <v>1</v>
      </c>
      <c r="H42" s="23">
        <v>11948.51</v>
      </c>
      <c r="I42" s="124">
        <f t="shared" si="1"/>
        <v>11948.51</v>
      </c>
      <c r="J42" s="21"/>
      <c r="K42" s="24"/>
    </row>
    <row r="43" spans="1:11" ht="15.75" customHeight="1" x14ac:dyDescent="0.25">
      <c r="A43" s="25"/>
      <c r="B43" s="26" t="s">
        <v>69</v>
      </c>
      <c r="C43" s="3" t="s">
        <v>45</v>
      </c>
      <c r="D43" s="21"/>
      <c r="E43" s="22" t="s">
        <v>46</v>
      </c>
      <c r="F43" s="3" t="s">
        <v>47</v>
      </c>
      <c r="G43" s="3">
        <v>1</v>
      </c>
      <c r="H43" s="23">
        <v>6781.68</v>
      </c>
      <c r="I43" s="124">
        <f t="shared" si="1"/>
        <v>6781.68</v>
      </c>
      <c r="J43" s="21"/>
      <c r="K43" s="24"/>
    </row>
    <row r="44" spans="1:11" ht="15.75" customHeight="1" x14ac:dyDescent="0.25">
      <c r="A44" s="25"/>
      <c r="B44" s="26" t="s">
        <v>70</v>
      </c>
      <c r="C44" s="3" t="s">
        <v>45</v>
      </c>
      <c r="D44" s="21"/>
      <c r="E44" s="22" t="s">
        <v>46</v>
      </c>
      <c r="F44" s="3" t="s">
        <v>47</v>
      </c>
      <c r="G44" s="3">
        <v>1</v>
      </c>
      <c r="H44" s="23">
        <v>11268.95</v>
      </c>
      <c r="I44" s="124">
        <f t="shared" si="1"/>
        <v>11268.95</v>
      </c>
      <c r="J44" s="21"/>
      <c r="K44" s="24"/>
    </row>
    <row r="45" spans="1:11" ht="15.75" customHeight="1" x14ac:dyDescent="0.25">
      <c r="A45" s="25"/>
      <c r="B45" s="26" t="s">
        <v>71</v>
      </c>
      <c r="C45" s="3" t="s">
        <v>45</v>
      </c>
      <c r="D45" s="21"/>
      <c r="E45" s="22" t="s">
        <v>46</v>
      </c>
      <c r="F45" s="3" t="s">
        <v>47</v>
      </c>
      <c r="G45" s="3">
        <v>1</v>
      </c>
      <c r="H45" s="23">
        <v>7861.04</v>
      </c>
      <c r="I45" s="124">
        <f t="shared" si="1"/>
        <v>7861.04</v>
      </c>
      <c r="J45" s="21"/>
      <c r="K45" s="24"/>
    </row>
    <row r="46" spans="1:11" ht="15.75" customHeight="1" x14ac:dyDescent="0.25">
      <c r="A46" s="25"/>
      <c r="B46" s="26" t="s">
        <v>72</v>
      </c>
      <c r="C46" s="3" t="s">
        <v>45</v>
      </c>
      <c r="D46" s="21"/>
      <c r="E46" s="22" t="s">
        <v>46</v>
      </c>
      <c r="F46" s="3" t="s">
        <v>47</v>
      </c>
      <c r="G46" s="3">
        <v>1</v>
      </c>
      <c r="H46" s="23">
        <v>45711.6</v>
      </c>
      <c r="I46" s="124">
        <f t="shared" si="1"/>
        <v>45711.6</v>
      </c>
      <c r="J46" s="21"/>
      <c r="K46" s="24"/>
    </row>
    <row r="47" spans="1:11" ht="15.75" customHeight="1" x14ac:dyDescent="0.25">
      <c r="A47" s="25"/>
      <c r="B47" s="26" t="s">
        <v>73</v>
      </c>
      <c r="C47" s="21" t="s">
        <v>74</v>
      </c>
      <c r="D47" s="21"/>
      <c r="E47" s="22" t="s">
        <v>46</v>
      </c>
      <c r="F47" s="3" t="s">
        <v>47</v>
      </c>
      <c r="G47" s="3">
        <v>2</v>
      </c>
      <c r="H47" s="23">
        <v>55760.1</v>
      </c>
      <c r="I47" s="124">
        <f t="shared" si="1"/>
        <v>111520.2</v>
      </c>
      <c r="J47" s="21"/>
      <c r="K47" s="24"/>
    </row>
    <row r="48" spans="1:11" ht="15.75" customHeight="1" x14ac:dyDescent="0.25">
      <c r="A48" s="25"/>
      <c r="B48" s="26" t="s">
        <v>73</v>
      </c>
      <c r="C48" s="21" t="s">
        <v>75</v>
      </c>
      <c r="D48" s="21"/>
      <c r="E48" s="22" t="s">
        <v>46</v>
      </c>
      <c r="F48" s="3" t="s">
        <v>47</v>
      </c>
      <c r="G48" s="3">
        <v>1</v>
      </c>
      <c r="H48" s="23">
        <v>73170.720000000001</v>
      </c>
      <c r="I48" s="124">
        <f t="shared" si="1"/>
        <v>73170.720000000001</v>
      </c>
      <c r="J48" s="21"/>
      <c r="K48" s="24"/>
    </row>
    <row r="49" spans="1:11" ht="15.75" customHeight="1" x14ac:dyDescent="0.25">
      <c r="A49" s="19">
        <v>2</v>
      </c>
      <c r="B49" s="20" t="s">
        <v>76</v>
      </c>
      <c r="C49" s="21"/>
      <c r="D49" s="21"/>
      <c r="E49" s="22"/>
      <c r="F49" s="22"/>
      <c r="G49" s="21"/>
      <c r="H49" s="23"/>
      <c r="I49" s="124"/>
      <c r="J49" s="21"/>
      <c r="K49" s="24"/>
    </row>
    <row r="50" spans="1:11" ht="28.5" customHeight="1" x14ac:dyDescent="0.25">
      <c r="A50" s="25"/>
      <c r="B50" s="26" t="s">
        <v>77</v>
      </c>
      <c r="C50" s="21"/>
      <c r="D50" s="21"/>
      <c r="E50" s="22" t="s">
        <v>46</v>
      </c>
      <c r="F50" s="3" t="s">
        <v>78</v>
      </c>
      <c r="G50" s="3">
        <v>107</v>
      </c>
      <c r="H50" s="23">
        <v>639.25559999999996</v>
      </c>
      <c r="I50" s="124">
        <f t="shared" ref="I50:I55" si="2">H50*G50</f>
        <v>68400.349199999997</v>
      </c>
      <c r="J50" s="21"/>
      <c r="K50" s="26" t="s">
        <v>79</v>
      </c>
    </row>
    <row r="51" spans="1:11" ht="28.5" customHeight="1" x14ac:dyDescent="0.25">
      <c r="A51" s="25"/>
      <c r="B51" s="26" t="s">
        <v>80</v>
      </c>
      <c r="C51" s="21"/>
      <c r="D51" s="21"/>
      <c r="E51" s="22" t="s">
        <v>46</v>
      </c>
      <c r="F51" s="3" t="s">
        <v>78</v>
      </c>
      <c r="G51" s="3">
        <v>152</v>
      </c>
      <c r="H51" s="23">
        <v>165.066</v>
      </c>
      <c r="I51" s="124">
        <f t="shared" si="2"/>
        <v>25090.031999999999</v>
      </c>
      <c r="J51" s="21"/>
      <c r="K51" s="24"/>
    </row>
    <row r="52" spans="1:11" ht="28.5" customHeight="1" x14ac:dyDescent="0.25">
      <c r="A52" s="25"/>
      <c r="B52" s="26" t="s">
        <v>81</v>
      </c>
      <c r="C52" s="21"/>
      <c r="D52" s="21"/>
      <c r="E52" s="22" t="s">
        <v>46</v>
      </c>
      <c r="F52" s="3" t="s">
        <v>78</v>
      </c>
      <c r="G52" s="3">
        <v>150</v>
      </c>
      <c r="H52" s="23">
        <v>286.6146</v>
      </c>
      <c r="I52" s="124">
        <f t="shared" si="2"/>
        <v>42992.19</v>
      </c>
      <c r="J52" s="21"/>
      <c r="K52" s="24"/>
    </row>
    <row r="53" spans="1:11" ht="15.75" customHeight="1" x14ac:dyDescent="0.25">
      <c r="A53" s="25"/>
      <c r="B53" s="26" t="s">
        <v>82</v>
      </c>
      <c r="C53" s="21"/>
      <c r="D53" s="21"/>
      <c r="E53" s="22" t="s">
        <v>46</v>
      </c>
      <c r="F53" s="3" t="s">
        <v>78</v>
      </c>
      <c r="G53" s="3">
        <v>409</v>
      </c>
      <c r="H53" s="23">
        <v>11.0532</v>
      </c>
      <c r="I53" s="124">
        <f t="shared" si="2"/>
        <v>4520.7588000000005</v>
      </c>
      <c r="J53" s="21"/>
      <c r="K53" s="24"/>
    </row>
    <row r="54" spans="1:11" ht="15.75" customHeight="1" x14ac:dyDescent="0.25">
      <c r="A54" s="25"/>
      <c r="B54" s="26" t="s">
        <v>83</v>
      </c>
      <c r="C54" s="21"/>
      <c r="D54" s="21"/>
      <c r="E54" s="22" t="s">
        <v>46</v>
      </c>
      <c r="F54" s="3" t="s">
        <v>78</v>
      </c>
      <c r="G54" s="3">
        <v>4</v>
      </c>
      <c r="H54" s="23">
        <v>1680</v>
      </c>
      <c r="I54" s="124">
        <f t="shared" si="2"/>
        <v>6720</v>
      </c>
      <c r="J54" s="21"/>
      <c r="K54" s="24"/>
    </row>
    <row r="55" spans="1:11" ht="15.75" customHeight="1" x14ac:dyDescent="0.25">
      <c r="A55" s="25"/>
      <c r="B55" s="26" t="s">
        <v>84</v>
      </c>
      <c r="C55" s="21"/>
      <c r="D55" s="21"/>
      <c r="E55" s="22" t="s">
        <v>46</v>
      </c>
      <c r="F55" s="3" t="s">
        <v>78</v>
      </c>
      <c r="G55" s="3">
        <v>740</v>
      </c>
      <c r="H55" s="23">
        <v>79.434200000000004</v>
      </c>
      <c r="I55" s="124">
        <f t="shared" si="2"/>
        <v>58781.308000000005</v>
      </c>
      <c r="J55" s="21"/>
      <c r="K55" s="24"/>
    </row>
    <row r="56" spans="1:11" ht="15.75" customHeight="1" x14ac:dyDescent="0.25">
      <c r="A56" s="19">
        <v>3</v>
      </c>
      <c r="B56" s="20" t="s">
        <v>85</v>
      </c>
      <c r="C56" s="21"/>
      <c r="D56" s="21"/>
      <c r="E56" s="22"/>
      <c r="F56" s="22"/>
      <c r="G56" s="21"/>
      <c r="H56" s="23"/>
      <c r="I56" s="124"/>
      <c r="J56" s="21"/>
      <c r="K56" s="24" t="s">
        <v>86</v>
      </c>
    </row>
    <row r="57" spans="1:11" ht="15.75" customHeight="1" x14ac:dyDescent="0.25">
      <c r="A57" s="25"/>
      <c r="B57" s="26" t="s">
        <v>87</v>
      </c>
      <c r="C57" s="3" t="s">
        <v>88</v>
      </c>
      <c r="D57" s="21"/>
      <c r="E57" s="22" t="s">
        <v>46</v>
      </c>
      <c r="F57" s="3" t="s">
        <v>89</v>
      </c>
      <c r="G57" s="3">
        <v>11406</v>
      </c>
      <c r="H57" s="23">
        <v>130</v>
      </c>
      <c r="I57" s="124">
        <f t="shared" ref="I57:I73" si="3">H57*G57</f>
        <v>1482780</v>
      </c>
      <c r="J57" s="21"/>
      <c r="K57" s="24"/>
    </row>
    <row r="58" spans="1:11" ht="15.75" customHeight="1" x14ac:dyDescent="0.25">
      <c r="A58" s="25"/>
      <c r="B58" s="26" t="s">
        <v>87</v>
      </c>
      <c r="C58" s="3" t="s">
        <v>90</v>
      </c>
      <c r="D58" s="21"/>
      <c r="E58" s="22" t="s">
        <v>46</v>
      </c>
      <c r="F58" s="3" t="s">
        <v>89</v>
      </c>
      <c r="G58" s="3">
        <v>404</v>
      </c>
      <c r="H58" s="23">
        <v>250</v>
      </c>
      <c r="I58" s="124">
        <f t="shared" si="3"/>
        <v>101000</v>
      </c>
      <c r="J58" s="21"/>
      <c r="K58" s="24"/>
    </row>
    <row r="59" spans="1:11" ht="15.75" customHeight="1" x14ac:dyDescent="0.25">
      <c r="A59" s="25"/>
      <c r="B59" s="26" t="s">
        <v>87</v>
      </c>
      <c r="C59" s="3" t="s">
        <v>91</v>
      </c>
      <c r="D59" s="21"/>
      <c r="E59" s="22" t="s">
        <v>46</v>
      </c>
      <c r="F59" s="3" t="s">
        <v>89</v>
      </c>
      <c r="G59" s="3">
        <v>177</v>
      </c>
      <c r="H59" s="23">
        <v>360</v>
      </c>
      <c r="I59" s="124">
        <f t="shared" si="3"/>
        <v>63720</v>
      </c>
      <c r="J59" s="21"/>
      <c r="K59" s="24"/>
    </row>
    <row r="60" spans="1:11" ht="15.75" customHeight="1" x14ac:dyDescent="0.25">
      <c r="A60" s="25"/>
      <c r="B60" s="26" t="s">
        <v>87</v>
      </c>
      <c r="C60" s="3" t="s">
        <v>92</v>
      </c>
      <c r="D60" s="21"/>
      <c r="E60" s="22" t="s">
        <v>46</v>
      </c>
      <c r="F60" s="3" t="s">
        <v>89</v>
      </c>
      <c r="G60" s="3">
        <v>103</v>
      </c>
      <c r="H60" s="23">
        <v>520</v>
      </c>
      <c r="I60" s="124">
        <f t="shared" si="3"/>
        <v>53560</v>
      </c>
      <c r="J60" s="21"/>
      <c r="K60" s="24"/>
    </row>
    <row r="61" spans="1:11" ht="15.75" customHeight="1" x14ac:dyDescent="0.25">
      <c r="A61" s="25"/>
      <c r="B61" s="26" t="s">
        <v>87</v>
      </c>
      <c r="C61" s="3" t="s">
        <v>93</v>
      </c>
      <c r="D61" s="21"/>
      <c r="E61" s="22" t="s">
        <v>46</v>
      </c>
      <c r="F61" s="3" t="s">
        <v>89</v>
      </c>
      <c r="G61" s="3">
        <v>1156</v>
      </c>
      <c r="H61" s="23">
        <v>250</v>
      </c>
      <c r="I61" s="124">
        <f t="shared" si="3"/>
        <v>289000</v>
      </c>
      <c r="J61" s="21"/>
      <c r="K61" s="24"/>
    </row>
    <row r="62" spans="1:11" ht="15.75" customHeight="1" x14ac:dyDescent="0.25">
      <c r="A62" s="25"/>
      <c r="B62" s="26" t="s">
        <v>87</v>
      </c>
      <c r="C62" s="3" t="s">
        <v>94</v>
      </c>
      <c r="D62" s="21"/>
      <c r="E62" s="22" t="s">
        <v>46</v>
      </c>
      <c r="F62" s="3" t="s">
        <v>89</v>
      </c>
      <c r="G62" s="3">
        <v>1960</v>
      </c>
      <c r="H62" s="23">
        <v>400</v>
      </c>
      <c r="I62" s="124">
        <f t="shared" si="3"/>
        <v>784000</v>
      </c>
      <c r="J62" s="21"/>
      <c r="K62" s="24"/>
    </row>
    <row r="63" spans="1:11" ht="15.75" customHeight="1" x14ac:dyDescent="0.25">
      <c r="A63" s="25"/>
      <c r="B63" s="26" t="s">
        <v>87</v>
      </c>
      <c r="C63" s="3" t="s">
        <v>95</v>
      </c>
      <c r="D63" s="21"/>
      <c r="E63" s="22" t="s">
        <v>46</v>
      </c>
      <c r="F63" s="3" t="s">
        <v>89</v>
      </c>
      <c r="G63" s="3">
        <v>297</v>
      </c>
      <c r="H63" s="23">
        <v>2830</v>
      </c>
      <c r="I63" s="124">
        <f t="shared" si="3"/>
        <v>840510</v>
      </c>
      <c r="J63" s="21"/>
      <c r="K63" s="24"/>
    </row>
    <row r="64" spans="1:11" ht="15.75" customHeight="1" x14ac:dyDescent="0.25">
      <c r="A64" s="25"/>
      <c r="B64" s="26" t="s">
        <v>87</v>
      </c>
      <c r="C64" s="3" t="s">
        <v>96</v>
      </c>
      <c r="D64" s="21"/>
      <c r="E64" s="22" t="s">
        <v>46</v>
      </c>
      <c r="F64" s="3" t="s">
        <v>89</v>
      </c>
      <c r="G64" s="3">
        <v>2356</v>
      </c>
      <c r="H64" s="23">
        <v>1780</v>
      </c>
      <c r="I64" s="124">
        <f t="shared" si="3"/>
        <v>4193680</v>
      </c>
      <c r="J64" s="21"/>
      <c r="K64" s="24"/>
    </row>
    <row r="65" spans="1:11" ht="15.75" customHeight="1" x14ac:dyDescent="0.25">
      <c r="A65" s="25"/>
      <c r="B65" s="26" t="s">
        <v>87</v>
      </c>
      <c r="C65" s="3" t="s">
        <v>97</v>
      </c>
      <c r="D65" s="21"/>
      <c r="E65" s="22" t="s">
        <v>46</v>
      </c>
      <c r="F65" s="3" t="s">
        <v>89</v>
      </c>
      <c r="G65" s="3">
        <v>722</v>
      </c>
      <c r="H65" s="23">
        <v>580</v>
      </c>
      <c r="I65" s="124">
        <f t="shared" si="3"/>
        <v>418760</v>
      </c>
      <c r="J65" s="21"/>
      <c r="K65" s="24"/>
    </row>
    <row r="66" spans="1:11" ht="15.75" customHeight="1" x14ac:dyDescent="0.25">
      <c r="A66" s="25"/>
      <c r="B66" s="26" t="s">
        <v>87</v>
      </c>
      <c r="C66" s="3" t="s">
        <v>98</v>
      </c>
      <c r="D66" s="21"/>
      <c r="E66" s="22" t="s">
        <v>46</v>
      </c>
      <c r="F66" s="3" t="s">
        <v>89</v>
      </c>
      <c r="G66" s="3">
        <v>716</v>
      </c>
      <c r="H66" s="23">
        <v>1165</v>
      </c>
      <c r="I66" s="124">
        <f t="shared" si="3"/>
        <v>834140</v>
      </c>
      <c r="J66" s="21"/>
      <c r="K66" s="24"/>
    </row>
    <row r="67" spans="1:11" ht="15.75" customHeight="1" x14ac:dyDescent="0.25">
      <c r="A67" s="25"/>
      <c r="B67" s="26" t="s">
        <v>87</v>
      </c>
      <c r="C67" s="3" t="s">
        <v>99</v>
      </c>
      <c r="D67" s="21"/>
      <c r="E67" s="22" t="s">
        <v>46</v>
      </c>
      <c r="F67" s="3" t="s">
        <v>89</v>
      </c>
      <c r="G67" s="3">
        <v>150</v>
      </c>
      <c r="H67" s="23">
        <v>7065</v>
      </c>
      <c r="I67" s="124">
        <f t="shared" si="3"/>
        <v>1059750</v>
      </c>
      <c r="J67" s="21"/>
      <c r="K67" s="24"/>
    </row>
    <row r="68" spans="1:11" ht="15.75" customHeight="1" x14ac:dyDescent="0.25">
      <c r="A68" s="25"/>
      <c r="B68" s="26" t="s">
        <v>87</v>
      </c>
      <c r="C68" s="3" t="s">
        <v>100</v>
      </c>
      <c r="D68" s="21"/>
      <c r="E68" s="22" t="s">
        <v>46</v>
      </c>
      <c r="F68" s="3" t="s">
        <v>89</v>
      </c>
      <c r="G68" s="3">
        <v>292</v>
      </c>
      <c r="H68" s="23">
        <v>17255</v>
      </c>
      <c r="I68" s="124">
        <f t="shared" si="3"/>
        <v>5038460</v>
      </c>
      <c r="J68" s="21"/>
      <c r="K68" s="24"/>
    </row>
    <row r="69" spans="1:11" ht="15.75" customHeight="1" x14ac:dyDescent="0.25">
      <c r="A69" s="25"/>
      <c r="B69" s="26" t="s">
        <v>87</v>
      </c>
      <c r="C69" s="3" t="s">
        <v>101</v>
      </c>
      <c r="D69" s="21"/>
      <c r="E69" s="22" t="s">
        <v>46</v>
      </c>
      <c r="F69" s="3" t="s">
        <v>89</v>
      </c>
      <c r="G69" s="3">
        <v>2953</v>
      </c>
      <c r="H69" s="23">
        <v>163</v>
      </c>
      <c r="I69" s="124">
        <f t="shared" si="3"/>
        <v>481339</v>
      </c>
      <c r="J69" s="21"/>
      <c r="K69" s="24"/>
    </row>
    <row r="70" spans="1:11" ht="15.75" customHeight="1" x14ac:dyDescent="0.25">
      <c r="A70" s="25"/>
      <c r="B70" s="26" t="s">
        <v>87</v>
      </c>
      <c r="C70" s="3" t="s">
        <v>102</v>
      </c>
      <c r="D70" s="21"/>
      <c r="E70" s="22" t="s">
        <v>46</v>
      </c>
      <c r="F70" s="3" t="s">
        <v>89</v>
      </c>
      <c r="G70" s="3">
        <v>942</v>
      </c>
      <c r="H70" s="23">
        <v>316</v>
      </c>
      <c r="I70" s="124">
        <f t="shared" si="3"/>
        <v>297672</v>
      </c>
      <c r="J70" s="21"/>
      <c r="K70" s="24"/>
    </row>
    <row r="71" spans="1:11" ht="15.75" customHeight="1" x14ac:dyDescent="0.25">
      <c r="A71" s="25"/>
      <c r="B71" s="26" t="s">
        <v>87</v>
      </c>
      <c r="C71" s="3" t="s">
        <v>103</v>
      </c>
      <c r="D71" s="21"/>
      <c r="E71" s="22" t="s">
        <v>46</v>
      </c>
      <c r="F71" s="3" t="s">
        <v>89</v>
      </c>
      <c r="G71" s="3">
        <v>770</v>
      </c>
      <c r="H71" s="23">
        <v>510</v>
      </c>
      <c r="I71" s="124">
        <f t="shared" si="3"/>
        <v>392700</v>
      </c>
      <c r="J71" s="21"/>
      <c r="K71" s="24"/>
    </row>
    <row r="72" spans="1:11" ht="15.75" customHeight="1" x14ac:dyDescent="0.25">
      <c r="A72" s="25"/>
      <c r="B72" s="26" t="s">
        <v>87</v>
      </c>
      <c r="C72" s="3" t="s">
        <v>104</v>
      </c>
      <c r="D72" s="21"/>
      <c r="E72" s="22" t="s">
        <v>46</v>
      </c>
      <c r="F72" s="3" t="s">
        <v>89</v>
      </c>
      <c r="G72" s="3">
        <v>752</v>
      </c>
      <c r="H72" s="23">
        <v>728</v>
      </c>
      <c r="I72" s="124">
        <f t="shared" si="3"/>
        <v>547456</v>
      </c>
      <c r="J72" s="21"/>
      <c r="K72" s="24"/>
    </row>
    <row r="73" spans="1:11" ht="15.75" customHeight="1" x14ac:dyDescent="0.25">
      <c r="A73" s="25"/>
      <c r="B73" s="26" t="s">
        <v>87</v>
      </c>
      <c r="C73" s="3" t="s">
        <v>105</v>
      </c>
      <c r="D73" s="21"/>
      <c r="E73" s="22" t="s">
        <v>46</v>
      </c>
      <c r="F73" s="3" t="s">
        <v>89</v>
      </c>
      <c r="G73" s="3">
        <v>160</v>
      </c>
      <c r="H73" s="23">
        <v>2716</v>
      </c>
      <c r="I73" s="124">
        <f t="shared" si="3"/>
        <v>434560</v>
      </c>
      <c r="J73" s="21"/>
      <c r="K73" s="24"/>
    </row>
    <row r="74" spans="1:11" ht="15.75" customHeight="1" x14ac:dyDescent="0.25">
      <c r="A74" s="19">
        <v>4</v>
      </c>
      <c r="B74" s="20" t="s">
        <v>106</v>
      </c>
      <c r="C74" s="21"/>
      <c r="D74" s="21"/>
      <c r="E74" s="22"/>
      <c r="F74" s="22"/>
      <c r="G74" s="21"/>
      <c r="H74" s="23"/>
      <c r="I74" s="124"/>
      <c r="J74" s="21"/>
      <c r="K74" s="24" t="s">
        <v>107</v>
      </c>
    </row>
    <row r="75" spans="1:11" ht="15.75" customHeight="1" x14ac:dyDescent="0.25">
      <c r="A75" s="25"/>
      <c r="B75" s="26" t="s">
        <v>108</v>
      </c>
      <c r="C75" s="3" t="s">
        <v>109</v>
      </c>
      <c r="D75" s="21"/>
      <c r="E75" s="22" t="s">
        <v>110</v>
      </c>
      <c r="F75" s="3" t="s">
        <v>89</v>
      </c>
      <c r="G75" s="3">
        <v>6636</v>
      </c>
      <c r="H75" s="23">
        <v>35.075000000000003</v>
      </c>
      <c r="I75" s="124">
        <f t="shared" ref="I75:I82" si="4">H75*G75</f>
        <v>232757.7</v>
      </c>
      <c r="J75" s="21"/>
      <c r="K75" s="24"/>
    </row>
    <row r="76" spans="1:11" ht="15.75" customHeight="1" x14ac:dyDescent="0.25">
      <c r="A76" s="25"/>
      <c r="B76" s="26" t="s">
        <v>111</v>
      </c>
      <c r="C76" s="3" t="s">
        <v>112</v>
      </c>
      <c r="D76" s="21"/>
      <c r="E76" s="22" t="s">
        <v>110</v>
      </c>
      <c r="F76" s="3" t="s">
        <v>89</v>
      </c>
      <c r="G76" s="3">
        <v>1540</v>
      </c>
      <c r="H76" s="23">
        <v>70.601399999999998</v>
      </c>
      <c r="I76" s="124">
        <f t="shared" si="4"/>
        <v>108726.156</v>
      </c>
      <c r="J76" s="21"/>
      <c r="K76" s="24"/>
    </row>
    <row r="77" spans="1:11" ht="15.75" customHeight="1" x14ac:dyDescent="0.25">
      <c r="A77" s="25"/>
      <c r="B77" s="26" t="s">
        <v>113</v>
      </c>
      <c r="C77" s="3" t="s">
        <v>114</v>
      </c>
      <c r="D77" s="21"/>
      <c r="E77" s="22" t="s">
        <v>110</v>
      </c>
      <c r="F77" s="3" t="s">
        <v>78</v>
      </c>
      <c r="G77" s="3">
        <v>139</v>
      </c>
      <c r="H77" s="23">
        <v>4937.6328000000003</v>
      </c>
      <c r="I77" s="124">
        <f t="shared" si="4"/>
        <v>686330.95920000004</v>
      </c>
      <c r="J77" s="21"/>
      <c r="K77" s="24"/>
    </row>
    <row r="78" spans="1:11" ht="15.75" customHeight="1" x14ac:dyDescent="0.25">
      <c r="A78" s="25"/>
      <c r="B78" s="26" t="s">
        <v>115</v>
      </c>
      <c r="C78" s="3" t="s">
        <v>116</v>
      </c>
      <c r="D78" s="21"/>
      <c r="E78" s="22" t="s">
        <v>110</v>
      </c>
      <c r="F78" s="3" t="s">
        <v>78</v>
      </c>
      <c r="G78" s="3">
        <v>139</v>
      </c>
      <c r="H78" s="23">
        <v>7326.8441999999995</v>
      </c>
      <c r="I78" s="124">
        <f t="shared" si="4"/>
        <v>1018431.3437999999</v>
      </c>
      <c r="J78" s="21"/>
      <c r="K78" s="24"/>
    </row>
    <row r="79" spans="1:11" ht="15.75" customHeight="1" x14ac:dyDescent="0.25">
      <c r="A79" s="25"/>
      <c r="B79" s="26" t="s">
        <v>117</v>
      </c>
      <c r="C79" s="21"/>
      <c r="D79" s="21"/>
      <c r="E79" s="22" t="s">
        <v>110</v>
      </c>
      <c r="F79" s="3" t="s">
        <v>78</v>
      </c>
      <c r="G79" s="3">
        <v>556</v>
      </c>
      <c r="H79" s="23">
        <v>593.15179999999998</v>
      </c>
      <c r="I79" s="124">
        <f t="shared" si="4"/>
        <v>329792.4008</v>
      </c>
      <c r="J79" s="21"/>
      <c r="K79" s="24"/>
    </row>
    <row r="80" spans="1:11" ht="15.75" customHeight="1" x14ac:dyDescent="0.25">
      <c r="A80" s="25"/>
      <c r="B80" s="26" t="s">
        <v>118</v>
      </c>
      <c r="C80" s="21"/>
      <c r="D80" s="21"/>
      <c r="E80" s="22"/>
      <c r="F80" s="3" t="s">
        <v>78</v>
      </c>
      <c r="G80" s="3">
        <v>1112</v>
      </c>
      <c r="H80" s="23">
        <v>177.51</v>
      </c>
      <c r="I80" s="124">
        <f t="shared" si="4"/>
        <v>197391.12</v>
      </c>
      <c r="J80" s="21"/>
      <c r="K80" s="24"/>
    </row>
    <row r="81" spans="1:11" ht="28.5" customHeight="1" x14ac:dyDescent="0.25">
      <c r="A81" s="25"/>
      <c r="B81" s="26" t="s">
        <v>119</v>
      </c>
      <c r="C81" s="21"/>
      <c r="D81" s="21"/>
      <c r="E81" s="22"/>
      <c r="F81" s="3" t="s">
        <v>120</v>
      </c>
      <c r="G81" s="3">
        <v>12</v>
      </c>
      <c r="H81" s="23">
        <v>3660</v>
      </c>
      <c r="I81" s="124">
        <f t="shared" si="4"/>
        <v>43920</v>
      </c>
      <c r="J81" s="21"/>
      <c r="K81" s="24"/>
    </row>
    <row r="82" spans="1:11" ht="28.5" customHeight="1" x14ac:dyDescent="0.25">
      <c r="A82" s="25"/>
      <c r="B82" s="26" t="s">
        <v>121</v>
      </c>
      <c r="C82" s="21"/>
      <c r="D82" s="21"/>
      <c r="E82" s="22"/>
      <c r="F82" s="3" t="s">
        <v>120</v>
      </c>
      <c r="G82" s="3">
        <v>3</v>
      </c>
      <c r="H82" s="23">
        <v>12297.6</v>
      </c>
      <c r="I82" s="124">
        <f t="shared" si="4"/>
        <v>36892.800000000003</v>
      </c>
      <c r="J82" s="21"/>
      <c r="K82" s="24"/>
    </row>
    <row r="83" spans="1:11" ht="15.75" customHeight="1" x14ac:dyDescent="0.25">
      <c r="A83" s="19">
        <v>5</v>
      </c>
      <c r="B83" s="20" t="s">
        <v>122</v>
      </c>
      <c r="C83" s="21"/>
      <c r="D83" s="21"/>
      <c r="E83" s="22"/>
      <c r="F83" s="22"/>
      <c r="G83" s="21"/>
      <c r="H83" s="23"/>
      <c r="I83" s="124"/>
      <c r="J83" s="21"/>
      <c r="K83" s="24" t="s">
        <v>123</v>
      </c>
    </row>
    <row r="84" spans="1:11" ht="15.75" customHeight="1" x14ac:dyDescent="0.25">
      <c r="A84" s="25"/>
      <c r="B84" s="26" t="s">
        <v>124</v>
      </c>
      <c r="C84" s="3" t="s">
        <v>125</v>
      </c>
      <c r="D84" s="3" t="s">
        <v>126</v>
      </c>
      <c r="E84" s="22"/>
      <c r="F84" s="22"/>
      <c r="G84" s="21"/>
      <c r="H84" s="23"/>
      <c r="I84" s="124"/>
      <c r="J84" s="21"/>
      <c r="K84" s="24"/>
    </row>
    <row r="85" spans="1:11" ht="30.75" customHeight="1" x14ac:dyDescent="0.25">
      <c r="A85" s="25"/>
      <c r="B85" s="26" t="s">
        <v>127</v>
      </c>
      <c r="C85" s="21"/>
      <c r="D85" s="3" t="s">
        <v>126</v>
      </c>
      <c r="E85" s="22" t="s">
        <v>110</v>
      </c>
      <c r="F85" s="3" t="s">
        <v>89</v>
      </c>
      <c r="G85" s="3">
        <v>1991</v>
      </c>
      <c r="H85" s="23">
        <v>366.43920000000003</v>
      </c>
      <c r="I85" s="124">
        <f t="shared" ref="I85:I90" si="5">H85*G85</f>
        <v>729580.44720000005</v>
      </c>
      <c r="J85" s="21"/>
      <c r="K85" s="24"/>
    </row>
    <row r="86" spans="1:11" ht="30.75" customHeight="1" x14ac:dyDescent="0.25">
      <c r="A86" s="25"/>
      <c r="B86" s="26" t="s">
        <v>128</v>
      </c>
      <c r="C86" s="21"/>
      <c r="D86" s="3" t="s">
        <v>126</v>
      </c>
      <c r="E86" s="22" t="s">
        <v>110</v>
      </c>
      <c r="F86" s="3" t="s">
        <v>89</v>
      </c>
      <c r="G86" s="3">
        <v>3405</v>
      </c>
      <c r="H86" s="23">
        <v>85.961200000000005</v>
      </c>
      <c r="I86" s="124">
        <f t="shared" si="5"/>
        <v>292697.886</v>
      </c>
      <c r="J86" s="21"/>
      <c r="K86" s="24"/>
    </row>
    <row r="87" spans="1:11" ht="28.5" customHeight="1" x14ac:dyDescent="0.25">
      <c r="A87" s="25"/>
      <c r="B87" s="26" t="s">
        <v>129</v>
      </c>
      <c r="C87" s="21"/>
      <c r="D87" s="21"/>
      <c r="E87" s="22"/>
      <c r="F87" s="3" t="s">
        <v>47</v>
      </c>
      <c r="G87" s="3">
        <v>34</v>
      </c>
      <c r="H87" s="23">
        <f>I88+I89</f>
        <v>1393.2464</v>
      </c>
      <c r="I87" s="124">
        <f>H87*G87-I88-I89</f>
        <v>45977.131200000003</v>
      </c>
      <c r="J87" s="21"/>
      <c r="K87" s="24"/>
    </row>
    <row r="88" spans="1:11" ht="41.25" customHeight="1" x14ac:dyDescent="0.25">
      <c r="A88" s="25"/>
      <c r="B88" s="26" t="s">
        <v>130</v>
      </c>
      <c r="C88" s="21"/>
      <c r="D88" s="21"/>
      <c r="E88" s="22"/>
      <c r="F88" s="3" t="s">
        <v>78</v>
      </c>
      <c r="G88" s="3">
        <v>2</v>
      </c>
      <c r="H88" s="23">
        <v>371.80720000000002</v>
      </c>
      <c r="I88" s="124">
        <f t="shared" si="5"/>
        <v>743.61440000000005</v>
      </c>
      <c r="J88" s="21"/>
      <c r="K88" s="26" t="s">
        <v>131</v>
      </c>
    </row>
    <row r="89" spans="1:11" ht="49.5" customHeight="1" x14ac:dyDescent="0.25">
      <c r="A89" s="25"/>
      <c r="B89" s="26" t="s">
        <v>132</v>
      </c>
      <c r="C89" s="21"/>
      <c r="D89" s="21"/>
      <c r="E89" s="22"/>
      <c r="F89" s="3" t="s">
        <v>78</v>
      </c>
      <c r="G89" s="3">
        <v>4</v>
      </c>
      <c r="H89" s="23">
        <v>162.40799999999999</v>
      </c>
      <c r="I89" s="124">
        <f t="shared" si="5"/>
        <v>649.63199999999995</v>
      </c>
      <c r="J89" s="21"/>
      <c r="K89" s="26" t="s">
        <v>133</v>
      </c>
    </row>
    <row r="90" spans="1:11" ht="54" customHeight="1" x14ac:dyDescent="0.25">
      <c r="A90" s="25"/>
      <c r="B90" s="26" t="s">
        <v>134</v>
      </c>
      <c r="C90" s="21"/>
      <c r="D90" s="21"/>
      <c r="E90" s="22" t="s">
        <v>135</v>
      </c>
      <c r="F90" s="3" t="s">
        <v>89</v>
      </c>
      <c r="G90" s="3">
        <v>500</v>
      </c>
      <c r="H90" s="23">
        <v>471.93259999999998</v>
      </c>
      <c r="I90" s="124">
        <f t="shared" si="5"/>
        <v>235966.3</v>
      </c>
      <c r="J90" s="21"/>
      <c r="K90" s="26" t="s">
        <v>136</v>
      </c>
    </row>
    <row r="91" spans="1:11" ht="15.75" customHeight="1" x14ac:dyDescent="0.25">
      <c r="A91" s="19">
        <v>6</v>
      </c>
      <c r="B91" s="20" t="s">
        <v>137</v>
      </c>
      <c r="C91" s="21"/>
      <c r="D91" s="21"/>
      <c r="E91" s="22"/>
      <c r="F91" s="22"/>
      <c r="G91" s="21"/>
      <c r="H91" s="23"/>
      <c r="I91" s="124"/>
      <c r="J91" s="21"/>
      <c r="K91" s="24" t="s">
        <v>138</v>
      </c>
    </row>
    <row r="92" spans="1:11" ht="15.75" customHeight="1" x14ac:dyDescent="0.25">
      <c r="A92" s="25"/>
      <c r="B92" s="26" t="s">
        <v>139</v>
      </c>
      <c r="C92" s="3" t="s">
        <v>140</v>
      </c>
      <c r="D92" s="21"/>
      <c r="E92" s="22" t="s">
        <v>110</v>
      </c>
      <c r="F92" s="3" t="s">
        <v>78</v>
      </c>
      <c r="G92" s="3">
        <v>2</v>
      </c>
      <c r="H92" s="23">
        <v>838.92079999999999</v>
      </c>
      <c r="I92" s="124">
        <f t="shared" ref="I92:I101" si="6">H92*G92</f>
        <v>1677.8416</v>
      </c>
      <c r="J92" s="21"/>
      <c r="K92" s="24"/>
    </row>
    <row r="93" spans="1:11" ht="15.75" customHeight="1" x14ac:dyDescent="0.25">
      <c r="A93" s="25"/>
      <c r="B93" s="26" t="s">
        <v>141</v>
      </c>
      <c r="C93" s="21"/>
      <c r="D93" s="21"/>
      <c r="E93" s="22" t="s">
        <v>110</v>
      </c>
      <c r="F93" s="3" t="s">
        <v>142</v>
      </c>
      <c r="G93" s="3">
        <v>2</v>
      </c>
      <c r="H93" s="23">
        <v>1118.7156</v>
      </c>
      <c r="I93" s="124">
        <f t="shared" si="6"/>
        <v>2237.4312</v>
      </c>
      <c r="J93" s="21"/>
      <c r="K93" s="24"/>
    </row>
    <row r="94" spans="1:11" ht="15.75" customHeight="1" x14ac:dyDescent="0.25">
      <c r="A94" s="25"/>
      <c r="B94" s="26" t="s">
        <v>143</v>
      </c>
      <c r="C94" s="3" t="s">
        <v>144</v>
      </c>
      <c r="D94" s="21"/>
      <c r="E94" s="22" t="s">
        <v>110</v>
      </c>
      <c r="F94" s="3" t="s">
        <v>78</v>
      </c>
      <c r="G94" s="3">
        <v>5</v>
      </c>
      <c r="H94" s="23">
        <v>1300.6541999999999</v>
      </c>
      <c r="I94" s="124">
        <f t="shared" si="6"/>
        <v>6503.2709999999997</v>
      </c>
      <c r="J94" s="21"/>
      <c r="K94" s="24"/>
    </row>
    <row r="95" spans="1:11" ht="15.75" customHeight="1" x14ac:dyDescent="0.25">
      <c r="A95" s="25"/>
      <c r="B95" s="26" t="s">
        <v>145</v>
      </c>
      <c r="C95" s="21"/>
      <c r="D95" s="21"/>
      <c r="E95" s="22" t="s">
        <v>110</v>
      </c>
      <c r="F95" s="3" t="s">
        <v>47</v>
      </c>
      <c r="G95" s="3">
        <v>2</v>
      </c>
      <c r="H95" s="23">
        <v>804.22400000000005</v>
      </c>
      <c r="I95" s="124">
        <f t="shared" si="6"/>
        <v>1608.4480000000001</v>
      </c>
      <c r="J95" s="21"/>
      <c r="K95" s="24"/>
    </row>
    <row r="96" spans="1:11" ht="15.75" customHeight="1" x14ac:dyDescent="0.25">
      <c r="A96" s="25"/>
      <c r="B96" s="26" t="s">
        <v>146</v>
      </c>
      <c r="C96" s="21"/>
      <c r="D96" s="21"/>
      <c r="E96" s="22" t="s">
        <v>110</v>
      </c>
      <c r="F96" s="3" t="s">
        <v>78</v>
      </c>
      <c r="G96" s="3">
        <v>2</v>
      </c>
      <c r="H96" s="23">
        <v>741.19880000000001</v>
      </c>
      <c r="I96" s="124">
        <f t="shared" si="6"/>
        <v>1482.3976</v>
      </c>
      <c r="J96" s="21"/>
      <c r="K96" s="24"/>
    </row>
    <row r="97" spans="1:11" ht="15.75" customHeight="1" x14ac:dyDescent="0.25">
      <c r="A97" s="25"/>
      <c r="B97" s="26" t="s">
        <v>147</v>
      </c>
      <c r="C97" s="21" t="s">
        <v>148</v>
      </c>
      <c r="D97" s="3"/>
      <c r="E97" s="22" t="s">
        <v>110</v>
      </c>
      <c r="F97" s="3" t="s">
        <v>78</v>
      </c>
      <c r="G97" s="3">
        <v>1</v>
      </c>
      <c r="H97" s="23">
        <v>2243.2628</v>
      </c>
      <c r="I97" s="124">
        <f t="shared" si="6"/>
        <v>2243.2628</v>
      </c>
      <c r="J97" s="21"/>
      <c r="K97" s="24"/>
    </row>
    <row r="98" spans="1:11" ht="15.75" customHeight="1" x14ac:dyDescent="0.25">
      <c r="A98" s="25"/>
      <c r="B98" s="26" t="s">
        <v>149</v>
      </c>
      <c r="C98" s="21" t="s">
        <v>150</v>
      </c>
      <c r="D98" s="21"/>
      <c r="E98" s="22" t="s">
        <v>110</v>
      </c>
      <c r="F98" s="3" t="s">
        <v>78</v>
      </c>
      <c r="G98" s="3">
        <v>1</v>
      </c>
      <c r="H98" s="23">
        <v>2870.9283999999998</v>
      </c>
      <c r="I98" s="124">
        <f t="shared" si="6"/>
        <v>2870.9283999999998</v>
      </c>
      <c r="J98" s="21"/>
      <c r="K98" s="24"/>
    </row>
    <row r="99" spans="1:11" ht="15.75" customHeight="1" x14ac:dyDescent="0.25">
      <c r="A99" s="25"/>
      <c r="B99" s="26" t="s">
        <v>151</v>
      </c>
      <c r="C99" s="21" t="s">
        <v>152</v>
      </c>
      <c r="D99" s="21"/>
      <c r="E99" s="22" t="s">
        <v>110</v>
      </c>
      <c r="F99" s="3" t="s">
        <v>78</v>
      </c>
      <c r="G99" s="3">
        <v>1</v>
      </c>
      <c r="H99" s="23">
        <v>429.06180000000001</v>
      </c>
      <c r="I99" s="124">
        <f t="shared" si="6"/>
        <v>429.06180000000001</v>
      </c>
      <c r="J99" s="21"/>
      <c r="K99" s="24"/>
    </row>
    <row r="100" spans="1:11" ht="15.75" customHeight="1" x14ac:dyDescent="0.25">
      <c r="A100" s="25"/>
      <c r="B100" s="26" t="s">
        <v>153</v>
      </c>
      <c r="C100" s="21"/>
      <c r="D100" s="21"/>
      <c r="E100" s="22" t="s">
        <v>110</v>
      </c>
      <c r="F100" s="3" t="s">
        <v>78</v>
      </c>
      <c r="G100" s="3">
        <v>2</v>
      </c>
      <c r="H100" s="23">
        <v>118.523</v>
      </c>
      <c r="I100" s="124">
        <f t="shared" si="6"/>
        <v>237.04599999999999</v>
      </c>
      <c r="J100" s="21"/>
      <c r="K100" s="24"/>
    </row>
    <row r="101" spans="1:11" ht="15.75" customHeight="1" x14ac:dyDescent="0.25">
      <c r="A101" s="25"/>
      <c r="B101" s="26" t="s">
        <v>154</v>
      </c>
      <c r="C101" s="21"/>
      <c r="D101" s="21"/>
      <c r="E101" s="22" t="s">
        <v>110</v>
      </c>
      <c r="F101" s="3" t="s">
        <v>78</v>
      </c>
      <c r="G101" s="3">
        <v>2</v>
      </c>
      <c r="H101" s="23">
        <v>266.20400000000001</v>
      </c>
      <c r="I101" s="124">
        <f t="shared" si="6"/>
        <v>532.40800000000002</v>
      </c>
      <c r="J101" s="21"/>
      <c r="K101" s="24"/>
    </row>
    <row r="102" spans="1:11" ht="15.75" customHeight="1" x14ac:dyDescent="0.25">
      <c r="A102" s="19">
        <v>7</v>
      </c>
      <c r="B102" s="20" t="s">
        <v>155</v>
      </c>
      <c r="C102" s="21"/>
      <c r="D102" s="21"/>
      <c r="E102" s="22"/>
      <c r="F102" s="22"/>
      <c r="G102" s="21"/>
      <c r="H102" s="23"/>
      <c r="I102" s="124"/>
      <c r="J102" s="21"/>
      <c r="K102" s="24" t="s">
        <v>156</v>
      </c>
    </row>
    <row r="103" spans="1:11" ht="15.75" customHeight="1" x14ac:dyDescent="0.25">
      <c r="A103" s="25"/>
      <c r="B103" s="26" t="s">
        <v>157</v>
      </c>
      <c r="C103" s="21"/>
      <c r="D103" s="21"/>
      <c r="E103" s="22" t="s">
        <v>110</v>
      </c>
      <c r="F103" s="3" t="s">
        <v>158</v>
      </c>
      <c r="G103" s="3">
        <v>40</v>
      </c>
      <c r="H103" s="23">
        <v>220</v>
      </c>
      <c r="I103" s="124">
        <f>H103*G103</f>
        <v>8800</v>
      </c>
      <c r="J103" s="21"/>
      <c r="K103" s="24"/>
    </row>
    <row r="104" spans="1:11" ht="28.5" customHeight="1" x14ac:dyDescent="0.25">
      <c r="A104" s="25"/>
      <c r="B104" s="26" t="s">
        <v>159</v>
      </c>
      <c r="C104" s="21"/>
      <c r="D104" s="21"/>
      <c r="E104" s="22" t="s">
        <v>110</v>
      </c>
      <c r="F104" s="3" t="s">
        <v>78</v>
      </c>
      <c r="G104" s="3">
        <v>100</v>
      </c>
      <c r="H104" s="23">
        <v>8453.6239999999998</v>
      </c>
      <c r="I104" s="124">
        <f>H104*G104</f>
        <v>845362.4</v>
      </c>
      <c r="J104" s="21"/>
      <c r="K104" s="24"/>
    </row>
    <row r="105" spans="1:11" ht="15.75" customHeight="1" x14ac:dyDescent="0.25">
      <c r="A105" s="25"/>
      <c r="B105" s="26" t="s">
        <v>160</v>
      </c>
      <c r="C105" s="21"/>
      <c r="D105" s="21"/>
      <c r="E105" s="22" t="s">
        <v>110</v>
      </c>
      <c r="F105" s="3" t="s">
        <v>78</v>
      </c>
      <c r="G105" s="3">
        <v>18</v>
      </c>
      <c r="H105" s="23">
        <v>30672.434799999999</v>
      </c>
      <c r="I105" s="124">
        <f>H105*G105</f>
        <v>552103.82640000002</v>
      </c>
      <c r="J105" s="21"/>
      <c r="K105" s="24"/>
    </row>
    <row r="106" spans="1:11" ht="15.75" customHeight="1" x14ac:dyDescent="0.25">
      <c r="A106" s="25"/>
      <c r="B106" s="26" t="s">
        <v>161</v>
      </c>
      <c r="C106" s="3" t="s">
        <v>162</v>
      </c>
      <c r="D106" s="21"/>
      <c r="E106" s="22" t="s">
        <v>135</v>
      </c>
      <c r="F106" s="3" t="s">
        <v>89</v>
      </c>
      <c r="G106" s="3">
        <v>75</v>
      </c>
      <c r="H106" s="23">
        <v>850</v>
      </c>
      <c r="I106" s="124">
        <f>H106*G106</f>
        <v>63750</v>
      </c>
      <c r="J106" s="21"/>
      <c r="K106" s="24"/>
    </row>
    <row r="107" spans="1:11" ht="15.75" customHeight="1" x14ac:dyDescent="0.25">
      <c r="A107" s="25"/>
      <c r="B107" s="26" t="s">
        <v>163</v>
      </c>
      <c r="C107" s="21"/>
      <c r="D107" s="21"/>
      <c r="E107" s="22" t="s">
        <v>110</v>
      </c>
      <c r="F107" s="3" t="s">
        <v>78</v>
      </c>
      <c r="G107" s="3">
        <v>50</v>
      </c>
      <c r="H107" s="23">
        <v>630.923</v>
      </c>
      <c r="I107" s="124">
        <f>H107*G107</f>
        <v>31546.15</v>
      </c>
      <c r="J107" s="21"/>
      <c r="K107" s="24"/>
    </row>
    <row r="108" spans="1:11" ht="15.75" customHeight="1" x14ac:dyDescent="0.25">
      <c r="A108" s="14"/>
      <c r="B108" s="15" t="s">
        <v>164</v>
      </c>
      <c r="C108" s="16"/>
      <c r="D108" s="16"/>
      <c r="E108" s="16"/>
      <c r="F108" s="16"/>
      <c r="G108" s="16"/>
      <c r="H108" s="17"/>
      <c r="I108" s="123"/>
      <c r="J108" s="16"/>
      <c r="K108" s="18"/>
    </row>
    <row r="109" spans="1:11" ht="15.75" customHeight="1" x14ac:dyDescent="0.25">
      <c r="A109" s="19">
        <v>1</v>
      </c>
      <c r="B109" s="20" t="s">
        <v>43</v>
      </c>
      <c r="C109" s="21"/>
      <c r="D109" s="21"/>
      <c r="E109" s="22"/>
      <c r="F109" s="22"/>
      <c r="G109" s="21"/>
      <c r="H109" s="23"/>
      <c r="I109" s="124"/>
      <c r="J109" s="21"/>
      <c r="K109" s="24"/>
    </row>
    <row r="110" spans="1:11" ht="15.75" customHeight="1" x14ac:dyDescent="0.25">
      <c r="A110" s="25"/>
      <c r="B110" s="26" t="s">
        <v>165</v>
      </c>
      <c r="C110" s="3" t="s">
        <v>45</v>
      </c>
      <c r="D110" s="21"/>
      <c r="E110" s="22" t="s">
        <v>46</v>
      </c>
      <c r="F110" s="3" t="s">
        <v>47</v>
      </c>
      <c r="G110" s="3">
        <v>1</v>
      </c>
      <c r="H110" s="23">
        <v>41771.22</v>
      </c>
      <c r="I110" s="124">
        <f t="shared" ref="I110:I124" si="7">H110*G110</f>
        <v>41771.22</v>
      </c>
      <c r="J110" s="21"/>
      <c r="K110" s="24"/>
    </row>
    <row r="111" spans="1:11" ht="15.75" customHeight="1" x14ac:dyDescent="0.25">
      <c r="A111" s="25"/>
      <c r="B111" s="26" t="s">
        <v>166</v>
      </c>
      <c r="C111" s="3" t="s">
        <v>45</v>
      </c>
      <c r="D111" s="21"/>
      <c r="E111" s="22" t="s">
        <v>46</v>
      </c>
      <c r="F111" s="3" t="s">
        <v>47</v>
      </c>
      <c r="G111" s="3">
        <v>1</v>
      </c>
      <c r="H111" s="23">
        <v>6967.73</v>
      </c>
      <c r="I111" s="124">
        <f t="shared" si="7"/>
        <v>6967.73</v>
      </c>
      <c r="J111" s="21"/>
      <c r="K111" s="24"/>
    </row>
    <row r="112" spans="1:11" ht="15.75" customHeight="1" x14ac:dyDescent="0.25">
      <c r="A112" s="25"/>
      <c r="B112" s="26" t="s">
        <v>167</v>
      </c>
      <c r="C112" s="3" t="s">
        <v>45</v>
      </c>
      <c r="D112" s="21"/>
      <c r="E112" s="22" t="s">
        <v>46</v>
      </c>
      <c r="F112" s="3" t="s">
        <v>47</v>
      </c>
      <c r="G112" s="3">
        <v>1</v>
      </c>
      <c r="H112" s="23">
        <v>9062.58</v>
      </c>
      <c r="I112" s="124">
        <f t="shared" si="7"/>
        <v>9062.58</v>
      </c>
      <c r="J112" s="21"/>
      <c r="K112" s="24"/>
    </row>
    <row r="113" spans="1:11" ht="15.75" customHeight="1" x14ac:dyDescent="0.25">
      <c r="A113" s="25"/>
      <c r="B113" s="26" t="s">
        <v>168</v>
      </c>
      <c r="C113" s="3" t="s">
        <v>45</v>
      </c>
      <c r="D113" s="21"/>
      <c r="E113" s="22" t="s">
        <v>46</v>
      </c>
      <c r="F113" s="3" t="s">
        <v>47</v>
      </c>
      <c r="G113" s="3">
        <v>1</v>
      </c>
      <c r="H113" s="23">
        <v>11739.06</v>
      </c>
      <c r="I113" s="124">
        <f t="shared" si="7"/>
        <v>11739.06</v>
      </c>
      <c r="J113" s="21"/>
      <c r="K113" s="24"/>
    </row>
    <row r="114" spans="1:11" ht="15.75" customHeight="1" x14ac:dyDescent="0.25">
      <c r="A114" s="25"/>
      <c r="B114" s="26" t="s">
        <v>169</v>
      </c>
      <c r="C114" s="3" t="s">
        <v>45</v>
      </c>
      <c r="D114" s="21"/>
      <c r="E114" s="22" t="s">
        <v>46</v>
      </c>
      <c r="F114" s="3" t="s">
        <v>47</v>
      </c>
      <c r="G114" s="3">
        <v>1</v>
      </c>
      <c r="H114" s="23">
        <v>11739.06</v>
      </c>
      <c r="I114" s="124">
        <f t="shared" si="7"/>
        <v>11739.06</v>
      </c>
      <c r="J114" s="21"/>
      <c r="K114" s="24"/>
    </row>
    <row r="115" spans="1:11" ht="15.75" customHeight="1" x14ac:dyDescent="0.25">
      <c r="A115" s="25"/>
      <c r="B115" s="26" t="s">
        <v>170</v>
      </c>
      <c r="C115" s="3" t="s">
        <v>45</v>
      </c>
      <c r="D115" s="21"/>
      <c r="E115" s="22" t="s">
        <v>46</v>
      </c>
      <c r="F115" s="3" t="s">
        <v>47</v>
      </c>
      <c r="G115" s="3">
        <v>1</v>
      </c>
      <c r="H115" s="23">
        <v>8621.06</v>
      </c>
      <c r="I115" s="124">
        <f t="shared" si="7"/>
        <v>8621.06</v>
      </c>
      <c r="J115" s="21"/>
      <c r="K115" s="24"/>
    </row>
    <row r="116" spans="1:11" ht="15.75" customHeight="1" x14ac:dyDescent="0.25">
      <c r="A116" s="25"/>
      <c r="B116" s="26" t="s">
        <v>171</v>
      </c>
      <c r="C116" s="3" t="s">
        <v>45</v>
      </c>
      <c r="D116" s="21"/>
      <c r="E116" s="22" t="s">
        <v>46</v>
      </c>
      <c r="F116" s="3" t="s">
        <v>47</v>
      </c>
      <c r="G116" s="3">
        <v>1</v>
      </c>
      <c r="H116" s="23">
        <v>8621.06</v>
      </c>
      <c r="I116" s="124">
        <f t="shared" si="7"/>
        <v>8621.06</v>
      </c>
      <c r="J116" s="21"/>
      <c r="K116" s="24"/>
    </row>
    <row r="117" spans="1:11" ht="15.75" customHeight="1" x14ac:dyDescent="0.25">
      <c r="A117" s="25"/>
      <c r="B117" s="26" t="s">
        <v>172</v>
      </c>
      <c r="C117" s="3" t="s">
        <v>45</v>
      </c>
      <c r="D117" s="21"/>
      <c r="E117" s="22" t="s">
        <v>46</v>
      </c>
      <c r="F117" s="3" t="s">
        <v>47</v>
      </c>
      <c r="G117" s="3">
        <v>1</v>
      </c>
      <c r="H117" s="23">
        <v>8621.06</v>
      </c>
      <c r="I117" s="124">
        <f t="shared" si="7"/>
        <v>8621.06</v>
      </c>
      <c r="J117" s="21"/>
      <c r="K117" s="24"/>
    </row>
    <row r="118" spans="1:11" ht="15.75" customHeight="1" x14ac:dyDescent="0.25">
      <c r="A118" s="25"/>
      <c r="B118" s="26" t="s">
        <v>173</v>
      </c>
      <c r="C118" s="3" t="s">
        <v>45</v>
      </c>
      <c r="D118" s="21"/>
      <c r="E118" s="22" t="s">
        <v>46</v>
      </c>
      <c r="F118" s="3" t="s">
        <v>47</v>
      </c>
      <c r="G118" s="3">
        <v>1</v>
      </c>
      <c r="H118" s="23">
        <v>9062.58</v>
      </c>
      <c r="I118" s="124">
        <f t="shared" si="7"/>
        <v>9062.58</v>
      </c>
      <c r="J118" s="21"/>
      <c r="K118" s="24"/>
    </row>
    <row r="119" spans="1:11" ht="15.75" customHeight="1" x14ac:dyDescent="0.25">
      <c r="A119" s="25"/>
      <c r="B119" s="26" t="s">
        <v>174</v>
      </c>
      <c r="C119" s="3" t="s">
        <v>45</v>
      </c>
      <c r="D119" s="21"/>
      <c r="E119" s="22" t="s">
        <v>46</v>
      </c>
      <c r="F119" s="3" t="s">
        <v>47</v>
      </c>
      <c r="G119" s="3">
        <v>1</v>
      </c>
      <c r="H119" s="23">
        <v>8621.06</v>
      </c>
      <c r="I119" s="124">
        <f t="shared" si="7"/>
        <v>8621.06</v>
      </c>
      <c r="J119" s="21"/>
      <c r="K119" s="24"/>
    </row>
    <row r="120" spans="1:11" ht="34.5" customHeight="1" x14ac:dyDescent="0.25">
      <c r="A120" s="25"/>
      <c r="B120" s="26" t="s">
        <v>175</v>
      </c>
      <c r="C120" s="3" t="s">
        <v>45</v>
      </c>
      <c r="D120" s="21"/>
      <c r="E120" s="22" t="s">
        <v>46</v>
      </c>
      <c r="F120" s="3" t="s">
        <v>47</v>
      </c>
      <c r="G120" s="3">
        <v>1</v>
      </c>
      <c r="H120" s="23">
        <v>23241.3</v>
      </c>
      <c r="I120" s="124">
        <f t="shared" si="7"/>
        <v>23241.3</v>
      </c>
      <c r="J120" s="21"/>
      <c r="K120" s="24"/>
    </row>
    <row r="121" spans="1:11" ht="34.5" customHeight="1" x14ac:dyDescent="0.25">
      <c r="A121" s="25"/>
      <c r="B121" s="26" t="s">
        <v>176</v>
      </c>
      <c r="C121" s="3" t="s">
        <v>45</v>
      </c>
      <c r="D121" s="21"/>
      <c r="E121" s="22" t="s">
        <v>46</v>
      </c>
      <c r="F121" s="3" t="s">
        <v>47</v>
      </c>
      <c r="G121" s="3">
        <v>1</v>
      </c>
      <c r="H121" s="23">
        <v>19299.080000000002</v>
      </c>
      <c r="I121" s="124">
        <f t="shared" si="7"/>
        <v>19299.080000000002</v>
      </c>
      <c r="J121" s="21"/>
      <c r="K121" s="24"/>
    </row>
    <row r="122" spans="1:11" ht="34.5" customHeight="1" x14ac:dyDescent="0.25">
      <c r="A122" s="25"/>
      <c r="B122" s="26" t="s">
        <v>177</v>
      </c>
      <c r="C122" s="3" t="s">
        <v>45</v>
      </c>
      <c r="D122" s="21"/>
      <c r="E122" s="22" t="s">
        <v>46</v>
      </c>
      <c r="F122" s="3" t="s">
        <v>47</v>
      </c>
      <c r="G122" s="3">
        <v>1</v>
      </c>
      <c r="H122" s="23">
        <v>10872.77</v>
      </c>
      <c r="I122" s="124">
        <f t="shared" si="7"/>
        <v>10872.77</v>
      </c>
      <c r="J122" s="21"/>
      <c r="K122" s="24"/>
    </row>
    <row r="123" spans="1:11" ht="34.5" customHeight="1" x14ac:dyDescent="0.25">
      <c r="A123" s="25"/>
      <c r="B123" s="26" t="s">
        <v>178</v>
      </c>
      <c r="C123" s="3" t="s">
        <v>45</v>
      </c>
      <c r="D123" s="21"/>
      <c r="E123" s="22" t="s">
        <v>46</v>
      </c>
      <c r="F123" s="3" t="s">
        <v>47</v>
      </c>
      <c r="G123" s="3">
        <v>1</v>
      </c>
      <c r="H123" s="23">
        <v>13082.28</v>
      </c>
      <c r="I123" s="124">
        <f t="shared" si="7"/>
        <v>13082.28</v>
      </c>
      <c r="J123" s="21"/>
      <c r="K123" s="24"/>
    </row>
    <row r="124" spans="1:11" ht="15.75" customHeight="1" x14ac:dyDescent="0.25">
      <c r="A124" s="25"/>
      <c r="B124" s="26" t="s">
        <v>179</v>
      </c>
      <c r="C124" s="3" t="s">
        <v>45</v>
      </c>
      <c r="D124" s="21"/>
      <c r="E124" s="22" t="s">
        <v>46</v>
      </c>
      <c r="F124" s="3" t="s">
        <v>47</v>
      </c>
      <c r="G124" s="3">
        <v>14</v>
      </c>
      <c r="H124" s="23">
        <v>6394.64</v>
      </c>
      <c r="I124" s="124">
        <f t="shared" si="7"/>
        <v>89524.96</v>
      </c>
      <c r="J124" s="21"/>
      <c r="K124" s="24"/>
    </row>
    <row r="125" spans="1:11" ht="15.75" customHeight="1" x14ac:dyDescent="0.25">
      <c r="A125" s="19">
        <v>2</v>
      </c>
      <c r="B125" s="20" t="s">
        <v>76</v>
      </c>
      <c r="C125" s="21"/>
      <c r="D125" s="21"/>
      <c r="E125" s="22"/>
      <c r="F125" s="22"/>
      <c r="G125" s="21"/>
      <c r="H125" s="23"/>
      <c r="I125" s="124"/>
      <c r="J125" s="21"/>
      <c r="K125" s="24"/>
    </row>
    <row r="126" spans="1:11" ht="15.75" customHeight="1" x14ac:dyDescent="0.25">
      <c r="A126" s="25"/>
      <c r="B126" s="26" t="s">
        <v>180</v>
      </c>
      <c r="C126" s="21"/>
      <c r="D126" s="21"/>
      <c r="E126" s="22" t="s">
        <v>46</v>
      </c>
      <c r="F126" s="3" t="s">
        <v>78</v>
      </c>
      <c r="G126" s="3">
        <v>268</v>
      </c>
      <c r="H126" s="23">
        <v>152.0608</v>
      </c>
      <c r="I126" s="124">
        <f>H126*G126</f>
        <v>40752.294399999999</v>
      </c>
      <c r="J126" s="21"/>
      <c r="K126" s="24"/>
    </row>
    <row r="127" spans="1:11" ht="15.75" customHeight="1" x14ac:dyDescent="0.25">
      <c r="A127" s="25"/>
      <c r="B127" s="26" t="s">
        <v>181</v>
      </c>
      <c r="C127" s="21"/>
      <c r="D127" s="21"/>
      <c r="E127" s="22" t="s">
        <v>46</v>
      </c>
      <c r="F127" s="3" t="s">
        <v>78</v>
      </c>
      <c r="G127" s="3">
        <v>82</v>
      </c>
      <c r="H127" s="23"/>
      <c r="I127" s="124">
        <f>H127*G127</f>
        <v>0</v>
      </c>
      <c r="J127" s="21"/>
      <c r="K127" s="24"/>
    </row>
    <row r="128" spans="1:11" ht="15.75" customHeight="1" x14ac:dyDescent="0.25">
      <c r="A128" s="25"/>
      <c r="B128" s="26" t="s">
        <v>182</v>
      </c>
      <c r="C128" s="21"/>
      <c r="D128" s="21"/>
      <c r="E128" s="22" t="s">
        <v>46</v>
      </c>
      <c r="F128" s="3" t="s">
        <v>78</v>
      </c>
      <c r="G128" s="3">
        <v>10</v>
      </c>
      <c r="H128" s="23"/>
      <c r="I128" s="124">
        <f>H128*G128</f>
        <v>0</v>
      </c>
      <c r="J128" s="21"/>
      <c r="K128" s="24"/>
    </row>
    <row r="129" spans="1:11" ht="15.75" customHeight="1" x14ac:dyDescent="0.25">
      <c r="A129" s="25"/>
      <c r="B129" s="26" t="s">
        <v>82</v>
      </c>
      <c r="C129" s="21"/>
      <c r="D129" s="21"/>
      <c r="E129" s="22" t="s">
        <v>46</v>
      </c>
      <c r="F129" s="3" t="s">
        <v>78</v>
      </c>
      <c r="G129" s="3">
        <v>350</v>
      </c>
      <c r="H129" s="23"/>
      <c r="I129" s="124">
        <f>H129*G129</f>
        <v>0</v>
      </c>
      <c r="J129" s="21"/>
      <c r="K129" s="24"/>
    </row>
    <row r="130" spans="1:11" ht="15.75" customHeight="1" x14ac:dyDescent="0.25">
      <c r="A130" s="19">
        <v>3</v>
      </c>
      <c r="B130" s="20" t="s">
        <v>183</v>
      </c>
      <c r="C130" s="21"/>
      <c r="D130" s="21"/>
      <c r="E130" s="22"/>
      <c r="F130" s="22"/>
      <c r="G130" s="21"/>
      <c r="H130" s="23"/>
      <c r="I130" s="124"/>
      <c r="J130" s="21"/>
      <c r="K130" s="24" t="s">
        <v>184</v>
      </c>
    </row>
    <row r="131" spans="1:11" ht="15.75" customHeight="1" x14ac:dyDescent="0.25">
      <c r="A131" s="25"/>
      <c r="B131" s="26" t="s">
        <v>185</v>
      </c>
      <c r="C131" s="3" t="s">
        <v>186</v>
      </c>
      <c r="D131" s="21"/>
      <c r="E131" s="22" t="s">
        <v>46</v>
      </c>
      <c r="F131" s="3" t="s">
        <v>78</v>
      </c>
      <c r="G131" s="3">
        <v>200</v>
      </c>
      <c r="H131" s="23">
        <v>5720</v>
      </c>
      <c r="I131" s="124">
        <f t="shared" ref="I131:I150" si="8">H131*G131</f>
        <v>1144000</v>
      </c>
      <c r="J131" s="21"/>
      <c r="K131" s="24"/>
    </row>
    <row r="132" spans="1:11" ht="15.75" customHeight="1" x14ac:dyDescent="0.25">
      <c r="A132" s="25"/>
      <c r="B132" s="26" t="s">
        <v>187</v>
      </c>
      <c r="C132" s="3" t="s">
        <v>186</v>
      </c>
      <c r="D132" s="21"/>
      <c r="E132" s="22" t="s">
        <v>46</v>
      </c>
      <c r="F132" s="3" t="s">
        <v>78</v>
      </c>
      <c r="G132" s="3">
        <v>16</v>
      </c>
      <c r="H132" s="23">
        <v>11000</v>
      </c>
      <c r="I132" s="124">
        <f t="shared" si="8"/>
        <v>176000</v>
      </c>
      <c r="J132" s="21"/>
      <c r="K132" s="24"/>
    </row>
    <row r="133" spans="1:11" ht="15.75" customHeight="1" x14ac:dyDescent="0.25">
      <c r="A133" s="25"/>
      <c r="B133" s="26" t="s">
        <v>185</v>
      </c>
      <c r="C133" s="3" t="s">
        <v>188</v>
      </c>
      <c r="D133" s="21"/>
      <c r="E133" s="22"/>
      <c r="F133" s="3" t="s">
        <v>78</v>
      </c>
      <c r="G133" s="3">
        <v>63</v>
      </c>
      <c r="H133" s="23">
        <v>6072</v>
      </c>
      <c r="I133" s="124">
        <f t="shared" si="8"/>
        <v>382536</v>
      </c>
      <c r="J133" s="21"/>
      <c r="K133" s="24"/>
    </row>
    <row r="134" spans="1:11" ht="15.75" customHeight="1" x14ac:dyDescent="0.25">
      <c r="A134" s="25"/>
      <c r="B134" s="26" t="s">
        <v>187</v>
      </c>
      <c r="C134" s="3" t="s">
        <v>188</v>
      </c>
      <c r="D134" s="21"/>
      <c r="E134" s="22"/>
      <c r="F134" s="3" t="s">
        <v>78</v>
      </c>
      <c r="G134" s="3">
        <v>31</v>
      </c>
      <c r="H134" s="23">
        <v>14500</v>
      </c>
      <c r="I134" s="124">
        <f t="shared" si="8"/>
        <v>449500</v>
      </c>
      <c r="J134" s="21"/>
      <c r="K134" s="24"/>
    </row>
    <row r="135" spans="1:11" ht="15.75" customHeight="1" x14ac:dyDescent="0.25">
      <c r="A135" s="25"/>
      <c r="B135" s="26" t="s">
        <v>185</v>
      </c>
      <c r="C135" s="3" t="s">
        <v>189</v>
      </c>
      <c r="D135" s="21"/>
      <c r="E135" s="22"/>
      <c r="F135" s="3" t="s">
        <v>78</v>
      </c>
      <c r="G135" s="3">
        <v>421</v>
      </c>
      <c r="H135" s="23">
        <v>10516</v>
      </c>
      <c r="I135" s="124">
        <f t="shared" si="8"/>
        <v>4427236</v>
      </c>
      <c r="J135" s="21"/>
      <c r="K135" s="24"/>
    </row>
    <row r="136" spans="1:11" ht="15.75" customHeight="1" x14ac:dyDescent="0.25">
      <c r="A136" s="25"/>
      <c r="B136" s="26" t="s">
        <v>187</v>
      </c>
      <c r="C136" s="3" t="s">
        <v>189</v>
      </c>
      <c r="D136" s="21"/>
      <c r="E136" s="22"/>
      <c r="F136" s="3" t="s">
        <v>78</v>
      </c>
      <c r="G136" s="3">
        <v>97</v>
      </c>
      <c r="H136" s="23">
        <v>14600</v>
      </c>
      <c r="I136" s="124">
        <f t="shared" si="8"/>
        <v>1416200</v>
      </c>
      <c r="J136" s="21"/>
      <c r="K136" s="24"/>
    </row>
    <row r="137" spans="1:11" ht="15.75" customHeight="1" x14ac:dyDescent="0.25">
      <c r="A137" s="25"/>
      <c r="B137" s="26" t="s">
        <v>185</v>
      </c>
      <c r="C137" s="3" t="s">
        <v>190</v>
      </c>
      <c r="D137" s="21"/>
      <c r="E137" s="22"/>
      <c r="F137" s="3" t="s">
        <v>78</v>
      </c>
      <c r="G137" s="3">
        <v>218</v>
      </c>
      <c r="H137" s="23">
        <v>4600</v>
      </c>
      <c r="I137" s="124">
        <f t="shared" si="8"/>
        <v>1002800</v>
      </c>
      <c r="J137" s="21"/>
      <c r="K137" s="24"/>
    </row>
    <row r="138" spans="1:11" ht="15.75" customHeight="1" x14ac:dyDescent="0.25">
      <c r="A138" s="25"/>
      <c r="B138" s="26" t="s">
        <v>187</v>
      </c>
      <c r="C138" s="3" t="s">
        <v>190</v>
      </c>
      <c r="D138" s="21"/>
      <c r="E138" s="22"/>
      <c r="F138" s="3" t="s">
        <v>78</v>
      </c>
      <c r="G138" s="3">
        <v>6</v>
      </c>
      <c r="H138" s="23">
        <v>11000</v>
      </c>
      <c r="I138" s="124">
        <f t="shared" si="8"/>
        <v>66000</v>
      </c>
      <c r="J138" s="21"/>
      <c r="K138" s="24"/>
    </row>
    <row r="139" spans="1:11" ht="15.75" customHeight="1" x14ac:dyDescent="0.25">
      <c r="A139" s="25"/>
      <c r="B139" s="26" t="s">
        <v>185</v>
      </c>
      <c r="C139" s="3" t="s">
        <v>191</v>
      </c>
      <c r="D139" s="21"/>
      <c r="E139" s="22"/>
      <c r="F139" s="3" t="s">
        <v>78</v>
      </c>
      <c r="G139" s="3">
        <v>27</v>
      </c>
      <c r="H139" s="23">
        <v>11100</v>
      </c>
      <c r="I139" s="124">
        <f t="shared" si="8"/>
        <v>299700</v>
      </c>
      <c r="J139" s="21"/>
      <c r="K139" s="24"/>
    </row>
    <row r="140" spans="1:11" ht="15.75" customHeight="1" x14ac:dyDescent="0.25">
      <c r="A140" s="25"/>
      <c r="B140" s="26" t="s">
        <v>187</v>
      </c>
      <c r="C140" s="3" t="s">
        <v>191</v>
      </c>
      <c r="D140" s="21"/>
      <c r="E140" s="22"/>
      <c r="F140" s="3" t="s">
        <v>78</v>
      </c>
      <c r="G140" s="3">
        <v>9</v>
      </c>
      <c r="H140" s="23">
        <v>15850</v>
      </c>
      <c r="I140" s="124">
        <f t="shared" si="8"/>
        <v>142650</v>
      </c>
      <c r="J140" s="21"/>
      <c r="K140" s="24"/>
    </row>
    <row r="141" spans="1:11" ht="15.75" customHeight="1" x14ac:dyDescent="0.25">
      <c r="A141" s="25"/>
      <c r="B141" s="26" t="s">
        <v>185</v>
      </c>
      <c r="C141" s="3" t="s">
        <v>192</v>
      </c>
      <c r="D141" s="21"/>
      <c r="E141" s="22"/>
      <c r="F141" s="3" t="s">
        <v>78</v>
      </c>
      <c r="G141" s="3">
        <v>8</v>
      </c>
      <c r="H141" s="23">
        <v>65800</v>
      </c>
      <c r="I141" s="124">
        <f t="shared" si="8"/>
        <v>526400</v>
      </c>
      <c r="J141" s="21"/>
      <c r="K141" s="24"/>
    </row>
    <row r="142" spans="1:11" ht="15.75" customHeight="1" x14ac:dyDescent="0.25">
      <c r="A142" s="25"/>
      <c r="B142" s="26" t="s">
        <v>187</v>
      </c>
      <c r="C142" s="3" t="s">
        <v>192</v>
      </c>
      <c r="D142" s="21"/>
      <c r="E142" s="22"/>
      <c r="F142" s="3" t="s">
        <v>78</v>
      </c>
      <c r="G142" s="3">
        <v>4</v>
      </c>
      <c r="H142" s="23">
        <v>94000</v>
      </c>
      <c r="I142" s="124">
        <f t="shared" si="8"/>
        <v>376000</v>
      </c>
      <c r="J142" s="21"/>
      <c r="K142" s="24"/>
    </row>
    <row r="143" spans="1:11" ht="15.75" customHeight="1" x14ac:dyDescent="0.25">
      <c r="A143" s="25"/>
      <c r="B143" s="26" t="s">
        <v>185</v>
      </c>
      <c r="C143" s="3" t="s">
        <v>193</v>
      </c>
      <c r="D143" s="21"/>
      <c r="E143" s="22"/>
      <c r="F143" s="3" t="s">
        <v>78</v>
      </c>
      <c r="G143" s="3">
        <v>59</v>
      </c>
      <c r="H143" s="23">
        <v>98192</v>
      </c>
      <c r="I143" s="124">
        <f t="shared" si="8"/>
        <v>5793328</v>
      </c>
      <c r="J143" s="21"/>
      <c r="K143" s="24"/>
    </row>
    <row r="144" spans="1:11" ht="15.75" customHeight="1" x14ac:dyDescent="0.25">
      <c r="A144" s="25"/>
      <c r="B144" s="26" t="s">
        <v>187</v>
      </c>
      <c r="C144" s="3" t="s">
        <v>193</v>
      </c>
      <c r="D144" s="21"/>
      <c r="E144" s="22"/>
      <c r="F144" s="3" t="s">
        <v>78</v>
      </c>
      <c r="G144" s="3">
        <v>10</v>
      </c>
      <c r="H144" s="23">
        <v>172600</v>
      </c>
      <c r="I144" s="124">
        <f t="shared" si="8"/>
        <v>1726000</v>
      </c>
      <c r="J144" s="21"/>
      <c r="K144" s="24"/>
    </row>
    <row r="145" spans="1:11" ht="15.75" customHeight="1" x14ac:dyDescent="0.25">
      <c r="A145" s="25"/>
      <c r="B145" s="26" t="s">
        <v>185</v>
      </c>
      <c r="C145" s="3" t="s">
        <v>194</v>
      </c>
      <c r="D145" s="21"/>
      <c r="E145" s="22"/>
      <c r="F145" s="3" t="s">
        <v>78</v>
      </c>
      <c r="G145" s="3">
        <v>6</v>
      </c>
      <c r="H145" s="23">
        <v>67000</v>
      </c>
      <c r="I145" s="124">
        <f t="shared" si="8"/>
        <v>402000</v>
      </c>
      <c r="J145" s="21"/>
      <c r="K145" s="24"/>
    </row>
    <row r="146" spans="1:11" ht="15.75" customHeight="1" x14ac:dyDescent="0.25">
      <c r="A146" s="25"/>
      <c r="B146" s="26" t="s">
        <v>185</v>
      </c>
      <c r="C146" s="3" t="s">
        <v>195</v>
      </c>
      <c r="D146" s="21"/>
      <c r="E146" s="22"/>
      <c r="F146" s="3" t="s">
        <v>78</v>
      </c>
      <c r="G146" s="3">
        <v>19</v>
      </c>
      <c r="H146" s="23">
        <v>6200</v>
      </c>
      <c r="I146" s="124">
        <f t="shared" si="8"/>
        <v>117800</v>
      </c>
      <c r="J146" s="21"/>
      <c r="K146" s="24"/>
    </row>
    <row r="147" spans="1:11" ht="15.75" customHeight="1" x14ac:dyDescent="0.25">
      <c r="A147" s="25"/>
      <c r="B147" s="26" t="s">
        <v>185</v>
      </c>
      <c r="C147" s="3" t="s">
        <v>196</v>
      </c>
      <c r="D147" s="21"/>
      <c r="E147" s="22"/>
      <c r="F147" s="3" t="s">
        <v>78</v>
      </c>
      <c r="G147" s="3">
        <v>18</v>
      </c>
      <c r="H147" s="23">
        <v>28340</v>
      </c>
      <c r="I147" s="124">
        <f t="shared" si="8"/>
        <v>510120</v>
      </c>
      <c r="J147" s="21"/>
      <c r="K147" s="24"/>
    </row>
    <row r="148" spans="1:11" ht="15.75" customHeight="1" x14ac:dyDescent="0.25">
      <c r="A148" s="25"/>
      <c r="B148" s="26" t="s">
        <v>187</v>
      </c>
      <c r="C148" s="3" t="s">
        <v>196</v>
      </c>
      <c r="D148" s="21"/>
      <c r="E148" s="22"/>
      <c r="F148" s="3" t="s">
        <v>78</v>
      </c>
      <c r="G148" s="3">
        <v>6</v>
      </c>
      <c r="H148" s="23">
        <v>46800</v>
      </c>
      <c r="I148" s="124">
        <f t="shared" si="8"/>
        <v>280800</v>
      </c>
      <c r="J148" s="21"/>
      <c r="K148" s="24"/>
    </row>
    <row r="149" spans="1:11" ht="15.75" customHeight="1" x14ac:dyDescent="0.25">
      <c r="A149" s="25"/>
      <c r="B149" s="26" t="s">
        <v>197</v>
      </c>
      <c r="C149" s="21"/>
      <c r="D149" s="21"/>
      <c r="E149" s="22"/>
      <c r="F149" s="3" t="s">
        <v>78</v>
      </c>
      <c r="G149" s="3">
        <v>2</v>
      </c>
      <c r="H149" s="23"/>
      <c r="I149" s="124">
        <f t="shared" si="8"/>
        <v>0</v>
      </c>
      <c r="J149" s="21"/>
      <c r="K149" s="24"/>
    </row>
    <row r="150" spans="1:11" ht="15.75" customHeight="1" x14ac:dyDescent="0.25">
      <c r="A150" s="25"/>
      <c r="B150" s="26" t="s">
        <v>198</v>
      </c>
      <c r="C150" s="21"/>
      <c r="D150" s="21"/>
      <c r="E150" s="22"/>
      <c r="F150" s="3" t="s">
        <v>78</v>
      </c>
      <c r="G150" s="3">
        <v>2</v>
      </c>
      <c r="H150" s="23"/>
      <c r="I150" s="124">
        <f t="shared" si="8"/>
        <v>0</v>
      </c>
      <c r="J150" s="21"/>
      <c r="K150" s="24"/>
    </row>
    <row r="151" spans="1:11" ht="15.75" customHeight="1" x14ac:dyDescent="0.25">
      <c r="A151" s="19">
        <v>4</v>
      </c>
      <c r="B151" s="20" t="s">
        <v>85</v>
      </c>
      <c r="C151" s="21"/>
      <c r="D151" s="21"/>
      <c r="E151" s="22"/>
      <c r="F151" s="22"/>
      <c r="G151" s="21"/>
      <c r="H151" s="23"/>
      <c r="I151" s="124"/>
      <c r="J151" s="21"/>
      <c r="K151" s="24"/>
    </row>
    <row r="152" spans="1:11" ht="15.75" customHeight="1" x14ac:dyDescent="0.25">
      <c r="A152" s="25"/>
      <c r="B152" s="26" t="s">
        <v>87</v>
      </c>
      <c r="C152" s="3" t="s">
        <v>88</v>
      </c>
      <c r="D152" s="21"/>
      <c r="E152" s="22" t="s">
        <v>46</v>
      </c>
      <c r="F152" s="3" t="s">
        <v>89</v>
      </c>
      <c r="G152" s="3">
        <v>3988</v>
      </c>
      <c r="H152" s="23">
        <v>130</v>
      </c>
      <c r="I152" s="124">
        <f t="shared" ref="I152:I157" si="9">H152*G152</f>
        <v>518440</v>
      </c>
      <c r="J152" s="21"/>
      <c r="K152" s="24"/>
    </row>
    <row r="153" spans="1:11" ht="15.75" customHeight="1" x14ac:dyDescent="0.25">
      <c r="A153" s="25"/>
      <c r="B153" s="26" t="s">
        <v>87</v>
      </c>
      <c r="C153" s="3" t="s">
        <v>93</v>
      </c>
      <c r="D153" s="21"/>
      <c r="E153" s="22" t="s">
        <v>46</v>
      </c>
      <c r="F153" s="3" t="s">
        <v>89</v>
      </c>
      <c r="G153" s="3">
        <v>1050</v>
      </c>
      <c r="H153" s="23">
        <v>250</v>
      </c>
      <c r="I153" s="124">
        <f t="shared" si="9"/>
        <v>262500</v>
      </c>
      <c r="J153" s="21"/>
      <c r="K153" s="24"/>
    </row>
    <row r="154" spans="1:11" ht="15.75" customHeight="1" x14ac:dyDescent="0.25">
      <c r="A154" s="25"/>
      <c r="B154" s="26" t="s">
        <v>87</v>
      </c>
      <c r="C154" s="3" t="s">
        <v>199</v>
      </c>
      <c r="D154" s="21"/>
      <c r="E154" s="22" t="s">
        <v>46</v>
      </c>
      <c r="F154" s="3" t="s">
        <v>89</v>
      </c>
      <c r="G154" s="3">
        <v>394</v>
      </c>
      <c r="H154" s="23">
        <v>98</v>
      </c>
      <c r="I154" s="124">
        <f t="shared" si="9"/>
        <v>38612</v>
      </c>
      <c r="J154" s="21"/>
      <c r="K154" s="24"/>
    </row>
    <row r="155" spans="1:11" ht="15.75" customHeight="1" x14ac:dyDescent="0.25">
      <c r="A155" s="25"/>
      <c r="B155" s="26" t="s">
        <v>87</v>
      </c>
      <c r="C155" s="3" t="s">
        <v>200</v>
      </c>
      <c r="D155" s="21"/>
      <c r="E155" s="22" t="s">
        <v>46</v>
      </c>
      <c r="F155" s="3" t="s">
        <v>89</v>
      </c>
      <c r="G155" s="3">
        <v>1125</v>
      </c>
      <c r="H155" s="23">
        <v>114</v>
      </c>
      <c r="I155" s="124">
        <f t="shared" si="9"/>
        <v>128250</v>
      </c>
      <c r="J155" s="21"/>
      <c r="K155" s="24"/>
    </row>
    <row r="156" spans="1:11" ht="15.75" customHeight="1" x14ac:dyDescent="0.25">
      <c r="A156" s="25"/>
      <c r="B156" s="26" t="s">
        <v>87</v>
      </c>
      <c r="C156" s="3" t="s">
        <v>201</v>
      </c>
      <c r="D156" s="21"/>
      <c r="E156" s="22" t="s">
        <v>46</v>
      </c>
      <c r="F156" s="3" t="s">
        <v>89</v>
      </c>
      <c r="G156" s="3">
        <v>248</v>
      </c>
      <c r="H156" s="23">
        <v>316</v>
      </c>
      <c r="I156" s="124">
        <f t="shared" si="9"/>
        <v>78368</v>
      </c>
      <c r="J156" s="21"/>
      <c r="K156" s="24"/>
    </row>
    <row r="157" spans="1:11" ht="15.75" customHeight="1" x14ac:dyDescent="0.25">
      <c r="A157" s="25"/>
      <c r="B157" s="26" t="s">
        <v>87</v>
      </c>
      <c r="C157" s="3" t="s">
        <v>202</v>
      </c>
      <c r="D157" s="21"/>
      <c r="E157" s="22" t="s">
        <v>46</v>
      </c>
      <c r="F157" s="3" t="s">
        <v>89</v>
      </c>
      <c r="G157" s="3">
        <v>28</v>
      </c>
      <c r="H157" s="23">
        <v>420</v>
      </c>
      <c r="I157" s="124">
        <f t="shared" si="9"/>
        <v>11760</v>
      </c>
      <c r="J157" s="21"/>
      <c r="K157" s="24"/>
    </row>
    <row r="158" spans="1:11" ht="15.75" customHeight="1" x14ac:dyDescent="0.25">
      <c r="A158" s="19">
        <v>5</v>
      </c>
      <c r="B158" s="20" t="s">
        <v>106</v>
      </c>
      <c r="C158" s="21"/>
      <c r="D158" s="21"/>
      <c r="E158" s="22"/>
      <c r="F158" s="22"/>
      <c r="G158" s="21"/>
      <c r="H158" s="23"/>
      <c r="I158" s="124"/>
      <c r="J158" s="21"/>
      <c r="K158" s="24"/>
    </row>
    <row r="159" spans="1:11" ht="15.75" customHeight="1" x14ac:dyDescent="0.25">
      <c r="A159" s="25"/>
      <c r="B159" s="26" t="s">
        <v>108</v>
      </c>
      <c r="C159" s="3" t="s">
        <v>109</v>
      </c>
      <c r="D159" s="21"/>
      <c r="E159" s="22" t="s">
        <v>110</v>
      </c>
      <c r="F159" s="3" t="s">
        <v>89</v>
      </c>
      <c r="G159" s="3">
        <v>2280</v>
      </c>
      <c r="H159" s="23"/>
      <c r="I159" s="124">
        <f>H159*G159</f>
        <v>0</v>
      </c>
      <c r="J159" s="21"/>
      <c r="K159" s="24"/>
    </row>
    <row r="160" spans="1:11" ht="28.5" customHeight="1" x14ac:dyDescent="0.25">
      <c r="A160" s="25"/>
      <c r="B160" s="26" t="s">
        <v>119</v>
      </c>
      <c r="C160" s="21"/>
      <c r="D160" s="21"/>
      <c r="E160" s="22"/>
      <c r="F160" s="3" t="s">
        <v>120</v>
      </c>
      <c r="G160" s="3">
        <v>4</v>
      </c>
      <c r="H160" s="23"/>
      <c r="I160" s="124">
        <f>H160*G160</f>
        <v>0</v>
      </c>
      <c r="J160" s="21"/>
      <c r="K160" s="24"/>
    </row>
    <row r="161" spans="1:11" ht="34.5" customHeight="1" x14ac:dyDescent="0.25">
      <c r="A161" s="14"/>
      <c r="B161" s="15" t="s">
        <v>203</v>
      </c>
      <c r="C161" s="16"/>
      <c r="D161" s="16"/>
      <c r="E161" s="16"/>
      <c r="F161" s="16"/>
      <c r="G161" s="16"/>
      <c r="H161" s="17"/>
      <c r="I161" s="123"/>
      <c r="J161" s="16"/>
      <c r="K161" s="18"/>
    </row>
    <row r="162" spans="1:11" ht="15.75" customHeight="1" x14ac:dyDescent="0.25">
      <c r="A162" s="19">
        <v>1</v>
      </c>
      <c r="B162" s="20" t="s">
        <v>204</v>
      </c>
      <c r="C162" s="21"/>
      <c r="D162" s="21"/>
      <c r="E162" s="22"/>
      <c r="F162" s="22"/>
      <c r="G162" s="21"/>
      <c r="H162" s="23"/>
      <c r="I162" s="124"/>
      <c r="J162" s="21"/>
      <c r="K162" s="24"/>
    </row>
    <row r="163" spans="1:11" ht="15.75" customHeight="1" x14ac:dyDescent="0.25">
      <c r="A163" s="25"/>
      <c r="B163" s="26" t="s">
        <v>205</v>
      </c>
      <c r="C163" s="21"/>
      <c r="D163" s="21"/>
      <c r="E163" s="22" t="s">
        <v>135</v>
      </c>
      <c r="F163" s="3" t="s">
        <v>78</v>
      </c>
      <c r="G163" s="3">
        <v>2340</v>
      </c>
      <c r="H163" s="23"/>
      <c r="I163" s="124">
        <f>H163*G163</f>
        <v>0</v>
      </c>
      <c r="J163" s="21"/>
      <c r="K163" s="24"/>
    </row>
    <row r="164" spans="1:11" ht="15.75" customHeight="1" x14ac:dyDescent="0.25">
      <c r="A164" s="25"/>
      <c r="B164" s="26" t="s">
        <v>206</v>
      </c>
      <c r="C164" s="21"/>
      <c r="D164" s="21"/>
      <c r="E164" s="22" t="s">
        <v>135</v>
      </c>
      <c r="F164" s="3" t="s">
        <v>78</v>
      </c>
      <c r="G164" s="3">
        <v>106</v>
      </c>
      <c r="H164" s="23"/>
      <c r="I164" s="124">
        <f>H164*G164</f>
        <v>0</v>
      </c>
      <c r="J164" s="21"/>
      <c r="K164" s="24"/>
    </row>
    <row r="165" spans="1:11" ht="15.75" customHeight="1" x14ac:dyDescent="0.25">
      <c r="A165" s="25"/>
      <c r="B165" s="26" t="s">
        <v>207</v>
      </c>
      <c r="C165" s="21"/>
      <c r="D165" s="21"/>
      <c r="E165" s="22" t="s">
        <v>135</v>
      </c>
      <c r="F165" s="3" t="s">
        <v>78</v>
      </c>
      <c r="G165" s="3">
        <v>38</v>
      </c>
      <c r="H165" s="23"/>
      <c r="I165" s="124">
        <f>H165*G165</f>
        <v>0</v>
      </c>
      <c r="J165" s="21"/>
      <c r="K165" s="24"/>
    </row>
    <row r="166" spans="1:11" ht="15.75" customHeight="1" x14ac:dyDescent="0.25">
      <c r="A166" s="25"/>
      <c r="B166" s="26" t="s">
        <v>208</v>
      </c>
      <c r="C166" s="21"/>
      <c r="D166" s="21"/>
      <c r="E166" s="22" t="s">
        <v>135</v>
      </c>
      <c r="F166" s="3" t="s">
        <v>89</v>
      </c>
      <c r="G166" s="3">
        <v>2340</v>
      </c>
      <c r="H166" s="23"/>
      <c r="I166" s="124">
        <f>H166*G166</f>
        <v>0</v>
      </c>
      <c r="J166" s="21"/>
      <c r="K166" s="24"/>
    </row>
    <row r="167" spans="1:11" ht="15.75" customHeight="1" x14ac:dyDescent="0.25">
      <c r="A167" s="19">
        <v>2</v>
      </c>
      <c r="B167" s="20" t="s">
        <v>209</v>
      </c>
      <c r="C167" s="21"/>
      <c r="D167" s="21"/>
      <c r="E167" s="22"/>
      <c r="F167" s="22"/>
      <c r="G167" s="21"/>
      <c r="H167" s="23"/>
      <c r="I167" s="124"/>
      <c r="J167" s="21"/>
      <c r="K167" s="24"/>
    </row>
    <row r="168" spans="1:11" ht="15.75" customHeight="1" x14ac:dyDescent="0.25">
      <c r="A168" s="25"/>
      <c r="B168" s="26" t="s">
        <v>134</v>
      </c>
      <c r="C168" s="3" t="s">
        <v>210</v>
      </c>
      <c r="D168" s="21"/>
      <c r="E168" s="22" t="s">
        <v>135</v>
      </c>
      <c r="F168" s="3" t="s">
        <v>89</v>
      </c>
      <c r="G168" s="3">
        <v>389</v>
      </c>
      <c r="H168" s="23"/>
      <c r="I168" s="124">
        <f>H168*G168</f>
        <v>0</v>
      </c>
      <c r="J168" s="21"/>
      <c r="K168" s="26" t="s">
        <v>211</v>
      </c>
    </row>
    <row r="169" spans="1:11" ht="15.75" customHeight="1" x14ac:dyDescent="0.25">
      <c r="A169" s="25"/>
      <c r="B169" s="26" t="s">
        <v>212</v>
      </c>
      <c r="C169" s="3" t="s">
        <v>213</v>
      </c>
      <c r="D169" s="21"/>
      <c r="E169" s="22" t="s">
        <v>135</v>
      </c>
      <c r="F169" s="3" t="s">
        <v>78</v>
      </c>
      <c r="G169" s="3">
        <v>15</v>
      </c>
      <c r="H169" s="23"/>
      <c r="I169" s="124">
        <f>H169*G169</f>
        <v>0</v>
      </c>
      <c r="J169" s="21"/>
      <c r="K169" s="24"/>
    </row>
    <row r="170" spans="1:11" ht="15.75" customHeight="1" x14ac:dyDescent="0.25">
      <c r="A170" s="25"/>
      <c r="B170" s="26" t="s">
        <v>214</v>
      </c>
      <c r="C170" s="21"/>
      <c r="D170" s="21"/>
      <c r="E170" s="22" t="s">
        <v>135</v>
      </c>
      <c r="F170" s="3" t="s">
        <v>215</v>
      </c>
      <c r="G170" s="3">
        <v>1</v>
      </c>
      <c r="H170" s="23"/>
      <c r="I170" s="124">
        <f>H170*G170</f>
        <v>0</v>
      </c>
      <c r="J170" s="21"/>
      <c r="K170" s="24"/>
    </row>
    <row r="171" spans="1:11" ht="34.5" customHeight="1" x14ac:dyDescent="0.25">
      <c r="A171" s="14"/>
      <c r="B171" s="15" t="s">
        <v>216</v>
      </c>
      <c r="C171" s="16"/>
      <c r="D171" s="16"/>
      <c r="E171" s="16"/>
      <c r="F171" s="16"/>
      <c r="G171" s="16"/>
      <c r="H171" s="17"/>
      <c r="I171" s="123"/>
      <c r="J171" s="16"/>
      <c r="K171" s="18"/>
    </row>
    <row r="172" spans="1:11" ht="15.75" customHeight="1" x14ac:dyDescent="0.25">
      <c r="A172" s="19">
        <v>1</v>
      </c>
      <c r="B172" s="20" t="s">
        <v>217</v>
      </c>
      <c r="C172" s="21"/>
      <c r="D172" s="21"/>
      <c r="E172" s="22"/>
      <c r="F172" s="22"/>
      <c r="G172" s="21"/>
      <c r="H172" s="23"/>
      <c r="I172" s="124"/>
      <c r="J172" s="21"/>
      <c r="K172" s="24"/>
    </row>
    <row r="173" spans="1:11" ht="15.75" customHeight="1" x14ac:dyDescent="0.25">
      <c r="A173" s="2"/>
      <c r="B173" s="26" t="s">
        <v>218</v>
      </c>
      <c r="C173" s="3" t="s">
        <v>219</v>
      </c>
      <c r="D173" s="3"/>
      <c r="E173" s="3" t="s">
        <v>220</v>
      </c>
      <c r="F173" s="3" t="s">
        <v>78</v>
      </c>
      <c r="G173" s="3">
        <v>1</v>
      </c>
      <c r="H173" s="27">
        <v>47088.29</v>
      </c>
      <c r="I173" s="124">
        <f>H173*G173</f>
        <v>47088.29</v>
      </c>
      <c r="J173" s="3"/>
      <c r="K173" s="26"/>
    </row>
    <row r="174" spans="1:11" ht="15.75" customHeight="1" x14ac:dyDescent="0.25">
      <c r="A174" s="2"/>
      <c r="B174" s="26" t="s">
        <v>221</v>
      </c>
      <c r="C174" s="3" t="s">
        <v>219</v>
      </c>
      <c r="D174" s="3"/>
      <c r="E174" s="3" t="s">
        <v>220</v>
      </c>
      <c r="F174" s="3" t="s">
        <v>78</v>
      </c>
      <c r="G174" s="3">
        <v>1</v>
      </c>
      <c r="H174" s="27">
        <v>59220.86</v>
      </c>
      <c r="I174" s="124">
        <f>H174*G174</f>
        <v>59220.86</v>
      </c>
      <c r="J174" s="3"/>
      <c r="K174" s="26"/>
    </row>
    <row r="175" spans="1:11" ht="15.75" customHeight="1" x14ac:dyDescent="0.25">
      <c r="A175" s="19">
        <v>2</v>
      </c>
      <c r="B175" s="20" t="s">
        <v>222</v>
      </c>
      <c r="C175" s="21"/>
      <c r="D175" s="21"/>
      <c r="E175" s="22"/>
      <c r="F175" s="22"/>
      <c r="G175" s="21"/>
      <c r="H175" s="23"/>
      <c r="I175" s="124"/>
      <c r="J175" s="21"/>
      <c r="K175" s="24"/>
    </row>
    <row r="176" spans="1:11" ht="28.5" customHeight="1" x14ac:dyDescent="0.25">
      <c r="A176" s="2"/>
      <c r="B176" s="26" t="s">
        <v>223</v>
      </c>
      <c r="C176" s="3" t="s">
        <v>224</v>
      </c>
      <c r="D176" s="3"/>
      <c r="E176" s="3" t="s">
        <v>225</v>
      </c>
      <c r="F176" s="3" t="s">
        <v>78</v>
      </c>
      <c r="G176" s="3">
        <v>8</v>
      </c>
      <c r="H176" s="27">
        <v>229120</v>
      </c>
      <c r="I176" s="124">
        <f t="shared" ref="I176:I191" si="10">H176*G176</f>
        <v>1832960</v>
      </c>
      <c r="J176" s="3">
        <v>220</v>
      </c>
      <c r="K176" s="26"/>
    </row>
    <row r="177" spans="1:11" ht="41.25" customHeight="1" x14ac:dyDescent="0.25">
      <c r="A177" s="2"/>
      <c r="B177" s="26" t="s">
        <v>226</v>
      </c>
      <c r="C177" s="3" t="s">
        <v>227</v>
      </c>
      <c r="D177" s="3"/>
      <c r="E177" s="3" t="s">
        <v>225</v>
      </c>
      <c r="F177" s="3" t="s">
        <v>78</v>
      </c>
      <c r="G177" s="3">
        <v>11</v>
      </c>
      <c r="H177" s="27">
        <v>279940</v>
      </c>
      <c r="I177" s="124">
        <f t="shared" si="10"/>
        <v>3079340</v>
      </c>
      <c r="J177" s="3">
        <v>227</v>
      </c>
      <c r="K177" s="26"/>
    </row>
    <row r="178" spans="1:11" ht="28.5" customHeight="1" x14ac:dyDescent="0.25">
      <c r="A178" s="2"/>
      <c r="B178" s="26" t="s">
        <v>228</v>
      </c>
      <c r="C178" s="3" t="s">
        <v>229</v>
      </c>
      <c r="D178" s="3"/>
      <c r="E178" s="3" t="s">
        <v>225</v>
      </c>
      <c r="F178" s="3" t="s">
        <v>78</v>
      </c>
      <c r="G178" s="3">
        <v>10</v>
      </c>
      <c r="H178" s="27">
        <v>99620</v>
      </c>
      <c r="I178" s="124">
        <f t="shared" si="10"/>
        <v>996200</v>
      </c>
      <c r="J178" s="3">
        <v>145</v>
      </c>
      <c r="K178" s="26"/>
    </row>
    <row r="179" spans="1:11" ht="28.5" customHeight="1" x14ac:dyDescent="0.25">
      <c r="A179" s="2"/>
      <c r="B179" s="26" t="s">
        <v>230</v>
      </c>
      <c r="C179" s="3" t="s">
        <v>231</v>
      </c>
      <c r="D179" s="3"/>
      <c r="E179" s="3" t="s">
        <v>225</v>
      </c>
      <c r="F179" s="3" t="s">
        <v>78</v>
      </c>
      <c r="G179" s="3">
        <v>10</v>
      </c>
      <c r="H179" s="27">
        <v>133160</v>
      </c>
      <c r="I179" s="124">
        <f t="shared" si="10"/>
        <v>1331600</v>
      </c>
      <c r="J179" s="3">
        <v>152</v>
      </c>
      <c r="K179" s="26"/>
    </row>
    <row r="180" spans="1:11" ht="41.25" customHeight="1" x14ac:dyDescent="0.25">
      <c r="A180" s="2"/>
      <c r="B180" s="26" t="s">
        <v>232</v>
      </c>
      <c r="C180" s="3" t="s">
        <v>233</v>
      </c>
      <c r="D180" s="3"/>
      <c r="E180" s="3" t="s">
        <v>225</v>
      </c>
      <c r="F180" s="3" t="s">
        <v>78</v>
      </c>
      <c r="G180" s="3">
        <v>18</v>
      </c>
      <c r="H180" s="27">
        <v>214800</v>
      </c>
      <c r="I180" s="124">
        <f t="shared" si="10"/>
        <v>3866400</v>
      </c>
      <c r="J180" s="3">
        <v>24</v>
      </c>
      <c r="K180" s="26"/>
    </row>
    <row r="181" spans="1:11" ht="28.5" customHeight="1" x14ac:dyDescent="0.25">
      <c r="A181" s="2"/>
      <c r="B181" s="26" t="s">
        <v>234</v>
      </c>
      <c r="C181" s="3" t="s">
        <v>235</v>
      </c>
      <c r="D181" s="3"/>
      <c r="E181" s="3" t="s">
        <v>225</v>
      </c>
      <c r="F181" s="3" t="s">
        <v>78</v>
      </c>
      <c r="G181" s="3">
        <v>26</v>
      </c>
      <c r="H181" s="27">
        <v>58375</v>
      </c>
      <c r="I181" s="124">
        <f t="shared" si="10"/>
        <v>1517750</v>
      </c>
      <c r="J181" s="3">
        <v>9</v>
      </c>
      <c r="K181" s="26"/>
    </row>
    <row r="182" spans="1:11" ht="28.5" customHeight="1" x14ac:dyDescent="0.25">
      <c r="A182" s="2"/>
      <c r="B182" s="26" t="s">
        <v>236</v>
      </c>
      <c r="C182" s="3" t="s">
        <v>237</v>
      </c>
      <c r="D182" s="3"/>
      <c r="E182" s="3" t="s">
        <v>225</v>
      </c>
      <c r="F182" s="3" t="s">
        <v>78</v>
      </c>
      <c r="G182" s="3">
        <v>26</v>
      </c>
      <c r="H182" s="27">
        <v>33950</v>
      </c>
      <c r="I182" s="124">
        <f t="shared" si="10"/>
        <v>882700</v>
      </c>
      <c r="J182" s="3">
        <v>41</v>
      </c>
      <c r="K182" s="26"/>
    </row>
    <row r="183" spans="1:11" ht="15.75" customHeight="1" x14ac:dyDescent="0.25">
      <c r="A183" s="2"/>
      <c r="B183" s="26" t="s">
        <v>238</v>
      </c>
      <c r="C183" s="3" t="s">
        <v>239</v>
      </c>
      <c r="D183" s="3"/>
      <c r="E183" s="3" t="s">
        <v>225</v>
      </c>
      <c r="F183" s="3" t="s">
        <v>78</v>
      </c>
      <c r="G183" s="3">
        <v>49</v>
      </c>
      <c r="H183" s="27">
        <v>2620</v>
      </c>
      <c r="I183" s="124">
        <f t="shared" si="10"/>
        <v>128380</v>
      </c>
      <c r="J183" s="3" t="s">
        <v>240</v>
      </c>
      <c r="K183" s="26" t="s">
        <v>241</v>
      </c>
    </row>
    <row r="184" spans="1:11" ht="15.75" customHeight="1" x14ac:dyDescent="0.25">
      <c r="A184" s="2"/>
      <c r="B184" s="26" t="s">
        <v>242</v>
      </c>
      <c r="C184" s="3" t="s">
        <v>243</v>
      </c>
      <c r="D184" s="3"/>
      <c r="E184" s="3" t="s">
        <v>225</v>
      </c>
      <c r="F184" s="3" t="s">
        <v>78</v>
      </c>
      <c r="G184" s="3">
        <v>26</v>
      </c>
      <c r="H184" s="27">
        <v>3040</v>
      </c>
      <c r="I184" s="124">
        <f t="shared" si="10"/>
        <v>79040</v>
      </c>
      <c r="J184" s="3" t="s">
        <v>240</v>
      </c>
      <c r="K184" s="26" t="s">
        <v>244</v>
      </c>
    </row>
    <row r="185" spans="1:11" ht="28.5" customHeight="1" x14ac:dyDescent="0.25">
      <c r="A185" s="2"/>
      <c r="B185" s="26" t="s">
        <v>245</v>
      </c>
      <c r="C185" s="3" t="s">
        <v>246</v>
      </c>
      <c r="D185" s="3"/>
      <c r="E185" s="3" t="s">
        <v>225</v>
      </c>
      <c r="F185" s="3" t="s">
        <v>78</v>
      </c>
      <c r="G185" s="3">
        <v>19</v>
      </c>
      <c r="H185" s="27">
        <v>27240</v>
      </c>
      <c r="I185" s="124">
        <f t="shared" si="10"/>
        <v>517560</v>
      </c>
      <c r="J185" s="3">
        <v>58</v>
      </c>
      <c r="K185" s="26"/>
    </row>
    <row r="186" spans="1:11" ht="28.5" customHeight="1" x14ac:dyDescent="0.25">
      <c r="A186" s="2"/>
      <c r="B186" s="26" t="s">
        <v>247</v>
      </c>
      <c r="C186" s="3" t="s">
        <v>248</v>
      </c>
      <c r="D186" s="3"/>
      <c r="E186" s="3" t="s">
        <v>225</v>
      </c>
      <c r="F186" s="3" t="s">
        <v>78</v>
      </c>
      <c r="G186" s="3">
        <v>12</v>
      </c>
      <c r="H186" s="27">
        <v>9460</v>
      </c>
      <c r="I186" s="124">
        <f t="shared" si="10"/>
        <v>113520</v>
      </c>
      <c r="J186" s="3">
        <v>17</v>
      </c>
      <c r="K186" s="26" t="s">
        <v>249</v>
      </c>
    </row>
    <row r="187" spans="1:11" ht="15.75" customHeight="1" x14ac:dyDescent="0.25">
      <c r="A187" s="2"/>
      <c r="B187" s="26" t="s">
        <v>250</v>
      </c>
      <c r="C187" s="3" t="s">
        <v>251</v>
      </c>
      <c r="D187" s="3"/>
      <c r="E187" s="3" t="s">
        <v>225</v>
      </c>
      <c r="F187" s="3" t="s">
        <v>78</v>
      </c>
      <c r="G187" s="3">
        <v>26</v>
      </c>
      <c r="H187" s="27">
        <v>8070</v>
      </c>
      <c r="I187" s="124">
        <f t="shared" si="10"/>
        <v>209820</v>
      </c>
      <c r="J187" s="3">
        <v>16</v>
      </c>
      <c r="K187" s="26"/>
    </row>
    <row r="188" spans="1:11" ht="15.75" customHeight="1" x14ac:dyDescent="0.25">
      <c r="A188" s="2"/>
      <c r="B188" s="26" t="s">
        <v>252</v>
      </c>
      <c r="C188" s="3" t="s">
        <v>253</v>
      </c>
      <c r="D188" s="3"/>
      <c r="E188" s="3" t="s">
        <v>225</v>
      </c>
      <c r="F188" s="3" t="s">
        <v>78</v>
      </c>
      <c r="G188" s="3">
        <v>18</v>
      </c>
      <c r="H188" s="27">
        <v>7695</v>
      </c>
      <c r="I188" s="124">
        <f t="shared" si="10"/>
        <v>138510</v>
      </c>
      <c r="J188" s="3">
        <v>15</v>
      </c>
      <c r="K188" s="26"/>
    </row>
    <row r="189" spans="1:11" ht="15.75" customHeight="1" x14ac:dyDescent="0.25">
      <c r="A189" s="2"/>
      <c r="B189" s="26" t="s">
        <v>254</v>
      </c>
      <c r="C189" s="3" t="s">
        <v>255</v>
      </c>
      <c r="D189" s="3"/>
      <c r="E189" s="3" t="s">
        <v>225</v>
      </c>
      <c r="F189" s="3" t="s">
        <v>78</v>
      </c>
      <c r="G189" s="3">
        <v>12</v>
      </c>
      <c r="H189" s="27">
        <v>6080</v>
      </c>
      <c r="I189" s="124">
        <f t="shared" si="10"/>
        <v>72960</v>
      </c>
      <c r="J189" s="3" t="s">
        <v>256</v>
      </c>
      <c r="K189" s="26" t="s">
        <v>257</v>
      </c>
    </row>
    <row r="190" spans="1:11" ht="15.75" customHeight="1" x14ac:dyDescent="0.25">
      <c r="A190" s="2"/>
      <c r="B190" s="26" t="s">
        <v>254</v>
      </c>
      <c r="C190" s="3" t="s">
        <v>258</v>
      </c>
      <c r="D190" s="3"/>
      <c r="E190" s="3" t="s">
        <v>225</v>
      </c>
      <c r="F190" s="3" t="s">
        <v>78</v>
      </c>
      <c r="G190" s="3">
        <v>19</v>
      </c>
      <c r="H190" s="27">
        <v>13870</v>
      </c>
      <c r="I190" s="124">
        <f t="shared" si="10"/>
        <v>263530</v>
      </c>
      <c r="J190" s="3" t="s">
        <v>256</v>
      </c>
      <c r="K190" s="26" t="s">
        <v>259</v>
      </c>
    </row>
    <row r="191" spans="1:11" ht="15.75" customHeight="1" x14ac:dyDescent="0.25">
      <c r="A191" s="2"/>
      <c r="B191" s="26" t="s">
        <v>260</v>
      </c>
      <c r="C191" s="3" t="s">
        <v>261</v>
      </c>
      <c r="D191" s="3"/>
      <c r="E191" s="3" t="s">
        <v>225</v>
      </c>
      <c r="F191" s="3" t="s">
        <v>78</v>
      </c>
      <c r="G191" s="3">
        <v>26</v>
      </c>
      <c r="H191" s="27">
        <v>3980</v>
      </c>
      <c r="I191" s="124">
        <f t="shared" si="10"/>
        <v>103480</v>
      </c>
      <c r="J191" s="3" t="s">
        <v>262</v>
      </c>
      <c r="K191" s="26" t="s">
        <v>244</v>
      </c>
    </row>
    <row r="192" spans="1:11" ht="15.75" customHeight="1" x14ac:dyDescent="0.25">
      <c r="A192" s="19">
        <v>3</v>
      </c>
      <c r="B192" s="20" t="s">
        <v>263</v>
      </c>
      <c r="C192" s="21"/>
      <c r="D192" s="21"/>
      <c r="E192" s="22"/>
      <c r="F192" s="22"/>
      <c r="G192" s="21"/>
      <c r="H192" s="23"/>
      <c r="I192" s="124"/>
      <c r="J192" s="21"/>
      <c r="K192" s="24"/>
    </row>
    <row r="193" spans="1:11" ht="41.25" customHeight="1" x14ac:dyDescent="0.25">
      <c r="A193" s="2"/>
      <c r="B193" s="26" t="s">
        <v>264</v>
      </c>
      <c r="C193" s="3" t="s">
        <v>265</v>
      </c>
      <c r="D193" s="3"/>
      <c r="E193" s="3" t="s">
        <v>266</v>
      </c>
      <c r="F193" s="3" t="s">
        <v>78</v>
      </c>
      <c r="G193" s="3">
        <v>226</v>
      </c>
      <c r="H193" s="27"/>
      <c r="I193" s="124">
        <f t="shared" ref="I193:I201" si="11">H193*G193</f>
        <v>0</v>
      </c>
      <c r="J193" s="3"/>
      <c r="K193" s="26"/>
    </row>
    <row r="194" spans="1:11" ht="41.25" customHeight="1" x14ac:dyDescent="0.25">
      <c r="A194" s="2"/>
      <c r="B194" s="26" t="s">
        <v>267</v>
      </c>
      <c r="C194" s="3" t="s">
        <v>268</v>
      </c>
      <c r="D194" s="3"/>
      <c r="E194" s="3" t="s">
        <v>266</v>
      </c>
      <c r="F194" s="3" t="s">
        <v>78</v>
      </c>
      <c r="G194" s="3">
        <v>45</v>
      </c>
      <c r="H194" s="27"/>
      <c r="I194" s="124">
        <f t="shared" si="11"/>
        <v>0</v>
      </c>
      <c r="J194" s="3"/>
      <c r="K194" s="26"/>
    </row>
    <row r="195" spans="1:11" ht="41.25" customHeight="1" x14ac:dyDescent="0.25">
      <c r="A195" s="2"/>
      <c r="B195" s="26" t="s">
        <v>269</v>
      </c>
      <c r="C195" s="3" t="s">
        <v>270</v>
      </c>
      <c r="D195" s="3"/>
      <c r="E195" s="3" t="s">
        <v>266</v>
      </c>
      <c r="F195" s="3" t="s">
        <v>78</v>
      </c>
      <c r="G195" s="3">
        <v>23</v>
      </c>
      <c r="H195" s="27"/>
      <c r="I195" s="124">
        <f t="shared" si="11"/>
        <v>0</v>
      </c>
      <c r="J195" s="3"/>
      <c r="K195" s="26"/>
    </row>
    <row r="196" spans="1:11" ht="41.25" customHeight="1" x14ac:dyDescent="0.25">
      <c r="A196" s="2"/>
      <c r="B196" s="26" t="s">
        <v>271</v>
      </c>
      <c r="C196" s="3" t="s">
        <v>272</v>
      </c>
      <c r="D196" s="3"/>
      <c r="E196" s="3" t="s">
        <v>266</v>
      </c>
      <c r="F196" s="3" t="s">
        <v>78</v>
      </c>
      <c r="G196" s="3">
        <v>8</v>
      </c>
      <c r="H196" s="27"/>
      <c r="I196" s="124">
        <f t="shared" si="11"/>
        <v>0</v>
      </c>
      <c r="J196" s="3"/>
      <c r="K196" s="26"/>
    </row>
    <row r="197" spans="1:11" ht="41.25" customHeight="1" x14ac:dyDescent="0.25">
      <c r="A197" s="2"/>
      <c r="B197" s="26" t="s">
        <v>273</v>
      </c>
      <c r="C197" s="3" t="s">
        <v>274</v>
      </c>
      <c r="D197" s="3"/>
      <c r="E197" s="3" t="s">
        <v>266</v>
      </c>
      <c r="F197" s="3" t="s">
        <v>78</v>
      </c>
      <c r="G197" s="3">
        <v>5</v>
      </c>
      <c r="H197" s="27"/>
      <c r="I197" s="124">
        <f t="shared" si="11"/>
        <v>0</v>
      </c>
      <c r="J197" s="3"/>
      <c r="K197" s="26"/>
    </row>
    <row r="198" spans="1:11" ht="15.75" customHeight="1" x14ac:dyDescent="0.25">
      <c r="A198" s="2"/>
      <c r="B198" s="26" t="s">
        <v>275</v>
      </c>
      <c r="C198" s="3"/>
      <c r="D198" s="3"/>
      <c r="E198" s="3" t="s">
        <v>266</v>
      </c>
      <c r="F198" s="3" t="s">
        <v>78</v>
      </c>
      <c r="G198" s="3">
        <v>67</v>
      </c>
      <c r="H198" s="27"/>
      <c r="I198" s="124">
        <f t="shared" si="11"/>
        <v>0</v>
      </c>
      <c r="J198" s="3"/>
      <c r="K198" s="26"/>
    </row>
    <row r="199" spans="1:11" ht="15.75" customHeight="1" x14ac:dyDescent="0.25">
      <c r="A199" s="2"/>
      <c r="B199" s="26" t="s">
        <v>276</v>
      </c>
      <c r="C199" s="3"/>
      <c r="D199" s="3"/>
      <c r="E199" s="3" t="s">
        <v>266</v>
      </c>
      <c r="F199" s="3" t="s">
        <v>78</v>
      </c>
      <c r="G199" s="3">
        <v>10</v>
      </c>
      <c r="H199" s="27"/>
      <c r="I199" s="124">
        <f t="shared" si="11"/>
        <v>0</v>
      </c>
      <c r="J199" s="3"/>
      <c r="K199" s="26"/>
    </row>
    <row r="200" spans="1:11" ht="15.75" customHeight="1" x14ac:dyDescent="0.25">
      <c r="A200" s="2"/>
      <c r="B200" s="26" t="s">
        <v>277</v>
      </c>
      <c r="C200" s="3"/>
      <c r="D200" s="3"/>
      <c r="E200" s="3" t="s">
        <v>266</v>
      </c>
      <c r="F200" s="3" t="s">
        <v>78</v>
      </c>
      <c r="G200" s="3">
        <v>67</v>
      </c>
      <c r="H200" s="27"/>
      <c r="I200" s="124">
        <f t="shared" si="11"/>
        <v>0</v>
      </c>
      <c r="J200" s="3"/>
      <c r="K200" s="26"/>
    </row>
    <row r="201" spans="1:11" ht="15.75" customHeight="1" x14ac:dyDescent="0.25">
      <c r="A201" s="2"/>
      <c r="B201" s="26" t="s">
        <v>278</v>
      </c>
      <c r="C201" s="3"/>
      <c r="D201" s="3"/>
      <c r="E201" s="3" t="s">
        <v>266</v>
      </c>
      <c r="F201" s="3" t="s">
        <v>78</v>
      </c>
      <c r="G201" s="3">
        <v>46</v>
      </c>
      <c r="H201" s="27"/>
      <c r="I201" s="124">
        <f t="shared" si="11"/>
        <v>0</v>
      </c>
      <c r="J201" s="3"/>
      <c r="K201" s="26"/>
    </row>
    <row r="202" spans="1:11" ht="15.75" customHeight="1" x14ac:dyDescent="0.25">
      <c r="A202" s="19">
        <v>4</v>
      </c>
      <c r="B202" s="20" t="s">
        <v>279</v>
      </c>
      <c r="C202" s="21"/>
      <c r="D202" s="21"/>
      <c r="E202" s="22"/>
      <c r="F202" s="22"/>
      <c r="G202" s="21"/>
      <c r="H202" s="23"/>
      <c r="I202" s="124"/>
      <c r="J202" s="21"/>
      <c r="K202" s="24"/>
    </row>
    <row r="203" spans="1:11" ht="28.5" customHeight="1" x14ac:dyDescent="0.25">
      <c r="A203" s="2"/>
      <c r="B203" s="26" t="s">
        <v>280</v>
      </c>
      <c r="C203" s="3" t="s">
        <v>281</v>
      </c>
      <c r="D203" s="3"/>
      <c r="E203" s="3"/>
      <c r="F203" s="3" t="s">
        <v>89</v>
      </c>
      <c r="G203" s="3">
        <v>321</v>
      </c>
      <c r="H203" s="27">
        <v>316</v>
      </c>
      <c r="I203" s="124">
        <f>H203*G203</f>
        <v>101436</v>
      </c>
      <c r="J203" s="3"/>
      <c r="K203" s="26"/>
    </row>
    <row r="204" spans="1:11" ht="28.5" customHeight="1" x14ac:dyDescent="0.25">
      <c r="A204" s="2"/>
      <c r="B204" s="26" t="s">
        <v>282</v>
      </c>
      <c r="C204" s="3" t="s">
        <v>281</v>
      </c>
      <c r="D204" s="3"/>
      <c r="E204" s="3"/>
      <c r="F204" s="3" t="s">
        <v>89</v>
      </c>
      <c r="G204" s="3">
        <v>214</v>
      </c>
      <c r="H204" s="27">
        <v>494</v>
      </c>
      <c r="I204" s="124">
        <f>H204*G204</f>
        <v>105716</v>
      </c>
      <c r="J204" s="3"/>
      <c r="K204" s="26"/>
    </row>
    <row r="205" spans="1:11" ht="28.5" customHeight="1" x14ac:dyDescent="0.25">
      <c r="A205" s="2"/>
      <c r="B205" s="26" t="s">
        <v>283</v>
      </c>
      <c r="C205" s="3" t="s">
        <v>281</v>
      </c>
      <c r="D205" s="3"/>
      <c r="E205" s="3"/>
      <c r="F205" s="3" t="s">
        <v>89</v>
      </c>
      <c r="G205" s="3">
        <v>1000</v>
      </c>
      <c r="H205" s="27">
        <v>1154</v>
      </c>
      <c r="I205" s="124">
        <f>H205*G205</f>
        <v>1154000</v>
      </c>
      <c r="J205" s="3"/>
      <c r="K205" s="26"/>
    </row>
    <row r="206" spans="1:11" ht="54" customHeight="1" x14ac:dyDescent="0.25">
      <c r="A206" s="2"/>
      <c r="B206" s="26" t="s">
        <v>284</v>
      </c>
      <c r="C206" s="3" t="s">
        <v>285</v>
      </c>
      <c r="D206" s="3"/>
      <c r="E206" s="3"/>
      <c r="F206" s="3" t="s">
        <v>89</v>
      </c>
      <c r="G206" s="3">
        <v>266</v>
      </c>
      <c r="H206" s="27">
        <v>728</v>
      </c>
      <c r="I206" s="124">
        <f>H206*G206</f>
        <v>193648</v>
      </c>
      <c r="J206" s="3"/>
      <c r="K206" s="26"/>
    </row>
    <row r="207" spans="1:11" ht="54" customHeight="1" x14ac:dyDescent="0.25">
      <c r="A207" s="2"/>
      <c r="B207" s="26" t="s">
        <v>286</v>
      </c>
      <c r="C207" s="3" t="s">
        <v>285</v>
      </c>
      <c r="D207" s="3"/>
      <c r="E207" s="3"/>
      <c r="F207" s="3" t="s">
        <v>89</v>
      </c>
      <c r="G207" s="3">
        <v>15</v>
      </c>
      <c r="H207" s="27">
        <v>1165</v>
      </c>
      <c r="I207" s="124">
        <f>H207*G207</f>
        <v>17475</v>
      </c>
      <c r="J207" s="3"/>
      <c r="K207" s="26"/>
    </row>
    <row r="208" spans="1:11" ht="15.75" customHeight="1" x14ac:dyDescent="0.25">
      <c r="A208" s="19">
        <v>5</v>
      </c>
      <c r="B208" s="20" t="s">
        <v>287</v>
      </c>
      <c r="C208" s="21"/>
      <c r="D208" s="21"/>
      <c r="E208" s="22"/>
      <c r="F208" s="22"/>
      <c r="G208" s="21"/>
      <c r="H208" s="23"/>
      <c r="I208" s="124"/>
      <c r="J208" s="21"/>
      <c r="K208" s="24"/>
    </row>
    <row r="209" spans="1:11" ht="28.5" customHeight="1" x14ac:dyDescent="0.25">
      <c r="A209" s="2"/>
      <c r="B209" s="26" t="s">
        <v>288</v>
      </c>
      <c r="C209" s="3" t="s">
        <v>289</v>
      </c>
      <c r="D209" s="3"/>
      <c r="E209" s="3" t="s">
        <v>290</v>
      </c>
      <c r="F209" s="3" t="s">
        <v>78</v>
      </c>
      <c r="G209" s="3">
        <v>138</v>
      </c>
      <c r="H209" s="27">
        <v>256</v>
      </c>
      <c r="I209" s="124">
        <f t="shared" ref="I209:I214" si="12">H209*G209</f>
        <v>35328</v>
      </c>
      <c r="J209" s="3"/>
      <c r="K209" s="26"/>
    </row>
    <row r="210" spans="1:11" ht="41.25" customHeight="1" x14ac:dyDescent="0.25">
      <c r="A210" s="2"/>
      <c r="B210" s="26" t="s">
        <v>291</v>
      </c>
      <c r="C210" s="3">
        <v>121950</v>
      </c>
      <c r="D210" s="3"/>
      <c r="E210" s="3" t="s">
        <v>292</v>
      </c>
      <c r="F210" s="3" t="s">
        <v>89</v>
      </c>
      <c r="G210" s="3">
        <v>147</v>
      </c>
      <c r="H210" s="27">
        <v>160</v>
      </c>
      <c r="I210" s="124">
        <f t="shared" si="12"/>
        <v>23520</v>
      </c>
      <c r="J210" s="3"/>
      <c r="K210" s="26"/>
    </row>
    <row r="211" spans="1:11" ht="15.75" customHeight="1" x14ac:dyDescent="0.25">
      <c r="A211" s="2"/>
      <c r="B211" s="26" t="s">
        <v>293</v>
      </c>
      <c r="C211" s="3" t="s">
        <v>294</v>
      </c>
      <c r="D211" s="3"/>
      <c r="E211" s="3" t="s">
        <v>290</v>
      </c>
      <c r="F211" s="3" t="s">
        <v>78</v>
      </c>
      <c r="G211" s="3">
        <v>100</v>
      </c>
      <c r="H211" s="27"/>
      <c r="I211" s="124">
        <f t="shared" si="12"/>
        <v>0</v>
      </c>
      <c r="J211" s="3"/>
      <c r="K211" s="26"/>
    </row>
    <row r="212" spans="1:11" ht="15.75" customHeight="1" x14ac:dyDescent="0.25">
      <c r="A212" s="2"/>
      <c r="B212" s="26" t="s">
        <v>295</v>
      </c>
      <c r="C212" s="3" t="s">
        <v>296</v>
      </c>
      <c r="D212" s="3"/>
      <c r="E212" s="3" t="s">
        <v>290</v>
      </c>
      <c r="F212" s="3" t="s">
        <v>78</v>
      </c>
      <c r="G212" s="3">
        <v>3</v>
      </c>
      <c r="H212" s="27"/>
      <c r="I212" s="124">
        <f t="shared" si="12"/>
        <v>0</v>
      </c>
      <c r="J212" s="3"/>
      <c r="K212" s="26"/>
    </row>
    <row r="213" spans="1:11" ht="15.75" customHeight="1" x14ac:dyDescent="0.25">
      <c r="A213" s="2"/>
      <c r="B213" s="26" t="s">
        <v>295</v>
      </c>
      <c r="C213" s="3" t="s">
        <v>297</v>
      </c>
      <c r="D213" s="3"/>
      <c r="E213" s="3" t="s">
        <v>290</v>
      </c>
      <c r="F213" s="3" t="s">
        <v>78</v>
      </c>
      <c r="G213" s="3">
        <v>3</v>
      </c>
      <c r="H213" s="27"/>
      <c r="I213" s="124">
        <f t="shared" si="12"/>
        <v>0</v>
      </c>
      <c r="J213" s="3"/>
      <c r="K213" s="26"/>
    </row>
    <row r="214" spans="1:11" ht="15.75" customHeight="1" x14ac:dyDescent="0.25">
      <c r="A214" s="2"/>
      <c r="B214" s="26" t="s">
        <v>298</v>
      </c>
      <c r="C214" s="3" t="s">
        <v>299</v>
      </c>
      <c r="D214" s="3"/>
      <c r="E214" s="3"/>
      <c r="F214" s="3" t="s">
        <v>89</v>
      </c>
      <c r="G214" s="3">
        <v>1300</v>
      </c>
      <c r="H214" s="27"/>
      <c r="I214" s="124">
        <f t="shared" si="12"/>
        <v>0</v>
      </c>
      <c r="J214" s="3"/>
      <c r="K214" s="26"/>
    </row>
    <row r="215" spans="1:11" ht="15.75" customHeight="1" x14ac:dyDescent="0.25">
      <c r="A215" s="19">
        <v>6</v>
      </c>
      <c r="B215" s="20" t="s">
        <v>300</v>
      </c>
      <c r="C215" s="21"/>
      <c r="D215" s="21"/>
      <c r="E215" s="22"/>
      <c r="F215" s="22"/>
      <c r="G215" s="21"/>
      <c r="H215" s="23"/>
      <c r="I215" s="124"/>
      <c r="J215" s="21"/>
      <c r="K215" s="24"/>
    </row>
    <row r="216" spans="1:11" ht="15.75" customHeight="1" x14ac:dyDescent="0.25">
      <c r="A216" s="25"/>
      <c r="B216" s="20" t="s">
        <v>301</v>
      </c>
      <c r="C216" s="21"/>
      <c r="D216" s="21"/>
      <c r="E216" s="22"/>
      <c r="F216" s="22"/>
      <c r="G216" s="21"/>
      <c r="H216" s="23"/>
      <c r="I216" s="124"/>
      <c r="J216" s="21"/>
      <c r="K216" s="24"/>
    </row>
    <row r="217" spans="1:11" ht="15.75" customHeight="1" x14ac:dyDescent="0.25">
      <c r="A217" s="2"/>
      <c r="B217" s="26" t="s">
        <v>302</v>
      </c>
      <c r="C217" s="3" t="s">
        <v>303</v>
      </c>
      <c r="D217" s="3"/>
      <c r="E217" s="3" t="s">
        <v>292</v>
      </c>
      <c r="F217" s="3" t="s">
        <v>78</v>
      </c>
      <c r="G217" s="3">
        <v>75</v>
      </c>
      <c r="H217" s="27"/>
      <c r="I217" s="124">
        <f>H217*G217</f>
        <v>0</v>
      </c>
      <c r="J217" s="3" t="s">
        <v>304</v>
      </c>
      <c r="K217" s="26"/>
    </row>
    <row r="218" spans="1:11" ht="15.75" customHeight="1" x14ac:dyDescent="0.25">
      <c r="A218" s="2"/>
      <c r="B218" s="26" t="s">
        <v>305</v>
      </c>
      <c r="C218" s="3" t="s">
        <v>306</v>
      </c>
      <c r="D218" s="3"/>
      <c r="E218" s="3" t="s">
        <v>292</v>
      </c>
      <c r="F218" s="3" t="s">
        <v>89</v>
      </c>
      <c r="G218" s="3">
        <v>75</v>
      </c>
      <c r="H218" s="27"/>
      <c r="I218" s="124">
        <f>H218*G218</f>
        <v>0</v>
      </c>
      <c r="J218" s="3">
        <v>1.2529999999999999</v>
      </c>
      <c r="K218" s="26"/>
    </row>
    <row r="219" spans="1:11" ht="15.75" customHeight="1" x14ac:dyDescent="0.25">
      <c r="A219" s="2"/>
      <c r="B219" s="26" t="s">
        <v>307</v>
      </c>
      <c r="C219" s="3" t="s">
        <v>308</v>
      </c>
      <c r="D219" s="3"/>
      <c r="E219" s="3" t="s">
        <v>292</v>
      </c>
      <c r="F219" s="3" t="s">
        <v>89</v>
      </c>
      <c r="G219" s="3">
        <v>75</v>
      </c>
      <c r="H219" s="27"/>
      <c r="I219" s="124">
        <f>H219*G219</f>
        <v>0</v>
      </c>
      <c r="J219" s="3" t="s">
        <v>309</v>
      </c>
      <c r="K219" s="26"/>
    </row>
    <row r="220" spans="1:11" ht="15.75" customHeight="1" x14ac:dyDescent="0.25">
      <c r="A220" s="2"/>
      <c r="B220" s="26" t="s">
        <v>310</v>
      </c>
      <c r="C220" s="3" t="s">
        <v>311</v>
      </c>
      <c r="D220" s="3"/>
      <c r="E220" s="3"/>
      <c r="F220" s="3" t="s">
        <v>158</v>
      </c>
      <c r="G220" s="3">
        <v>3</v>
      </c>
      <c r="H220" s="27"/>
      <c r="I220" s="124">
        <f>H220*G220</f>
        <v>0</v>
      </c>
      <c r="J220" s="3"/>
      <c r="K220" s="26"/>
    </row>
    <row r="221" spans="1:11" ht="15.75" customHeight="1" x14ac:dyDescent="0.25">
      <c r="A221" s="25"/>
      <c r="B221" s="20" t="s">
        <v>312</v>
      </c>
      <c r="C221" s="21"/>
      <c r="D221" s="21"/>
      <c r="E221" s="22"/>
      <c r="F221" s="22"/>
      <c r="G221" s="21"/>
      <c r="H221" s="23"/>
      <c r="I221" s="124"/>
      <c r="J221" s="21"/>
      <c r="K221" s="24"/>
    </row>
    <row r="222" spans="1:11" ht="15.75" customHeight="1" x14ac:dyDescent="0.25">
      <c r="A222" s="2"/>
      <c r="B222" s="26" t="s">
        <v>313</v>
      </c>
      <c r="C222" s="3" t="s">
        <v>314</v>
      </c>
      <c r="D222" s="3"/>
      <c r="E222" s="3"/>
      <c r="F222" s="3" t="s">
        <v>315</v>
      </c>
      <c r="G222" s="3">
        <v>77.5</v>
      </c>
      <c r="H222" s="27"/>
      <c r="I222" s="124">
        <f>H222*G222</f>
        <v>0</v>
      </c>
      <c r="J222" s="3"/>
      <c r="K222" s="26"/>
    </row>
    <row r="223" spans="1:11" ht="15.75" customHeight="1" x14ac:dyDescent="0.25">
      <c r="A223" s="25"/>
      <c r="B223" s="20" t="s">
        <v>316</v>
      </c>
      <c r="C223" s="21"/>
      <c r="D223" s="21"/>
      <c r="E223" s="22"/>
      <c r="F223" s="22"/>
      <c r="G223" s="21"/>
      <c r="H223" s="23"/>
      <c r="I223" s="124"/>
      <c r="J223" s="21"/>
      <c r="K223" s="24"/>
    </row>
    <row r="224" spans="1:11" ht="15.75" customHeight="1" x14ac:dyDescent="0.25">
      <c r="A224" s="2"/>
      <c r="B224" s="26" t="s">
        <v>317</v>
      </c>
      <c r="C224" s="3" t="s">
        <v>318</v>
      </c>
      <c r="D224" s="3"/>
      <c r="E224" s="3"/>
      <c r="F224" s="3" t="s">
        <v>315</v>
      </c>
      <c r="G224" s="3" t="s">
        <v>319</v>
      </c>
      <c r="H224" s="27"/>
      <c r="I224" s="124">
        <v>0</v>
      </c>
      <c r="J224" s="3"/>
      <c r="K224" s="26"/>
    </row>
    <row r="225" spans="1:11" ht="15.75" customHeight="1" x14ac:dyDescent="0.25">
      <c r="A225" s="2"/>
      <c r="B225" s="26" t="s">
        <v>320</v>
      </c>
      <c r="C225" s="3" t="s">
        <v>321</v>
      </c>
      <c r="D225" s="3"/>
      <c r="E225" s="3"/>
      <c r="F225" s="3" t="s">
        <v>315</v>
      </c>
      <c r="G225" s="3" t="s">
        <v>322</v>
      </c>
      <c r="H225" s="27"/>
      <c r="I225" s="124">
        <v>0</v>
      </c>
      <c r="J225" s="3"/>
      <c r="K225" s="26"/>
    </row>
    <row r="226" spans="1:11" ht="28.5" customHeight="1" x14ac:dyDescent="0.25">
      <c r="A226" s="14"/>
      <c r="B226" s="15" t="s">
        <v>323</v>
      </c>
      <c r="C226" s="16"/>
      <c r="D226" s="16"/>
      <c r="E226" s="16"/>
      <c r="F226" s="16"/>
      <c r="G226" s="16"/>
      <c r="H226" s="17"/>
      <c r="I226" s="123"/>
      <c r="J226" s="16"/>
      <c r="K226" s="18"/>
    </row>
    <row r="227" spans="1:11" ht="15.75" customHeight="1" x14ac:dyDescent="0.25">
      <c r="A227" s="19">
        <v>1</v>
      </c>
      <c r="B227" s="20" t="s">
        <v>85</v>
      </c>
      <c r="C227" s="21"/>
      <c r="D227" s="21"/>
      <c r="E227" s="22"/>
      <c r="F227" s="22"/>
      <c r="G227" s="21"/>
      <c r="H227" s="23"/>
      <c r="I227" s="124"/>
      <c r="J227" s="21"/>
      <c r="K227" s="24"/>
    </row>
    <row r="228" spans="1:11" ht="15.75" customHeight="1" x14ac:dyDescent="0.25">
      <c r="A228" s="2"/>
      <c r="B228" s="26" t="s">
        <v>324</v>
      </c>
      <c r="C228" s="3" t="s">
        <v>325</v>
      </c>
      <c r="D228" s="3"/>
      <c r="E228" s="3" t="s">
        <v>326</v>
      </c>
      <c r="F228" s="3" t="s">
        <v>89</v>
      </c>
      <c r="G228" s="3">
        <v>2006</v>
      </c>
      <c r="H228" s="27">
        <v>3100</v>
      </c>
      <c r="I228" s="124">
        <f>H228*G228</f>
        <v>6218600</v>
      </c>
      <c r="J228" s="3"/>
      <c r="K228" s="26" t="s">
        <v>327</v>
      </c>
    </row>
    <row r="229" spans="1:11" ht="15.75" customHeight="1" x14ac:dyDescent="0.25">
      <c r="A229" s="2"/>
      <c r="B229" s="26" t="s">
        <v>328</v>
      </c>
      <c r="C229" s="3" t="s">
        <v>329</v>
      </c>
      <c r="D229" s="3"/>
      <c r="E229" s="3"/>
      <c r="F229" s="3" t="s">
        <v>78</v>
      </c>
      <c r="G229" s="3">
        <v>24</v>
      </c>
      <c r="H229" s="27">
        <v>10200</v>
      </c>
      <c r="I229" s="124">
        <f>H229*G229</f>
        <v>244800</v>
      </c>
      <c r="J229" s="3"/>
      <c r="K229" s="26"/>
    </row>
    <row r="230" spans="1:11" ht="15.75" customHeight="1" x14ac:dyDescent="0.25">
      <c r="A230" s="2"/>
      <c r="B230" s="26" t="s">
        <v>330</v>
      </c>
      <c r="C230" s="3"/>
      <c r="D230" s="3"/>
      <c r="E230" s="3"/>
      <c r="F230" s="3" t="s">
        <v>78</v>
      </c>
      <c r="G230" s="3">
        <v>24</v>
      </c>
      <c r="H230" s="27"/>
      <c r="I230" s="124">
        <f>H230*G230</f>
        <v>0</v>
      </c>
      <c r="J230" s="3"/>
      <c r="K230" s="26"/>
    </row>
    <row r="231" spans="1:11" ht="15.75" customHeight="1" x14ac:dyDescent="0.25">
      <c r="A231" s="19">
        <v>2</v>
      </c>
      <c r="B231" s="20" t="s">
        <v>331</v>
      </c>
      <c r="C231" s="21"/>
      <c r="D231" s="21"/>
      <c r="E231" s="22"/>
      <c r="F231" s="22"/>
      <c r="G231" s="21"/>
      <c r="H231" s="23"/>
      <c r="I231" s="124"/>
      <c r="J231" s="21"/>
      <c r="K231" s="24"/>
    </row>
    <row r="232" spans="1:11" ht="15.75" customHeight="1" x14ac:dyDescent="0.25">
      <c r="A232" s="2"/>
      <c r="B232" s="26" t="s">
        <v>332</v>
      </c>
      <c r="C232" s="3"/>
      <c r="D232" s="3"/>
      <c r="E232" s="3" t="s">
        <v>292</v>
      </c>
      <c r="F232" s="3" t="s">
        <v>89</v>
      </c>
      <c r="G232" s="3" t="s">
        <v>333</v>
      </c>
      <c r="H232" s="27"/>
      <c r="I232" s="124">
        <v>0</v>
      </c>
      <c r="J232" s="3"/>
      <c r="K232" s="26"/>
    </row>
    <row r="233" spans="1:11" ht="15.75" customHeight="1" x14ac:dyDescent="0.25">
      <c r="A233" s="2"/>
      <c r="B233" s="26" t="s">
        <v>334</v>
      </c>
      <c r="C233" s="3" t="s">
        <v>335</v>
      </c>
      <c r="D233" s="3"/>
      <c r="E233" s="3" t="s">
        <v>292</v>
      </c>
      <c r="F233" s="3" t="s">
        <v>89</v>
      </c>
      <c r="G233" s="3">
        <v>12</v>
      </c>
      <c r="H233" s="27"/>
      <c r="I233" s="124">
        <f>H233*G233</f>
        <v>0</v>
      </c>
      <c r="J233" s="3"/>
      <c r="K233" s="26"/>
    </row>
    <row r="234" spans="1:11" ht="15.75" customHeight="1" x14ac:dyDescent="0.25">
      <c r="A234" s="2"/>
      <c r="B234" s="26" t="s">
        <v>336</v>
      </c>
      <c r="C234" s="3"/>
      <c r="D234" s="3"/>
      <c r="E234" s="3"/>
      <c r="F234" s="3" t="s">
        <v>78</v>
      </c>
      <c r="G234" s="3">
        <v>192</v>
      </c>
      <c r="H234" s="27"/>
      <c r="I234" s="124">
        <f>H234*G234</f>
        <v>0</v>
      </c>
      <c r="J234" s="3"/>
      <c r="K234" s="26"/>
    </row>
    <row r="235" spans="1:11" ht="15.75" customHeight="1" x14ac:dyDescent="0.25">
      <c r="A235" s="2"/>
      <c r="B235" s="26" t="s">
        <v>337</v>
      </c>
      <c r="C235" s="3"/>
      <c r="D235" s="3"/>
      <c r="E235" s="3"/>
      <c r="F235" s="3" t="s">
        <v>78</v>
      </c>
      <c r="G235" s="3">
        <v>192</v>
      </c>
      <c r="H235" s="27"/>
      <c r="I235" s="124">
        <f>H235*G235</f>
        <v>0</v>
      </c>
      <c r="J235" s="3"/>
      <c r="K235" s="26"/>
    </row>
    <row r="236" spans="1:11" ht="15.75" customHeight="1" x14ac:dyDescent="0.25">
      <c r="A236" s="2"/>
      <c r="B236" s="26" t="s">
        <v>338</v>
      </c>
      <c r="C236" s="3" t="s">
        <v>339</v>
      </c>
      <c r="D236" s="3"/>
      <c r="E236" s="3"/>
      <c r="F236" s="3" t="s">
        <v>78</v>
      </c>
      <c r="G236" s="3">
        <v>220</v>
      </c>
      <c r="H236" s="27"/>
      <c r="I236" s="124">
        <f>H236*G236</f>
        <v>0</v>
      </c>
      <c r="J236" s="3"/>
      <c r="K236" s="26" t="s">
        <v>340</v>
      </c>
    </row>
    <row r="237" spans="1:11" ht="15.75" customHeight="1" x14ac:dyDescent="0.25">
      <c r="A237" s="2"/>
      <c r="B237" s="26" t="s">
        <v>341</v>
      </c>
      <c r="C237" s="3"/>
      <c r="D237" s="3"/>
      <c r="E237" s="3"/>
      <c r="F237" s="3" t="s">
        <v>315</v>
      </c>
      <c r="G237" s="3" t="s">
        <v>342</v>
      </c>
      <c r="H237" s="27"/>
      <c r="I237" s="124">
        <v>0</v>
      </c>
      <c r="J237" s="3"/>
      <c r="K237" s="26"/>
    </row>
    <row r="238" spans="1:11" ht="15.75" customHeight="1" x14ac:dyDescent="0.25">
      <c r="A238" s="2"/>
      <c r="B238" s="26" t="s">
        <v>343</v>
      </c>
      <c r="C238" s="3" t="s">
        <v>344</v>
      </c>
      <c r="D238" s="3"/>
      <c r="E238" s="3"/>
      <c r="F238" s="3" t="s">
        <v>158</v>
      </c>
      <c r="G238" s="3">
        <v>29</v>
      </c>
      <c r="H238" s="27"/>
      <c r="I238" s="124">
        <f>H238*G238</f>
        <v>0</v>
      </c>
      <c r="J238" s="3"/>
      <c r="K238" s="26"/>
    </row>
    <row r="239" spans="1:11" ht="15.75" customHeight="1" x14ac:dyDescent="0.25">
      <c r="A239" s="28"/>
      <c r="B239" s="29"/>
      <c r="C239" s="30"/>
      <c r="D239" s="30"/>
      <c r="E239" s="29"/>
      <c r="F239" s="29"/>
      <c r="G239" s="30"/>
      <c r="H239" s="31" t="s">
        <v>345</v>
      </c>
      <c r="I239" s="125">
        <v>0</v>
      </c>
      <c r="J239" s="30"/>
      <c r="K239" s="32"/>
    </row>
    <row r="240" spans="1:11" ht="19.5" customHeight="1" x14ac:dyDescent="0.25">
      <c r="A240" s="9" t="s">
        <v>346</v>
      </c>
      <c r="B240" s="10" t="s">
        <v>347</v>
      </c>
      <c r="C240" s="11"/>
      <c r="D240" s="11"/>
      <c r="E240" s="11"/>
      <c r="F240" s="11"/>
      <c r="G240" s="11"/>
      <c r="H240" s="12"/>
      <c r="I240" s="122"/>
      <c r="J240" s="11"/>
      <c r="K240" s="13"/>
    </row>
    <row r="241" spans="1:11" ht="15.75" customHeight="1" x14ac:dyDescent="0.25">
      <c r="A241" s="14"/>
      <c r="B241" s="15" t="s">
        <v>348</v>
      </c>
      <c r="C241" s="16"/>
      <c r="D241" s="16"/>
      <c r="E241" s="16"/>
      <c r="F241" s="16"/>
      <c r="G241" s="16"/>
      <c r="H241" s="17"/>
      <c r="I241" s="123"/>
      <c r="J241" s="16"/>
      <c r="K241" s="18"/>
    </row>
    <row r="242" spans="1:11" ht="28.5" customHeight="1" x14ac:dyDescent="0.25">
      <c r="A242" s="19" t="s">
        <v>349</v>
      </c>
      <c r="B242" s="20" t="s">
        <v>350</v>
      </c>
      <c r="C242" s="21"/>
      <c r="D242" s="21"/>
      <c r="E242" s="21"/>
      <c r="F242" s="22"/>
      <c r="G242" s="21"/>
      <c r="H242" s="23"/>
      <c r="I242" s="124"/>
      <c r="J242" s="21"/>
      <c r="K242" s="24"/>
    </row>
    <row r="243" spans="1:11" ht="15.75" customHeight="1" x14ac:dyDescent="0.25">
      <c r="A243" s="25"/>
      <c r="B243" s="26" t="s">
        <v>351</v>
      </c>
      <c r="C243" s="3" t="s">
        <v>352</v>
      </c>
      <c r="D243" s="21"/>
      <c r="E243" s="21"/>
      <c r="F243" s="3" t="s">
        <v>89</v>
      </c>
      <c r="G243" s="3">
        <v>35</v>
      </c>
      <c r="H243" s="23"/>
      <c r="I243" s="124">
        <f t="shared" ref="I243:I259" si="13">H243*G243</f>
        <v>0</v>
      </c>
      <c r="J243" s="21"/>
      <c r="K243" s="24"/>
    </row>
    <row r="244" spans="1:11" ht="15.75" customHeight="1" x14ac:dyDescent="0.25">
      <c r="A244" s="25"/>
      <c r="B244" s="26" t="s">
        <v>353</v>
      </c>
      <c r="C244" s="3" t="s">
        <v>352</v>
      </c>
      <c r="D244" s="21"/>
      <c r="E244" s="21"/>
      <c r="F244" s="3" t="s">
        <v>89</v>
      </c>
      <c r="G244" s="3">
        <v>465</v>
      </c>
      <c r="H244" s="23"/>
      <c r="I244" s="124">
        <f t="shared" si="13"/>
        <v>0</v>
      </c>
      <c r="J244" s="21"/>
      <c r="K244" s="24"/>
    </row>
    <row r="245" spans="1:11" ht="15.75" customHeight="1" x14ac:dyDescent="0.25">
      <c r="A245" s="25"/>
      <c r="B245" s="26" t="s">
        <v>354</v>
      </c>
      <c r="C245" s="3" t="s">
        <v>355</v>
      </c>
      <c r="D245" s="21"/>
      <c r="E245" s="21"/>
      <c r="F245" s="3" t="s">
        <v>78</v>
      </c>
      <c r="G245" s="3">
        <v>2</v>
      </c>
      <c r="H245" s="23">
        <v>90000</v>
      </c>
      <c r="I245" s="124">
        <f t="shared" si="13"/>
        <v>180000</v>
      </c>
      <c r="J245" s="21"/>
      <c r="K245" s="24"/>
    </row>
    <row r="246" spans="1:11" ht="15.75" customHeight="1" x14ac:dyDescent="0.25">
      <c r="A246" s="25"/>
      <c r="B246" s="26" t="s">
        <v>356</v>
      </c>
      <c r="C246" s="3" t="s">
        <v>355</v>
      </c>
      <c r="D246" s="21"/>
      <c r="E246" s="21"/>
      <c r="F246" s="3" t="s">
        <v>78</v>
      </c>
      <c r="G246" s="3">
        <v>3</v>
      </c>
      <c r="H246" s="23">
        <v>103800</v>
      </c>
      <c r="I246" s="124">
        <f t="shared" si="13"/>
        <v>311400</v>
      </c>
      <c r="J246" s="21"/>
      <c r="K246" s="24"/>
    </row>
    <row r="247" spans="1:11" ht="15.75" customHeight="1" x14ac:dyDescent="0.25">
      <c r="A247" s="25"/>
      <c r="B247" s="26" t="s">
        <v>357</v>
      </c>
      <c r="C247" s="3" t="s">
        <v>355</v>
      </c>
      <c r="D247" s="21"/>
      <c r="E247" s="21"/>
      <c r="F247" s="3" t="s">
        <v>78</v>
      </c>
      <c r="G247" s="3">
        <v>1</v>
      </c>
      <c r="H247" s="23">
        <v>327175</v>
      </c>
      <c r="I247" s="124">
        <f t="shared" si="13"/>
        <v>327175</v>
      </c>
      <c r="J247" s="21"/>
      <c r="K247" s="24"/>
    </row>
    <row r="248" spans="1:11" ht="15.75" customHeight="1" x14ac:dyDescent="0.25">
      <c r="A248" s="25"/>
      <c r="B248" s="26" t="s">
        <v>358</v>
      </c>
      <c r="C248" s="3" t="s">
        <v>359</v>
      </c>
      <c r="D248" s="21"/>
      <c r="E248" s="21"/>
      <c r="F248" s="3" t="s">
        <v>78</v>
      </c>
      <c r="G248" s="3">
        <v>2</v>
      </c>
      <c r="H248" s="23"/>
      <c r="I248" s="124">
        <f t="shared" si="13"/>
        <v>0</v>
      </c>
      <c r="J248" s="21"/>
      <c r="K248" s="24"/>
    </row>
    <row r="249" spans="1:11" ht="15.75" customHeight="1" x14ac:dyDescent="0.25">
      <c r="A249" s="25"/>
      <c r="B249" s="26" t="s">
        <v>360</v>
      </c>
      <c r="C249" s="3" t="s">
        <v>361</v>
      </c>
      <c r="D249" s="21"/>
      <c r="E249" s="21" t="s">
        <v>362</v>
      </c>
      <c r="F249" s="3" t="s">
        <v>78</v>
      </c>
      <c r="G249" s="3">
        <v>5</v>
      </c>
      <c r="H249" s="23">
        <v>16584</v>
      </c>
      <c r="I249" s="124">
        <f t="shared" si="13"/>
        <v>82920</v>
      </c>
      <c r="J249" s="21"/>
      <c r="K249" s="24"/>
    </row>
    <row r="250" spans="1:11" ht="15.75" customHeight="1" x14ac:dyDescent="0.25">
      <c r="A250" s="25"/>
      <c r="B250" s="26" t="s">
        <v>363</v>
      </c>
      <c r="C250" s="3" t="s">
        <v>361</v>
      </c>
      <c r="D250" s="21"/>
      <c r="E250" s="21" t="s">
        <v>362</v>
      </c>
      <c r="F250" s="3" t="s">
        <v>78</v>
      </c>
      <c r="G250" s="3">
        <v>10</v>
      </c>
      <c r="H250" s="23">
        <v>26379</v>
      </c>
      <c r="I250" s="124">
        <f t="shared" si="13"/>
        <v>263790</v>
      </c>
      <c r="J250" s="21"/>
      <c r="K250" s="24"/>
    </row>
    <row r="251" spans="1:11" ht="15.75" customHeight="1" x14ac:dyDescent="0.25">
      <c r="A251" s="25"/>
      <c r="B251" s="26" t="s">
        <v>364</v>
      </c>
      <c r="C251" s="3" t="s">
        <v>361</v>
      </c>
      <c r="D251" s="21"/>
      <c r="E251" s="21" t="s">
        <v>362</v>
      </c>
      <c r="F251" s="3" t="s">
        <v>78</v>
      </c>
      <c r="G251" s="3">
        <v>5</v>
      </c>
      <c r="H251" s="23">
        <v>12990</v>
      </c>
      <c r="I251" s="124">
        <f t="shared" si="13"/>
        <v>64950</v>
      </c>
      <c r="J251" s="21"/>
      <c r="K251" s="24"/>
    </row>
    <row r="252" spans="1:11" ht="15.75" customHeight="1" x14ac:dyDescent="0.25">
      <c r="A252" s="25"/>
      <c r="B252" s="26" t="s">
        <v>365</v>
      </c>
      <c r="C252" s="3" t="s">
        <v>366</v>
      </c>
      <c r="D252" s="21"/>
      <c r="E252" s="21" t="s">
        <v>362</v>
      </c>
      <c r="F252" s="3" t="s">
        <v>78</v>
      </c>
      <c r="G252" s="3">
        <v>5</v>
      </c>
      <c r="H252" s="23">
        <v>1200</v>
      </c>
      <c r="I252" s="124">
        <f t="shared" si="13"/>
        <v>6000</v>
      </c>
      <c r="J252" s="21"/>
      <c r="K252" s="24"/>
    </row>
    <row r="253" spans="1:11" ht="15.75" customHeight="1" x14ac:dyDescent="0.25">
      <c r="A253" s="25"/>
      <c r="B253" s="26" t="s">
        <v>367</v>
      </c>
      <c r="C253" s="3" t="s">
        <v>361</v>
      </c>
      <c r="D253" s="21"/>
      <c r="E253" s="21" t="s">
        <v>362</v>
      </c>
      <c r="F253" s="3" t="s">
        <v>78</v>
      </c>
      <c r="G253" s="3">
        <v>5</v>
      </c>
      <c r="H253" s="23">
        <v>17350</v>
      </c>
      <c r="I253" s="124">
        <f t="shared" si="13"/>
        <v>86750</v>
      </c>
      <c r="J253" s="21"/>
      <c r="K253" s="24"/>
    </row>
    <row r="254" spans="1:11" ht="15.75" customHeight="1" x14ac:dyDescent="0.25">
      <c r="A254" s="25"/>
      <c r="B254" s="26" t="s">
        <v>368</v>
      </c>
      <c r="C254" s="3" t="s">
        <v>369</v>
      </c>
      <c r="D254" s="21"/>
      <c r="E254" s="21" t="s">
        <v>370</v>
      </c>
      <c r="F254" s="3" t="s">
        <v>78</v>
      </c>
      <c r="G254" s="3">
        <v>5</v>
      </c>
      <c r="H254" s="23"/>
      <c r="I254" s="124">
        <f t="shared" si="13"/>
        <v>0</v>
      </c>
      <c r="J254" s="21"/>
      <c r="K254" s="24"/>
    </row>
    <row r="255" spans="1:11" ht="15.75" customHeight="1" x14ac:dyDescent="0.25">
      <c r="A255" s="25"/>
      <c r="B255" s="26" t="s">
        <v>360</v>
      </c>
      <c r="C255" s="3" t="s">
        <v>361</v>
      </c>
      <c r="D255" s="21"/>
      <c r="E255" s="21" t="s">
        <v>362</v>
      </c>
      <c r="F255" s="3" t="s">
        <v>78</v>
      </c>
      <c r="G255" s="3">
        <v>5</v>
      </c>
      <c r="H255" s="23">
        <v>16584</v>
      </c>
      <c r="I255" s="124">
        <f t="shared" si="13"/>
        <v>82920</v>
      </c>
      <c r="J255" s="21"/>
      <c r="K255" s="24"/>
    </row>
    <row r="256" spans="1:11" ht="15.75" customHeight="1" x14ac:dyDescent="0.25">
      <c r="A256" s="25"/>
      <c r="B256" s="26" t="s">
        <v>371</v>
      </c>
      <c r="C256" s="3"/>
      <c r="D256" s="21"/>
      <c r="E256" s="21"/>
      <c r="F256" s="3" t="s">
        <v>78</v>
      </c>
      <c r="G256" s="3">
        <v>2</v>
      </c>
      <c r="H256" s="23"/>
      <c r="I256" s="124">
        <f t="shared" si="13"/>
        <v>0</v>
      </c>
      <c r="J256" s="21"/>
      <c r="K256" s="24"/>
    </row>
    <row r="257" spans="1:11" ht="15.75" customHeight="1" x14ac:dyDescent="0.25">
      <c r="A257" s="25"/>
      <c r="B257" s="26" t="s">
        <v>372</v>
      </c>
      <c r="C257" s="3"/>
      <c r="D257" s="21"/>
      <c r="E257" s="21"/>
      <c r="F257" s="3" t="s">
        <v>78</v>
      </c>
      <c r="G257" s="3">
        <v>2</v>
      </c>
      <c r="H257" s="23"/>
      <c r="I257" s="124">
        <f t="shared" si="13"/>
        <v>0</v>
      </c>
      <c r="J257" s="21"/>
      <c r="K257" s="24"/>
    </row>
    <row r="258" spans="1:11" ht="15.75" customHeight="1" x14ac:dyDescent="0.25">
      <c r="A258" s="25"/>
      <c r="B258" s="26" t="s">
        <v>373</v>
      </c>
      <c r="C258" s="3"/>
      <c r="D258" s="21"/>
      <c r="E258" s="21"/>
      <c r="F258" s="3" t="s">
        <v>78</v>
      </c>
      <c r="G258" s="3">
        <v>2</v>
      </c>
      <c r="H258" s="23"/>
      <c r="I258" s="124">
        <f t="shared" si="13"/>
        <v>0</v>
      </c>
      <c r="J258" s="21"/>
      <c r="K258" s="24"/>
    </row>
    <row r="259" spans="1:11" ht="15.75" customHeight="1" x14ac:dyDescent="0.25">
      <c r="A259" s="25"/>
      <c r="B259" s="26" t="s">
        <v>374</v>
      </c>
      <c r="C259" s="3"/>
      <c r="D259" s="21"/>
      <c r="E259" s="21"/>
      <c r="F259" s="3" t="s">
        <v>78</v>
      </c>
      <c r="G259" s="3">
        <v>5</v>
      </c>
      <c r="H259" s="23"/>
      <c r="I259" s="124">
        <f t="shared" si="13"/>
        <v>0</v>
      </c>
      <c r="J259" s="21"/>
      <c r="K259" s="24"/>
    </row>
    <row r="260" spans="1:11" ht="15.75" customHeight="1" x14ac:dyDescent="0.25">
      <c r="A260" s="19" t="s">
        <v>375</v>
      </c>
      <c r="B260" s="20" t="s">
        <v>376</v>
      </c>
      <c r="C260" s="21"/>
      <c r="D260" s="21"/>
      <c r="E260" s="21"/>
      <c r="F260" s="22"/>
      <c r="G260" s="21"/>
      <c r="H260" s="23"/>
      <c r="I260" s="124"/>
      <c r="J260" s="21"/>
      <c r="K260" s="24"/>
    </row>
    <row r="261" spans="1:11" ht="15.75" customHeight="1" x14ac:dyDescent="0.25">
      <c r="A261" s="25"/>
      <c r="B261" s="26" t="s">
        <v>377</v>
      </c>
      <c r="C261" s="3" t="s">
        <v>6881</v>
      </c>
      <c r="D261" s="21"/>
      <c r="E261" s="21"/>
      <c r="F261" s="3" t="s">
        <v>78</v>
      </c>
      <c r="G261" s="3">
        <v>1</v>
      </c>
      <c r="H261" s="23">
        <v>2051313.44</v>
      </c>
      <c r="I261" s="124">
        <f t="shared" ref="I261:I292" si="14">H261*G261</f>
        <v>2051313.44</v>
      </c>
      <c r="J261" s="21"/>
      <c r="K261" s="24"/>
    </row>
    <row r="262" spans="1:11" ht="15.75" customHeight="1" x14ac:dyDescent="0.25">
      <c r="A262" s="25"/>
      <c r="B262" s="26" t="s">
        <v>378</v>
      </c>
      <c r="C262" s="3" t="s">
        <v>379</v>
      </c>
      <c r="D262" s="21"/>
      <c r="E262" s="21"/>
      <c r="F262" s="3" t="s">
        <v>78</v>
      </c>
      <c r="G262" s="3">
        <v>3</v>
      </c>
      <c r="H262" s="23"/>
      <c r="I262" s="124">
        <f t="shared" si="14"/>
        <v>0</v>
      </c>
      <c r="J262" s="21"/>
      <c r="K262" s="24"/>
    </row>
    <row r="263" spans="1:11" ht="15.75" customHeight="1" x14ac:dyDescent="0.25">
      <c r="A263" s="25"/>
      <c r="B263" s="26" t="s">
        <v>380</v>
      </c>
      <c r="C263" s="3" t="s">
        <v>381</v>
      </c>
      <c r="D263" s="21"/>
      <c r="E263" s="21"/>
      <c r="F263" s="3" t="s">
        <v>89</v>
      </c>
      <c r="G263" s="3">
        <v>133</v>
      </c>
      <c r="H263" s="23"/>
      <c r="I263" s="124">
        <f t="shared" si="14"/>
        <v>0</v>
      </c>
      <c r="J263" s="21"/>
      <c r="K263" s="24"/>
    </row>
    <row r="264" spans="1:11" ht="15.75" customHeight="1" x14ac:dyDescent="0.25">
      <c r="A264" s="25"/>
      <c r="B264" s="26" t="s">
        <v>382</v>
      </c>
      <c r="C264" s="3" t="s">
        <v>381</v>
      </c>
      <c r="D264" s="21"/>
      <c r="E264" s="21"/>
      <c r="F264" s="3" t="s">
        <v>89</v>
      </c>
      <c r="G264" s="3">
        <v>145</v>
      </c>
      <c r="H264" s="23"/>
      <c r="I264" s="124">
        <f t="shared" si="14"/>
        <v>0</v>
      </c>
      <c r="J264" s="21"/>
      <c r="K264" s="24"/>
    </row>
    <row r="265" spans="1:11" ht="15.75" customHeight="1" x14ac:dyDescent="0.25">
      <c r="A265" s="25"/>
      <c r="B265" s="26" t="s">
        <v>383</v>
      </c>
      <c r="C265" s="3" t="s">
        <v>381</v>
      </c>
      <c r="D265" s="21"/>
      <c r="E265" s="21"/>
      <c r="F265" s="3" t="s">
        <v>89</v>
      </c>
      <c r="G265" s="3">
        <v>61</v>
      </c>
      <c r="H265" s="23"/>
      <c r="I265" s="124">
        <f t="shared" si="14"/>
        <v>0</v>
      </c>
      <c r="J265" s="21"/>
      <c r="K265" s="24"/>
    </row>
    <row r="266" spans="1:11" ht="15.75" customHeight="1" x14ac:dyDescent="0.25">
      <c r="A266" s="25"/>
      <c r="B266" s="26" t="s">
        <v>384</v>
      </c>
      <c r="C266" s="3" t="s">
        <v>381</v>
      </c>
      <c r="D266" s="21"/>
      <c r="E266" s="21"/>
      <c r="F266" s="3" t="s">
        <v>89</v>
      </c>
      <c r="G266" s="3">
        <v>55</v>
      </c>
      <c r="H266" s="23"/>
      <c r="I266" s="124">
        <f t="shared" si="14"/>
        <v>0</v>
      </c>
      <c r="J266" s="21"/>
      <c r="K266" s="24"/>
    </row>
    <row r="267" spans="1:11" ht="15.75" customHeight="1" x14ac:dyDescent="0.25">
      <c r="A267" s="25"/>
      <c r="B267" s="26" t="s">
        <v>385</v>
      </c>
      <c r="C267" s="3" t="s">
        <v>381</v>
      </c>
      <c r="D267" s="21"/>
      <c r="E267" s="21"/>
      <c r="F267" s="3" t="s">
        <v>89</v>
      </c>
      <c r="G267" s="3">
        <v>73</v>
      </c>
      <c r="H267" s="23"/>
      <c r="I267" s="124">
        <f t="shared" si="14"/>
        <v>0</v>
      </c>
      <c r="J267" s="21"/>
      <c r="K267" s="24"/>
    </row>
    <row r="268" spans="1:11" ht="15.75" customHeight="1" x14ac:dyDescent="0.25">
      <c r="A268" s="25"/>
      <c r="B268" s="26" t="s">
        <v>386</v>
      </c>
      <c r="C268" s="3" t="s">
        <v>381</v>
      </c>
      <c r="D268" s="21"/>
      <c r="E268" s="21"/>
      <c r="F268" s="3" t="s">
        <v>89</v>
      </c>
      <c r="G268" s="3">
        <v>77</v>
      </c>
      <c r="H268" s="23"/>
      <c r="I268" s="124">
        <f t="shared" si="14"/>
        <v>0</v>
      </c>
      <c r="J268" s="21"/>
      <c r="K268" s="24"/>
    </row>
    <row r="269" spans="1:11" ht="15.75" customHeight="1" x14ac:dyDescent="0.25">
      <c r="A269" s="25"/>
      <c r="B269" s="26" t="s">
        <v>387</v>
      </c>
      <c r="C269" s="3" t="s">
        <v>381</v>
      </c>
      <c r="D269" s="21"/>
      <c r="E269" s="21"/>
      <c r="F269" s="3" t="s">
        <v>89</v>
      </c>
      <c r="G269" s="3">
        <v>31</v>
      </c>
      <c r="H269" s="23"/>
      <c r="I269" s="124">
        <f t="shared" si="14"/>
        <v>0</v>
      </c>
      <c r="J269" s="21"/>
      <c r="K269" s="24"/>
    </row>
    <row r="270" spans="1:11" ht="30.75" customHeight="1" x14ac:dyDescent="0.25">
      <c r="A270" s="25"/>
      <c r="B270" s="26" t="s">
        <v>388</v>
      </c>
      <c r="C270" s="3" t="s">
        <v>381</v>
      </c>
      <c r="D270" s="21"/>
      <c r="E270" s="21"/>
      <c r="F270" s="3" t="s">
        <v>89</v>
      </c>
      <c r="G270" s="3">
        <v>96</v>
      </c>
      <c r="H270" s="23"/>
      <c r="I270" s="124">
        <f t="shared" si="14"/>
        <v>0</v>
      </c>
      <c r="J270" s="21"/>
      <c r="K270" s="24"/>
    </row>
    <row r="271" spans="1:11" ht="30.75" customHeight="1" x14ac:dyDescent="0.25">
      <c r="A271" s="25"/>
      <c r="B271" s="26" t="s">
        <v>389</v>
      </c>
      <c r="C271" s="3" t="s">
        <v>381</v>
      </c>
      <c r="D271" s="21"/>
      <c r="E271" s="21"/>
      <c r="F271" s="3" t="s">
        <v>89</v>
      </c>
      <c r="G271" s="3">
        <v>55</v>
      </c>
      <c r="H271" s="23"/>
      <c r="I271" s="124">
        <f t="shared" si="14"/>
        <v>0</v>
      </c>
      <c r="J271" s="21"/>
      <c r="K271" s="24"/>
    </row>
    <row r="272" spans="1:11" ht="15.75" customHeight="1" x14ac:dyDescent="0.25">
      <c r="A272" s="25"/>
      <c r="B272" s="26" t="s">
        <v>390</v>
      </c>
      <c r="C272" s="3" t="s">
        <v>391</v>
      </c>
      <c r="D272" s="21"/>
      <c r="E272" s="21"/>
      <c r="F272" s="3" t="s">
        <v>78</v>
      </c>
      <c r="G272" s="3">
        <v>68</v>
      </c>
      <c r="H272" s="23"/>
      <c r="I272" s="124">
        <f t="shared" si="14"/>
        <v>0</v>
      </c>
      <c r="J272" s="21"/>
      <c r="K272" s="24"/>
    </row>
    <row r="273" spans="1:11" ht="15.75" customHeight="1" x14ac:dyDescent="0.25">
      <c r="A273" s="25"/>
      <c r="B273" s="26" t="s">
        <v>392</v>
      </c>
      <c r="C273" s="3" t="s">
        <v>391</v>
      </c>
      <c r="D273" s="21"/>
      <c r="E273" s="21"/>
      <c r="F273" s="3" t="s">
        <v>78</v>
      </c>
      <c r="G273" s="3">
        <v>8</v>
      </c>
      <c r="H273" s="23"/>
      <c r="I273" s="124">
        <f t="shared" si="14"/>
        <v>0</v>
      </c>
      <c r="J273" s="21"/>
      <c r="K273" s="24"/>
    </row>
    <row r="274" spans="1:11" ht="15.75" customHeight="1" x14ac:dyDescent="0.25">
      <c r="A274" s="25"/>
      <c r="B274" s="26" t="s">
        <v>393</v>
      </c>
      <c r="C274" s="3" t="s">
        <v>391</v>
      </c>
      <c r="D274" s="21"/>
      <c r="E274" s="21"/>
      <c r="F274" s="3" t="s">
        <v>78</v>
      </c>
      <c r="G274" s="3">
        <v>9</v>
      </c>
      <c r="H274" s="23"/>
      <c r="I274" s="124">
        <f t="shared" si="14"/>
        <v>0</v>
      </c>
      <c r="J274" s="21"/>
      <c r="K274" s="24"/>
    </row>
    <row r="275" spans="1:11" ht="15.75" customHeight="1" x14ac:dyDescent="0.25">
      <c r="A275" s="25"/>
      <c r="B275" s="26" t="s">
        <v>394</v>
      </c>
      <c r="C275" s="3" t="s">
        <v>391</v>
      </c>
      <c r="D275" s="21"/>
      <c r="E275" s="21"/>
      <c r="F275" s="3" t="s">
        <v>78</v>
      </c>
      <c r="G275" s="3">
        <v>75</v>
      </c>
      <c r="H275" s="23"/>
      <c r="I275" s="124">
        <f t="shared" si="14"/>
        <v>0</v>
      </c>
      <c r="J275" s="21"/>
      <c r="K275" s="24"/>
    </row>
    <row r="276" spans="1:11" ht="15.75" customHeight="1" x14ac:dyDescent="0.25">
      <c r="A276" s="25"/>
      <c r="B276" s="26" t="s">
        <v>395</v>
      </c>
      <c r="C276" s="3"/>
      <c r="D276" s="21"/>
      <c r="E276" s="21"/>
      <c r="F276" s="3" t="s">
        <v>78</v>
      </c>
      <c r="G276" s="3">
        <v>12</v>
      </c>
      <c r="H276" s="23"/>
      <c r="I276" s="124">
        <f t="shared" si="14"/>
        <v>0</v>
      </c>
      <c r="J276" s="21"/>
      <c r="K276" s="24"/>
    </row>
    <row r="277" spans="1:11" ht="15.75" customHeight="1" x14ac:dyDescent="0.25">
      <c r="A277" s="25"/>
      <c r="B277" s="26" t="s">
        <v>396</v>
      </c>
      <c r="C277" s="3"/>
      <c r="D277" s="21"/>
      <c r="E277" s="21"/>
      <c r="F277" s="3" t="s">
        <v>78</v>
      </c>
      <c r="G277" s="3">
        <v>12</v>
      </c>
      <c r="H277" s="23"/>
      <c r="I277" s="124">
        <f t="shared" si="14"/>
        <v>0</v>
      </c>
      <c r="J277" s="21"/>
      <c r="K277" s="24"/>
    </row>
    <row r="278" spans="1:11" ht="15.75" customHeight="1" x14ac:dyDescent="0.25">
      <c r="A278" s="25"/>
      <c r="B278" s="26" t="s">
        <v>397</v>
      </c>
      <c r="C278" s="3"/>
      <c r="D278" s="21"/>
      <c r="E278" s="21"/>
      <c r="F278" s="3" t="s">
        <v>78</v>
      </c>
      <c r="G278" s="3">
        <v>2</v>
      </c>
      <c r="H278" s="23"/>
      <c r="I278" s="124">
        <f t="shared" si="14"/>
        <v>0</v>
      </c>
      <c r="J278" s="21"/>
      <c r="K278" s="24"/>
    </row>
    <row r="279" spans="1:11" ht="15.75" customHeight="1" x14ac:dyDescent="0.25">
      <c r="A279" s="25"/>
      <c r="B279" s="26" t="s">
        <v>398</v>
      </c>
      <c r="C279" s="3"/>
      <c r="D279" s="21"/>
      <c r="E279" s="21"/>
      <c r="F279" s="3" t="s">
        <v>89</v>
      </c>
      <c r="G279" s="3">
        <v>77</v>
      </c>
      <c r="H279" s="23"/>
      <c r="I279" s="124">
        <f t="shared" si="14"/>
        <v>0</v>
      </c>
      <c r="J279" s="21"/>
      <c r="K279" s="24"/>
    </row>
    <row r="280" spans="1:11" ht="15.75" customHeight="1" x14ac:dyDescent="0.25">
      <c r="A280" s="25"/>
      <c r="B280" s="26" t="s">
        <v>399</v>
      </c>
      <c r="C280" s="3"/>
      <c r="D280" s="21"/>
      <c r="E280" s="21"/>
      <c r="F280" s="3" t="s">
        <v>89</v>
      </c>
      <c r="G280" s="3">
        <v>31</v>
      </c>
      <c r="H280" s="23"/>
      <c r="I280" s="124">
        <f t="shared" si="14"/>
        <v>0</v>
      </c>
      <c r="J280" s="21"/>
      <c r="K280" s="24"/>
    </row>
    <row r="281" spans="1:11" ht="15.75" customHeight="1" x14ac:dyDescent="0.25">
      <c r="A281" s="25"/>
      <c r="B281" s="26" t="s">
        <v>400</v>
      </c>
      <c r="C281" s="3"/>
      <c r="D281" s="21"/>
      <c r="E281" s="21"/>
      <c r="F281" s="3" t="s">
        <v>89</v>
      </c>
      <c r="G281" s="3">
        <v>96</v>
      </c>
      <c r="H281" s="23"/>
      <c r="I281" s="124">
        <f t="shared" si="14"/>
        <v>0</v>
      </c>
      <c r="J281" s="21"/>
      <c r="K281" s="24"/>
    </row>
    <row r="282" spans="1:11" ht="15.75" customHeight="1" x14ac:dyDescent="0.25">
      <c r="A282" s="25"/>
      <c r="B282" s="26" t="s">
        <v>401</v>
      </c>
      <c r="C282" s="3"/>
      <c r="D282" s="21"/>
      <c r="E282" s="21"/>
      <c r="F282" s="3" t="s">
        <v>89</v>
      </c>
      <c r="G282" s="3">
        <v>55</v>
      </c>
      <c r="H282" s="23"/>
      <c r="I282" s="124">
        <f t="shared" si="14"/>
        <v>0</v>
      </c>
      <c r="J282" s="21"/>
      <c r="K282" s="24"/>
    </row>
    <row r="283" spans="1:11" ht="15.75" customHeight="1" x14ac:dyDescent="0.25">
      <c r="A283" s="25"/>
      <c r="B283" s="26" t="s">
        <v>402</v>
      </c>
      <c r="C283" s="3"/>
      <c r="D283" s="21"/>
      <c r="E283" s="21"/>
      <c r="F283" s="3" t="s">
        <v>78</v>
      </c>
      <c r="G283" s="3">
        <v>90</v>
      </c>
      <c r="H283" s="23"/>
      <c r="I283" s="124">
        <f t="shared" si="14"/>
        <v>0</v>
      </c>
      <c r="J283" s="21"/>
      <c r="K283" s="24"/>
    </row>
    <row r="284" spans="1:11" ht="15.75" customHeight="1" x14ac:dyDescent="0.25">
      <c r="A284" s="25"/>
      <c r="B284" s="26" t="s">
        <v>403</v>
      </c>
      <c r="C284" s="3"/>
      <c r="D284" s="21"/>
      <c r="E284" s="21"/>
      <c r="F284" s="3" t="s">
        <v>78</v>
      </c>
      <c r="G284" s="3">
        <v>75</v>
      </c>
      <c r="H284" s="23"/>
      <c r="I284" s="124">
        <f t="shared" si="14"/>
        <v>0</v>
      </c>
      <c r="J284" s="21"/>
      <c r="K284" s="24"/>
    </row>
    <row r="285" spans="1:11" ht="15.75" customHeight="1" x14ac:dyDescent="0.25">
      <c r="A285" s="25"/>
      <c r="B285" s="26" t="s">
        <v>404</v>
      </c>
      <c r="C285" s="3"/>
      <c r="D285" s="21"/>
      <c r="E285" s="21"/>
      <c r="F285" s="3" t="s">
        <v>78</v>
      </c>
      <c r="G285" s="3">
        <v>25</v>
      </c>
      <c r="H285" s="23"/>
      <c r="I285" s="124">
        <f t="shared" si="14"/>
        <v>0</v>
      </c>
      <c r="J285" s="21"/>
      <c r="K285" s="24"/>
    </row>
    <row r="286" spans="1:11" ht="15.75" customHeight="1" x14ac:dyDescent="0.25">
      <c r="A286" s="25"/>
      <c r="B286" s="26" t="s">
        <v>405</v>
      </c>
      <c r="C286" s="3"/>
      <c r="D286" s="21"/>
      <c r="E286" s="21"/>
      <c r="F286" s="3" t="s">
        <v>78</v>
      </c>
      <c r="G286" s="3">
        <v>35</v>
      </c>
      <c r="H286" s="23"/>
      <c r="I286" s="124">
        <f t="shared" si="14"/>
        <v>0</v>
      </c>
      <c r="J286" s="21"/>
      <c r="K286" s="24"/>
    </row>
    <row r="287" spans="1:11" ht="15.75" customHeight="1" x14ac:dyDescent="0.25">
      <c r="A287" s="25"/>
      <c r="B287" s="26" t="s">
        <v>406</v>
      </c>
      <c r="C287" s="3"/>
      <c r="D287" s="21"/>
      <c r="E287" s="21"/>
      <c r="F287" s="3" t="s">
        <v>78</v>
      </c>
      <c r="G287" s="3">
        <v>30</v>
      </c>
      <c r="H287" s="23"/>
      <c r="I287" s="124">
        <f t="shared" si="14"/>
        <v>0</v>
      </c>
      <c r="J287" s="21"/>
      <c r="K287" s="24"/>
    </row>
    <row r="288" spans="1:11" ht="15.75" customHeight="1" x14ac:dyDescent="0.25">
      <c r="A288" s="25"/>
      <c r="B288" s="26" t="s">
        <v>407</v>
      </c>
      <c r="C288" s="3"/>
      <c r="D288" s="21"/>
      <c r="E288" s="21"/>
      <c r="F288" s="3" t="s">
        <v>78</v>
      </c>
      <c r="G288" s="3">
        <v>40</v>
      </c>
      <c r="H288" s="23"/>
      <c r="I288" s="124">
        <f t="shared" si="14"/>
        <v>0</v>
      </c>
      <c r="J288" s="21"/>
      <c r="K288" s="24"/>
    </row>
    <row r="289" spans="1:11" ht="15.75" customHeight="1" x14ac:dyDescent="0.25">
      <c r="A289" s="25"/>
      <c r="B289" s="26" t="s">
        <v>408</v>
      </c>
      <c r="C289" s="3"/>
      <c r="D289" s="21"/>
      <c r="E289" s="21"/>
      <c r="F289" s="3" t="s">
        <v>78</v>
      </c>
      <c r="G289" s="3">
        <v>25</v>
      </c>
      <c r="H289" s="23"/>
      <c r="I289" s="124">
        <f t="shared" si="14"/>
        <v>0</v>
      </c>
      <c r="J289" s="21"/>
      <c r="K289" s="24"/>
    </row>
    <row r="290" spans="1:11" ht="15.75" customHeight="1" x14ac:dyDescent="0.25">
      <c r="A290" s="25"/>
      <c r="B290" s="26" t="s">
        <v>409</v>
      </c>
      <c r="C290" s="3"/>
      <c r="D290" s="21"/>
      <c r="E290" s="21"/>
      <c r="F290" s="3" t="s">
        <v>78</v>
      </c>
      <c r="G290" s="3">
        <v>40</v>
      </c>
      <c r="H290" s="23"/>
      <c r="I290" s="124">
        <f t="shared" si="14"/>
        <v>0</v>
      </c>
      <c r="J290" s="21"/>
      <c r="K290" s="24"/>
    </row>
    <row r="291" spans="1:11" ht="15.75" customHeight="1" x14ac:dyDescent="0.25">
      <c r="A291" s="25"/>
      <c r="B291" s="26" t="s">
        <v>410</v>
      </c>
      <c r="C291" s="3"/>
      <c r="D291" s="21"/>
      <c r="E291" s="21"/>
      <c r="F291" s="3" t="s">
        <v>78</v>
      </c>
      <c r="G291" s="3">
        <v>30</v>
      </c>
      <c r="H291" s="23"/>
      <c r="I291" s="124">
        <f t="shared" si="14"/>
        <v>0</v>
      </c>
      <c r="J291" s="21"/>
      <c r="K291" s="24"/>
    </row>
    <row r="292" spans="1:11" ht="15.75" customHeight="1" x14ac:dyDescent="0.25">
      <c r="A292" s="25"/>
      <c r="B292" s="26" t="s">
        <v>411</v>
      </c>
      <c r="C292" s="3" t="s">
        <v>381</v>
      </c>
      <c r="D292" s="21"/>
      <c r="E292" s="21"/>
      <c r="F292" s="3" t="s">
        <v>78</v>
      </c>
      <c r="G292" s="3">
        <v>50</v>
      </c>
      <c r="H292" s="23"/>
      <c r="I292" s="124">
        <f t="shared" si="14"/>
        <v>0</v>
      </c>
      <c r="J292" s="21"/>
      <c r="K292" s="24"/>
    </row>
    <row r="293" spans="1:11" ht="15.75" customHeight="1" x14ac:dyDescent="0.25">
      <c r="A293" s="25"/>
      <c r="B293" s="26" t="s">
        <v>412</v>
      </c>
      <c r="C293" s="3" t="s">
        <v>381</v>
      </c>
      <c r="D293" s="21"/>
      <c r="E293" s="21"/>
      <c r="F293" s="3" t="s">
        <v>78</v>
      </c>
      <c r="G293" s="3">
        <v>55</v>
      </c>
      <c r="H293" s="23"/>
      <c r="I293" s="124">
        <f t="shared" ref="I293:I312" si="15">H293*G293</f>
        <v>0</v>
      </c>
      <c r="J293" s="21"/>
      <c r="K293" s="24"/>
    </row>
    <row r="294" spans="1:11" ht="15.75" customHeight="1" x14ac:dyDescent="0.25">
      <c r="A294" s="25"/>
      <c r="B294" s="26" t="s">
        <v>413</v>
      </c>
      <c r="C294" s="3" t="s">
        <v>381</v>
      </c>
      <c r="D294" s="21"/>
      <c r="E294" s="21"/>
      <c r="F294" s="3" t="s">
        <v>78</v>
      </c>
      <c r="G294" s="3">
        <v>25</v>
      </c>
      <c r="H294" s="23"/>
      <c r="I294" s="124">
        <f t="shared" si="15"/>
        <v>0</v>
      </c>
      <c r="J294" s="21"/>
      <c r="K294" s="24"/>
    </row>
    <row r="295" spans="1:11" ht="15.75" customHeight="1" x14ac:dyDescent="0.25">
      <c r="A295" s="25"/>
      <c r="B295" s="26" t="s">
        <v>414</v>
      </c>
      <c r="C295" s="3" t="s">
        <v>381</v>
      </c>
      <c r="D295" s="21"/>
      <c r="E295" s="21"/>
      <c r="F295" s="3" t="s">
        <v>78</v>
      </c>
      <c r="G295" s="3">
        <v>35</v>
      </c>
      <c r="H295" s="23"/>
      <c r="I295" s="124">
        <f t="shared" si="15"/>
        <v>0</v>
      </c>
      <c r="J295" s="21"/>
      <c r="K295" s="24"/>
    </row>
    <row r="296" spans="1:11" ht="15.75" customHeight="1" x14ac:dyDescent="0.25">
      <c r="A296" s="25"/>
      <c r="B296" s="26" t="s">
        <v>415</v>
      </c>
      <c r="C296" s="3" t="s">
        <v>381</v>
      </c>
      <c r="D296" s="21"/>
      <c r="E296" s="21"/>
      <c r="F296" s="3" t="s">
        <v>78</v>
      </c>
      <c r="G296" s="3">
        <v>35</v>
      </c>
      <c r="H296" s="23"/>
      <c r="I296" s="124">
        <f t="shared" si="15"/>
        <v>0</v>
      </c>
      <c r="J296" s="21"/>
      <c r="K296" s="24"/>
    </row>
    <row r="297" spans="1:11" ht="15.75" customHeight="1" x14ac:dyDescent="0.25">
      <c r="A297" s="25"/>
      <c r="B297" s="26" t="s">
        <v>416</v>
      </c>
      <c r="C297" s="3" t="s">
        <v>381</v>
      </c>
      <c r="D297" s="21"/>
      <c r="E297" s="21"/>
      <c r="F297" s="3" t="s">
        <v>78</v>
      </c>
      <c r="G297" s="3">
        <v>40</v>
      </c>
      <c r="H297" s="23"/>
      <c r="I297" s="124">
        <f t="shared" si="15"/>
        <v>0</v>
      </c>
      <c r="J297" s="21"/>
      <c r="K297" s="24"/>
    </row>
    <row r="298" spans="1:11" ht="15.75" customHeight="1" x14ac:dyDescent="0.25">
      <c r="A298" s="25"/>
      <c r="B298" s="26" t="s">
        <v>417</v>
      </c>
      <c r="C298" s="3" t="s">
        <v>381</v>
      </c>
      <c r="D298" s="21"/>
      <c r="E298" s="21"/>
      <c r="F298" s="3" t="s">
        <v>78</v>
      </c>
      <c r="G298" s="3">
        <v>7</v>
      </c>
      <c r="H298" s="23"/>
      <c r="I298" s="124">
        <f t="shared" si="15"/>
        <v>0</v>
      </c>
      <c r="J298" s="21"/>
      <c r="K298" s="24"/>
    </row>
    <row r="299" spans="1:11" ht="15.75" customHeight="1" x14ac:dyDescent="0.25">
      <c r="A299" s="25"/>
      <c r="B299" s="26" t="s">
        <v>418</v>
      </c>
      <c r="C299" s="3" t="s">
        <v>381</v>
      </c>
      <c r="D299" s="21"/>
      <c r="E299" s="21"/>
      <c r="F299" s="3" t="s">
        <v>78</v>
      </c>
      <c r="G299" s="3">
        <v>15</v>
      </c>
      <c r="H299" s="23"/>
      <c r="I299" s="124">
        <f t="shared" si="15"/>
        <v>0</v>
      </c>
      <c r="J299" s="21"/>
      <c r="K299" s="24"/>
    </row>
    <row r="300" spans="1:11" ht="15.75" customHeight="1" x14ac:dyDescent="0.25">
      <c r="A300" s="25"/>
      <c r="B300" s="26" t="s">
        <v>419</v>
      </c>
      <c r="C300" s="3" t="s">
        <v>381</v>
      </c>
      <c r="D300" s="21"/>
      <c r="E300" s="21"/>
      <c r="F300" s="3" t="s">
        <v>78</v>
      </c>
      <c r="G300" s="3">
        <v>30</v>
      </c>
      <c r="H300" s="23"/>
      <c r="I300" s="124">
        <f t="shared" si="15"/>
        <v>0</v>
      </c>
      <c r="J300" s="21"/>
      <c r="K300" s="24"/>
    </row>
    <row r="301" spans="1:11" ht="15.75" customHeight="1" x14ac:dyDescent="0.25">
      <c r="A301" s="25"/>
      <c r="B301" s="26" t="s">
        <v>420</v>
      </c>
      <c r="C301" s="3"/>
      <c r="D301" s="21"/>
      <c r="E301" s="21"/>
      <c r="F301" s="3" t="s">
        <v>78</v>
      </c>
      <c r="G301" s="3">
        <v>50</v>
      </c>
      <c r="H301" s="23"/>
      <c r="I301" s="124">
        <f t="shared" si="15"/>
        <v>0</v>
      </c>
      <c r="J301" s="21"/>
      <c r="K301" s="24"/>
    </row>
    <row r="302" spans="1:11" ht="15.75" customHeight="1" x14ac:dyDescent="0.25">
      <c r="A302" s="25"/>
      <c r="B302" s="26" t="s">
        <v>421</v>
      </c>
      <c r="C302" s="3"/>
      <c r="D302" s="21"/>
      <c r="E302" s="21"/>
      <c r="F302" s="3" t="s">
        <v>78</v>
      </c>
      <c r="G302" s="3">
        <v>20</v>
      </c>
      <c r="H302" s="23"/>
      <c r="I302" s="124">
        <f t="shared" si="15"/>
        <v>0</v>
      </c>
      <c r="J302" s="21"/>
      <c r="K302" s="24"/>
    </row>
    <row r="303" spans="1:11" ht="15.75" customHeight="1" x14ac:dyDescent="0.25">
      <c r="A303" s="25"/>
      <c r="B303" s="26" t="s">
        <v>422</v>
      </c>
      <c r="C303" s="3"/>
      <c r="D303" s="21"/>
      <c r="E303" s="21"/>
      <c r="F303" s="3" t="s">
        <v>78</v>
      </c>
      <c r="G303" s="3">
        <v>15</v>
      </c>
      <c r="H303" s="23"/>
      <c r="I303" s="124">
        <f t="shared" si="15"/>
        <v>0</v>
      </c>
      <c r="J303" s="21"/>
      <c r="K303" s="24"/>
    </row>
    <row r="304" spans="1:11" ht="15.75" customHeight="1" x14ac:dyDescent="0.25">
      <c r="A304" s="25"/>
      <c r="B304" s="26" t="s">
        <v>423</v>
      </c>
      <c r="C304" s="3"/>
      <c r="D304" s="21"/>
      <c r="E304" s="21"/>
      <c r="F304" s="3" t="s">
        <v>78</v>
      </c>
      <c r="G304" s="3">
        <v>20</v>
      </c>
      <c r="H304" s="23"/>
      <c r="I304" s="124">
        <f t="shared" si="15"/>
        <v>0</v>
      </c>
      <c r="J304" s="21"/>
      <c r="K304" s="24"/>
    </row>
    <row r="305" spans="1:11" ht="15.75" customHeight="1" x14ac:dyDescent="0.25">
      <c r="A305" s="25"/>
      <c r="B305" s="26" t="s">
        <v>424</v>
      </c>
      <c r="C305" s="3"/>
      <c r="D305" s="21"/>
      <c r="E305" s="21"/>
      <c r="F305" s="3" t="s">
        <v>78</v>
      </c>
      <c r="G305" s="3">
        <v>10</v>
      </c>
      <c r="H305" s="23"/>
      <c r="I305" s="124">
        <f t="shared" si="15"/>
        <v>0</v>
      </c>
      <c r="J305" s="21"/>
      <c r="K305" s="24"/>
    </row>
    <row r="306" spans="1:11" ht="15.75" customHeight="1" x14ac:dyDescent="0.25">
      <c r="A306" s="25"/>
      <c r="B306" s="26" t="s">
        <v>425</v>
      </c>
      <c r="C306" s="3"/>
      <c r="D306" s="21"/>
      <c r="E306" s="21"/>
      <c r="F306" s="3" t="s">
        <v>78</v>
      </c>
      <c r="G306" s="3">
        <v>8</v>
      </c>
      <c r="H306" s="23"/>
      <c r="I306" s="124">
        <f t="shared" si="15"/>
        <v>0</v>
      </c>
      <c r="J306" s="21"/>
      <c r="K306" s="24"/>
    </row>
    <row r="307" spans="1:11" ht="15.75" customHeight="1" x14ac:dyDescent="0.25">
      <c r="A307" s="25"/>
      <c r="B307" s="26" t="s">
        <v>426</v>
      </c>
      <c r="C307" s="3"/>
      <c r="D307" s="21"/>
      <c r="E307" s="21"/>
      <c r="F307" s="3" t="s">
        <v>78</v>
      </c>
      <c r="G307" s="3">
        <v>10</v>
      </c>
      <c r="H307" s="23"/>
      <c r="I307" s="124">
        <f t="shared" si="15"/>
        <v>0</v>
      </c>
      <c r="J307" s="21"/>
      <c r="K307" s="24"/>
    </row>
    <row r="308" spans="1:11" ht="15.75" customHeight="1" x14ac:dyDescent="0.25">
      <c r="A308" s="25"/>
      <c r="B308" s="26" t="s">
        <v>427</v>
      </c>
      <c r="C308" s="3"/>
      <c r="D308" s="21"/>
      <c r="E308" s="21"/>
      <c r="F308" s="3" t="s">
        <v>78</v>
      </c>
      <c r="G308" s="3">
        <v>8</v>
      </c>
      <c r="H308" s="23"/>
      <c r="I308" s="124">
        <f t="shared" si="15"/>
        <v>0</v>
      </c>
      <c r="J308" s="21"/>
      <c r="K308" s="24"/>
    </row>
    <row r="309" spans="1:11" ht="34.5" customHeight="1" x14ac:dyDescent="0.25">
      <c r="A309" s="25"/>
      <c r="B309" s="26" t="s">
        <v>427</v>
      </c>
      <c r="C309" s="3"/>
      <c r="D309" s="21"/>
      <c r="E309" s="21"/>
      <c r="F309" s="3" t="s">
        <v>78</v>
      </c>
      <c r="G309" s="3">
        <v>8</v>
      </c>
      <c r="H309" s="23"/>
      <c r="I309" s="124">
        <f t="shared" si="15"/>
        <v>0</v>
      </c>
      <c r="J309" s="21"/>
      <c r="K309" s="24" t="s">
        <v>428</v>
      </c>
    </row>
    <row r="310" spans="1:11" ht="15.75" customHeight="1" x14ac:dyDescent="0.25">
      <c r="A310" s="25"/>
      <c r="B310" s="26" t="s">
        <v>429</v>
      </c>
      <c r="C310" s="3"/>
      <c r="D310" s="21"/>
      <c r="E310" s="21"/>
      <c r="F310" s="3" t="s">
        <v>78</v>
      </c>
      <c r="G310" s="3">
        <v>85</v>
      </c>
      <c r="H310" s="23"/>
      <c r="I310" s="124">
        <f t="shared" si="15"/>
        <v>0</v>
      </c>
      <c r="J310" s="21"/>
      <c r="K310" s="24"/>
    </row>
    <row r="311" spans="1:11" ht="15.75" customHeight="1" x14ac:dyDescent="0.25">
      <c r="A311" s="25"/>
      <c r="B311" s="26" t="s">
        <v>430</v>
      </c>
      <c r="C311" s="3"/>
      <c r="D311" s="21"/>
      <c r="E311" s="21"/>
      <c r="F311" s="3" t="s">
        <v>78</v>
      </c>
      <c r="G311" s="3">
        <v>14</v>
      </c>
      <c r="H311" s="23"/>
      <c r="I311" s="124">
        <f t="shared" si="15"/>
        <v>0</v>
      </c>
      <c r="J311" s="21"/>
      <c r="K311" s="24"/>
    </row>
    <row r="312" spans="1:11" ht="15.75" customHeight="1" x14ac:dyDescent="0.25">
      <c r="A312" s="25"/>
      <c r="B312" s="26" t="s">
        <v>431</v>
      </c>
      <c r="C312" s="3"/>
      <c r="D312" s="21"/>
      <c r="E312" s="21"/>
      <c r="F312" s="3" t="s">
        <v>78</v>
      </c>
      <c r="G312" s="3">
        <v>8</v>
      </c>
      <c r="H312" s="23"/>
      <c r="I312" s="124">
        <f t="shared" si="15"/>
        <v>0</v>
      </c>
      <c r="J312" s="21"/>
      <c r="K312" s="24"/>
    </row>
    <row r="313" spans="1:11" ht="15.75" customHeight="1" x14ac:dyDescent="0.25">
      <c r="A313" s="19" t="s">
        <v>432</v>
      </c>
      <c r="B313" s="20" t="s">
        <v>433</v>
      </c>
      <c r="C313" s="21"/>
      <c r="D313" s="21"/>
      <c r="E313" s="21"/>
      <c r="F313" s="22"/>
      <c r="G313" s="21"/>
      <c r="H313" s="23"/>
      <c r="I313" s="124"/>
      <c r="J313" s="21"/>
      <c r="K313" s="24"/>
    </row>
    <row r="314" spans="1:11" ht="15.75" customHeight="1" x14ac:dyDescent="0.25">
      <c r="A314" s="25"/>
      <c r="B314" s="26" t="s">
        <v>434</v>
      </c>
      <c r="C314" s="3" t="s">
        <v>435</v>
      </c>
      <c r="D314" s="21"/>
      <c r="E314" s="21"/>
      <c r="F314" s="3" t="s">
        <v>78</v>
      </c>
      <c r="G314" s="3">
        <v>1</v>
      </c>
      <c r="H314" s="23">
        <v>2705149.9</v>
      </c>
      <c r="I314" s="124">
        <f t="shared" ref="I314:I332" si="16">H314*G314</f>
        <v>2705149.9</v>
      </c>
      <c r="J314" s="21"/>
      <c r="K314" s="24"/>
    </row>
    <row r="315" spans="1:11" ht="15.75" customHeight="1" x14ac:dyDescent="0.25">
      <c r="A315" s="25"/>
      <c r="B315" s="26" t="s">
        <v>436</v>
      </c>
      <c r="C315" s="3" t="s">
        <v>437</v>
      </c>
      <c r="D315" s="21"/>
      <c r="E315" s="21"/>
      <c r="F315" s="3" t="s">
        <v>89</v>
      </c>
      <c r="G315" s="3">
        <v>257</v>
      </c>
      <c r="H315" s="23"/>
      <c r="I315" s="124">
        <f t="shared" si="16"/>
        <v>0</v>
      </c>
      <c r="J315" s="21"/>
      <c r="K315" s="24"/>
    </row>
    <row r="316" spans="1:11" ht="15.75" customHeight="1" x14ac:dyDescent="0.25">
      <c r="A316" s="25"/>
      <c r="B316" s="26" t="s">
        <v>438</v>
      </c>
      <c r="C316" s="3" t="s">
        <v>437</v>
      </c>
      <c r="D316" s="21"/>
      <c r="E316" s="21"/>
      <c r="F316" s="3" t="s">
        <v>89</v>
      </c>
      <c r="G316" s="3">
        <v>30</v>
      </c>
      <c r="H316" s="23"/>
      <c r="I316" s="124">
        <f t="shared" si="16"/>
        <v>0</v>
      </c>
      <c r="J316" s="21"/>
      <c r="K316" s="24"/>
    </row>
    <row r="317" spans="1:11" ht="15.75" customHeight="1" x14ac:dyDescent="0.25">
      <c r="A317" s="25"/>
      <c r="B317" s="26" t="s">
        <v>439</v>
      </c>
      <c r="C317" s="3" t="s">
        <v>437</v>
      </c>
      <c r="D317" s="21"/>
      <c r="E317" s="21"/>
      <c r="F317" s="3" t="s">
        <v>89</v>
      </c>
      <c r="G317" s="3">
        <v>465</v>
      </c>
      <c r="H317" s="23"/>
      <c r="I317" s="124">
        <f t="shared" si="16"/>
        <v>0</v>
      </c>
      <c r="J317" s="21"/>
      <c r="K317" s="24"/>
    </row>
    <row r="318" spans="1:11" ht="15.75" customHeight="1" x14ac:dyDescent="0.25">
      <c r="A318" s="25"/>
      <c r="B318" s="26" t="s">
        <v>440</v>
      </c>
      <c r="C318" s="3"/>
      <c r="D318" s="21"/>
      <c r="E318" s="21"/>
      <c r="F318" s="3" t="s">
        <v>78</v>
      </c>
      <c r="G318" s="3">
        <v>48</v>
      </c>
      <c r="H318" s="23"/>
      <c r="I318" s="124">
        <f t="shared" si="16"/>
        <v>0</v>
      </c>
      <c r="J318" s="21"/>
      <c r="K318" s="24"/>
    </row>
    <row r="319" spans="1:11" ht="28.5" customHeight="1" x14ac:dyDescent="0.25">
      <c r="A319" s="25"/>
      <c r="B319" s="26" t="s">
        <v>441</v>
      </c>
      <c r="C319" s="3"/>
      <c r="D319" s="21"/>
      <c r="E319" s="21"/>
      <c r="F319" s="3" t="s">
        <v>78</v>
      </c>
      <c r="G319" s="3">
        <v>48</v>
      </c>
      <c r="H319" s="23"/>
      <c r="I319" s="124">
        <f t="shared" si="16"/>
        <v>0</v>
      </c>
      <c r="J319" s="21"/>
      <c r="K319" s="24"/>
    </row>
    <row r="320" spans="1:11" ht="15.75" customHeight="1" x14ac:dyDescent="0.25">
      <c r="A320" s="25"/>
      <c r="B320" s="26" t="s">
        <v>442</v>
      </c>
      <c r="C320" s="3"/>
      <c r="D320" s="21"/>
      <c r="E320" s="21"/>
      <c r="F320" s="3" t="s">
        <v>78</v>
      </c>
      <c r="G320" s="3">
        <v>48</v>
      </c>
      <c r="H320" s="23"/>
      <c r="I320" s="124">
        <f t="shared" si="16"/>
        <v>0</v>
      </c>
      <c r="J320" s="21"/>
      <c r="K320" s="24"/>
    </row>
    <row r="321" spans="1:11" ht="28.5" customHeight="1" x14ac:dyDescent="0.25">
      <c r="A321" s="25"/>
      <c r="B321" s="26" t="s">
        <v>443</v>
      </c>
      <c r="C321" s="3"/>
      <c r="D321" s="21"/>
      <c r="E321" s="21"/>
      <c r="F321" s="3" t="s">
        <v>78</v>
      </c>
      <c r="G321" s="3">
        <v>48</v>
      </c>
      <c r="H321" s="23"/>
      <c r="I321" s="124">
        <f t="shared" si="16"/>
        <v>0</v>
      </c>
      <c r="J321" s="21"/>
      <c r="K321" s="24"/>
    </row>
    <row r="322" spans="1:11" ht="15.75" customHeight="1" x14ac:dyDescent="0.25">
      <c r="A322" s="25"/>
      <c r="B322" s="26" t="s">
        <v>444</v>
      </c>
      <c r="C322" s="3"/>
      <c r="D322" s="21"/>
      <c r="E322" s="21"/>
      <c r="F322" s="3" t="s">
        <v>78</v>
      </c>
      <c r="G322" s="3">
        <v>18</v>
      </c>
      <c r="H322" s="23"/>
      <c r="I322" s="124">
        <f t="shared" si="16"/>
        <v>0</v>
      </c>
      <c r="J322" s="21"/>
      <c r="K322" s="24"/>
    </row>
    <row r="323" spans="1:11" ht="15.75" customHeight="1" x14ac:dyDescent="0.25">
      <c r="A323" s="25"/>
      <c r="B323" s="26" t="s">
        <v>445</v>
      </c>
      <c r="C323" s="3"/>
      <c r="D323" s="21"/>
      <c r="E323" s="21"/>
      <c r="F323" s="3" t="s">
        <v>78</v>
      </c>
      <c r="G323" s="3">
        <v>2</v>
      </c>
      <c r="H323" s="23"/>
      <c r="I323" s="124">
        <f t="shared" si="16"/>
        <v>0</v>
      </c>
      <c r="J323" s="21"/>
      <c r="K323" s="24"/>
    </row>
    <row r="324" spans="1:11" ht="15.75" customHeight="1" x14ac:dyDescent="0.25">
      <c r="A324" s="25"/>
      <c r="B324" s="26" t="s">
        <v>446</v>
      </c>
      <c r="C324" s="3"/>
      <c r="D324" s="21"/>
      <c r="E324" s="21"/>
      <c r="F324" s="3" t="s">
        <v>78</v>
      </c>
      <c r="G324" s="3">
        <v>15</v>
      </c>
      <c r="H324" s="23"/>
      <c r="I324" s="124">
        <f t="shared" si="16"/>
        <v>0</v>
      </c>
      <c r="J324" s="21"/>
      <c r="K324" s="24"/>
    </row>
    <row r="325" spans="1:11" ht="15.75" customHeight="1" x14ac:dyDescent="0.25">
      <c r="A325" s="25"/>
      <c r="B325" s="26" t="s">
        <v>447</v>
      </c>
      <c r="C325" s="3" t="s">
        <v>448</v>
      </c>
      <c r="D325" s="21"/>
      <c r="E325" s="21"/>
      <c r="F325" s="3" t="s">
        <v>158</v>
      </c>
      <c r="G325" s="3">
        <v>400</v>
      </c>
      <c r="H325" s="23"/>
      <c r="I325" s="124">
        <f t="shared" si="16"/>
        <v>0</v>
      </c>
      <c r="J325" s="21"/>
      <c r="K325" s="24" t="s">
        <v>449</v>
      </c>
    </row>
    <row r="326" spans="1:11" ht="15.75" customHeight="1" x14ac:dyDescent="0.25">
      <c r="A326" s="25"/>
      <c r="B326" s="26" t="s">
        <v>450</v>
      </c>
      <c r="C326" s="3" t="s">
        <v>451</v>
      </c>
      <c r="D326" s="21"/>
      <c r="E326" s="21"/>
      <c r="F326" s="3" t="s">
        <v>158</v>
      </c>
      <c r="G326" s="3">
        <v>800</v>
      </c>
      <c r="H326" s="23"/>
      <c r="I326" s="124">
        <f t="shared" si="16"/>
        <v>0</v>
      </c>
      <c r="J326" s="21"/>
      <c r="K326" s="24" t="s">
        <v>449</v>
      </c>
    </row>
    <row r="327" spans="1:11" ht="15.75" customHeight="1" x14ac:dyDescent="0.25">
      <c r="A327" s="25"/>
      <c r="B327" s="26" t="s">
        <v>452</v>
      </c>
      <c r="C327" s="3"/>
      <c r="D327" s="21"/>
      <c r="E327" s="21"/>
      <c r="F327" s="3" t="s">
        <v>78</v>
      </c>
      <c r="G327" s="3">
        <v>60</v>
      </c>
      <c r="H327" s="23"/>
      <c r="I327" s="124">
        <f t="shared" si="16"/>
        <v>0</v>
      </c>
      <c r="J327" s="21"/>
      <c r="K327" s="24"/>
    </row>
    <row r="328" spans="1:11" ht="15.75" customHeight="1" x14ac:dyDescent="0.25">
      <c r="A328" s="25"/>
      <c r="B328" s="26" t="s">
        <v>453</v>
      </c>
      <c r="C328" s="3"/>
      <c r="D328" s="21"/>
      <c r="E328" s="21"/>
      <c r="F328" s="3" t="s">
        <v>78</v>
      </c>
      <c r="G328" s="3">
        <v>10</v>
      </c>
      <c r="H328" s="23"/>
      <c r="I328" s="124">
        <f t="shared" si="16"/>
        <v>0</v>
      </c>
      <c r="J328" s="21"/>
      <c r="K328" s="24"/>
    </row>
    <row r="329" spans="1:11" ht="15.75" customHeight="1" x14ac:dyDescent="0.25">
      <c r="A329" s="25"/>
      <c r="B329" s="26" t="s">
        <v>454</v>
      </c>
      <c r="C329" s="3"/>
      <c r="D329" s="21"/>
      <c r="E329" s="21"/>
      <c r="F329" s="3" t="s">
        <v>78</v>
      </c>
      <c r="G329" s="3">
        <v>150</v>
      </c>
      <c r="H329" s="23"/>
      <c r="I329" s="124">
        <f t="shared" si="16"/>
        <v>0</v>
      </c>
      <c r="J329" s="21"/>
      <c r="K329" s="24"/>
    </row>
    <row r="330" spans="1:11" ht="15.75" customHeight="1" x14ac:dyDescent="0.25">
      <c r="A330" s="25"/>
      <c r="B330" s="26" t="s">
        <v>455</v>
      </c>
      <c r="C330" s="3" t="s">
        <v>456</v>
      </c>
      <c r="D330" s="21"/>
      <c r="E330" s="21"/>
      <c r="F330" s="3" t="s">
        <v>78</v>
      </c>
      <c r="G330" s="3">
        <v>75</v>
      </c>
      <c r="H330" s="23"/>
      <c r="I330" s="124">
        <f t="shared" si="16"/>
        <v>0</v>
      </c>
      <c r="J330" s="21"/>
      <c r="K330" s="24"/>
    </row>
    <row r="331" spans="1:11" ht="15.75" customHeight="1" x14ac:dyDescent="0.25">
      <c r="A331" s="25"/>
      <c r="B331" s="26" t="s">
        <v>457</v>
      </c>
      <c r="C331" s="3" t="s">
        <v>456</v>
      </c>
      <c r="D331" s="21"/>
      <c r="E331" s="21"/>
      <c r="F331" s="3" t="s">
        <v>78</v>
      </c>
      <c r="G331" s="3">
        <v>8</v>
      </c>
      <c r="H331" s="23"/>
      <c r="I331" s="124">
        <f t="shared" si="16"/>
        <v>0</v>
      </c>
      <c r="J331" s="21"/>
      <c r="K331" s="24"/>
    </row>
    <row r="332" spans="1:11" ht="15.75" customHeight="1" x14ac:dyDescent="0.25">
      <c r="A332" s="25"/>
      <c r="B332" s="26" t="s">
        <v>458</v>
      </c>
      <c r="C332" s="3" t="s">
        <v>456</v>
      </c>
      <c r="D332" s="21"/>
      <c r="E332" s="21"/>
      <c r="F332" s="3" t="s">
        <v>78</v>
      </c>
      <c r="G332" s="3">
        <v>100</v>
      </c>
      <c r="H332" s="23"/>
      <c r="I332" s="124">
        <f t="shared" si="16"/>
        <v>0</v>
      </c>
      <c r="J332" s="21"/>
      <c r="K332" s="24"/>
    </row>
    <row r="333" spans="1:11" ht="15.75" customHeight="1" x14ac:dyDescent="0.25">
      <c r="A333" s="19" t="s">
        <v>459</v>
      </c>
      <c r="B333" s="20" t="s">
        <v>460</v>
      </c>
      <c r="C333" s="21"/>
      <c r="D333" s="21"/>
      <c r="E333" s="21"/>
      <c r="F333" s="22"/>
      <c r="G333" s="21"/>
      <c r="H333" s="23"/>
      <c r="I333" s="124"/>
      <c r="J333" s="21"/>
      <c r="K333" s="24"/>
    </row>
    <row r="334" spans="1:11" ht="15.75" customHeight="1" x14ac:dyDescent="0.25">
      <c r="A334" s="25"/>
      <c r="B334" s="26" t="s">
        <v>461</v>
      </c>
      <c r="C334" s="3" t="s">
        <v>381</v>
      </c>
      <c r="D334" s="21"/>
      <c r="E334" s="21"/>
      <c r="F334" s="3" t="s">
        <v>89</v>
      </c>
      <c r="G334" s="3">
        <v>101</v>
      </c>
      <c r="H334" s="23">
        <v>65.27</v>
      </c>
      <c r="I334" s="124">
        <f t="shared" ref="I334:I376" si="17">H334*G334</f>
        <v>6592.2699999999995</v>
      </c>
      <c r="J334" s="21"/>
      <c r="K334" s="24"/>
    </row>
    <row r="335" spans="1:11" ht="15.75" customHeight="1" x14ac:dyDescent="0.25">
      <c r="A335" s="25"/>
      <c r="B335" s="26" t="s">
        <v>462</v>
      </c>
      <c r="C335" s="3" t="s">
        <v>381</v>
      </c>
      <c r="D335" s="21"/>
      <c r="E335" s="21"/>
      <c r="F335" s="3" t="s">
        <v>89</v>
      </c>
      <c r="G335" s="3">
        <v>140</v>
      </c>
      <c r="H335" s="23">
        <v>96.38</v>
      </c>
      <c r="I335" s="124">
        <f t="shared" si="17"/>
        <v>13493.199999999999</v>
      </c>
      <c r="J335" s="21"/>
      <c r="K335" s="24"/>
    </row>
    <row r="336" spans="1:11" ht="15.75" customHeight="1" x14ac:dyDescent="0.25">
      <c r="A336" s="25"/>
      <c r="B336" s="26" t="s">
        <v>463</v>
      </c>
      <c r="C336" s="3" t="s">
        <v>381</v>
      </c>
      <c r="D336" s="21"/>
      <c r="E336" s="21"/>
      <c r="F336" s="3" t="s">
        <v>89</v>
      </c>
      <c r="G336" s="3">
        <v>42</v>
      </c>
      <c r="H336" s="23">
        <v>160.43</v>
      </c>
      <c r="I336" s="124">
        <f t="shared" si="17"/>
        <v>6738.06</v>
      </c>
      <c r="J336" s="21"/>
      <c r="K336" s="24" t="s">
        <v>464</v>
      </c>
    </row>
    <row r="337" spans="1:11" ht="15.75" customHeight="1" x14ac:dyDescent="0.25">
      <c r="A337" s="25"/>
      <c r="B337" s="26" t="s">
        <v>465</v>
      </c>
      <c r="C337" s="3" t="s">
        <v>381</v>
      </c>
      <c r="D337" s="21"/>
      <c r="E337" s="21"/>
      <c r="F337" s="3" t="s">
        <v>89</v>
      </c>
      <c r="G337" s="3">
        <v>33</v>
      </c>
      <c r="H337" s="23">
        <v>274.5</v>
      </c>
      <c r="I337" s="124">
        <f t="shared" si="17"/>
        <v>9058.5</v>
      </c>
      <c r="J337" s="21"/>
      <c r="K337" s="24"/>
    </row>
    <row r="338" spans="1:11" ht="15.75" customHeight="1" x14ac:dyDescent="0.25">
      <c r="A338" s="25"/>
      <c r="B338" s="26" t="s">
        <v>466</v>
      </c>
      <c r="C338" s="3" t="s">
        <v>381</v>
      </c>
      <c r="D338" s="21"/>
      <c r="E338" s="21"/>
      <c r="F338" s="3" t="s">
        <v>89</v>
      </c>
      <c r="G338" s="3">
        <v>33</v>
      </c>
      <c r="H338" s="23">
        <v>419.68</v>
      </c>
      <c r="I338" s="124">
        <f t="shared" si="17"/>
        <v>13849.44</v>
      </c>
      <c r="J338" s="21"/>
      <c r="K338" s="24"/>
    </row>
    <row r="339" spans="1:11" ht="15.75" customHeight="1" x14ac:dyDescent="0.25">
      <c r="A339" s="25"/>
      <c r="B339" s="26" t="s">
        <v>467</v>
      </c>
      <c r="C339" s="3" t="s">
        <v>381</v>
      </c>
      <c r="D339" s="21"/>
      <c r="E339" s="21"/>
      <c r="F339" s="3" t="s">
        <v>89</v>
      </c>
      <c r="G339" s="3">
        <v>58</v>
      </c>
      <c r="H339" s="23">
        <v>650.87</v>
      </c>
      <c r="I339" s="124">
        <f t="shared" si="17"/>
        <v>37750.46</v>
      </c>
      <c r="J339" s="21"/>
      <c r="K339" s="24" t="s">
        <v>6882</v>
      </c>
    </row>
    <row r="340" spans="1:11" ht="15.75" customHeight="1" x14ac:dyDescent="0.25">
      <c r="A340" s="25"/>
      <c r="B340" s="26" t="s">
        <v>468</v>
      </c>
      <c r="C340" s="3" t="s">
        <v>381</v>
      </c>
      <c r="D340" s="21"/>
      <c r="E340" s="21"/>
      <c r="F340" s="3" t="s">
        <v>89</v>
      </c>
      <c r="G340" s="3">
        <v>75</v>
      </c>
      <c r="H340" s="23">
        <v>925.37</v>
      </c>
      <c r="I340" s="124">
        <f t="shared" si="17"/>
        <v>69402.75</v>
      </c>
      <c r="J340" s="21"/>
      <c r="K340" s="24"/>
    </row>
    <row r="341" spans="1:11" ht="15.75" customHeight="1" x14ac:dyDescent="0.25">
      <c r="A341" s="25"/>
      <c r="B341" s="26" t="s">
        <v>469</v>
      </c>
      <c r="C341" s="3" t="s">
        <v>381</v>
      </c>
      <c r="D341" s="21"/>
      <c r="E341" s="21"/>
      <c r="F341" s="3" t="s">
        <v>89</v>
      </c>
      <c r="G341" s="3">
        <v>72</v>
      </c>
      <c r="H341" s="23">
        <v>3375.13</v>
      </c>
      <c r="I341" s="124">
        <f t="shared" si="17"/>
        <v>243009.36000000002</v>
      </c>
      <c r="J341" s="21"/>
      <c r="K341" s="24" t="s">
        <v>6883</v>
      </c>
    </row>
    <row r="342" spans="1:11" ht="15.75" customHeight="1" x14ac:dyDescent="0.25">
      <c r="A342" s="25"/>
      <c r="B342" s="26" t="s">
        <v>470</v>
      </c>
      <c r="C342" s="3" t="s">
        <v>381</v>
      </c>
      <c r="D342" s="21"/>
      <c r="E342" s="21"/>
      <c r="F342" s="3" t="s">
        <v>89</v>
      </c>
      <c r="G342" s="3">
        <v>102</v>
      </c>
      <c r="H342" s="23">
        <v>4365.16</v>
      </c>
      <c r="I342" s="124">
        <f t="shared" si="17"/>
        <v>445246.32</v>
      </c>
      <c r="J342" s="21"/>
      <c r="K342" s="24" t="s">
        <v>6883</v>
      </c>
    </row>
    <row r="343" spans="1:11" ht="15.75" customHeight="1" x14ac:dyDescent="0.25">
      <c r="A343" s="25"/>
      <c r="B343" s="26" t="s">
        <v>395</v>
      </c>
      <c r="C343" s="3"/>
      <c r="D343" s="21"/>
      <c r="E343" s="21"/>
      <c r="F343" s="3" t="s">
        <v>78</v>
      </c>
      <c r="G343" s="3">
        <v>2</v>
      </c>
      <c r="H343" s="23">
        <v>330.62</v>
      </c>
      <c r="I343" s="124">
        <f t="shared" si="17"/>
        <v>661.24</v>
      </c>
      <c r="J343" s="21"/>
      <c r="K343" s="24"/>
    </row>
    <row r="344" spans="1:11" ht="15.75" customHeight="1" x14ac:dyDescent="0.25">
      <c r="A344" s="25"/>
      <c r="B344" s="26" t="s">
        <v>396</v>
      </c>
      <c r="C344" s="3"/>
      <c r="D344" s="21"/>
      <c r="E344" s="21"/>
      <c r="F344" s="3" t="s">
        <v>78</v>
      </c>
      <c r="G344" s="3">
        <v>2</v>
      </c>
      <c r="H344" s="23">
        <v>356.85</v>
      </c>
      <c r="I344" s="124">
        <f t="shared" si="17"/>
        <v>713.7</v>
      </c>
      <c r="J344" s="21"/>
      <c r="K344" s="24" t="s">
        <v>464</v>
      </c>
    </row>
    <row r="345" spans="1:11" ht="15.75" customHeight="1" x14ac:dyDescent="0.25">
      <c r="A345" s="25"/>
      <c r="B345" s="26" t="s">
        <v>471</v>
      </c>
      <c r="C345" s="3"/>
      <c r="D345" s="21"/>
      <c r="E345" s="21"/>
      <c r="F345" s="3" t="s">
        <v>78</v>
      </c>
      <c r="G345" s="3">
        <v>2</v>
      </c>
      <c r="H345" s="23">
        <v>383.69</v>
      </c>
      <c r="I345" s="124">
        <f t="shared" si="17"/>
        <v>767.38</v>
      </c>
      <c r="J345" s="21"/>
      <c r="K345" s="24"/>
    </row>
    <row r="346" spans="1:11" ht="15.75" customHeight="1" x14ac:dyDescent="0.25">
      <c r="A346" s="25"/>
      <c r="B346" s="26" t="s">
        <v>398</v>
      </c>
      <c r="C346" s="3"/>
      <c r="D346" s="21"/>
      <c r="E346" s="21"/>
      <c r="F346" s="3" t="s">
        <v>89</v>
      </c>
      <c r="G346" s="3">
        <v>70</v>
      </c>
      <c r="H346" s="23">
        <v>121.39</v>
      </c>
      <c r="I346" s="124">
        <f t="shared" si="17"/>
        <v>8497.2999999999993</v>
      </c>
      <c r="J346" s="21"/>
      <c r="K346" s="24"/>
    </row>
    <row r="347" spans="1:11" ht="15.75" customHeight="1" x14ac:dyDescent="0.25">
      <c r="A347" s="25"/>
      <c r="B347" s="26" t="s">
        <v>472</v>
      </c>
      <c r="C347" s="3"/>
      <c r="D347" s="21"/>
      <c r="E347" s="21"/>
      <c r="F347" s="3" t="s">
        <v>89</v>
      </c>
      <c r="G347" s="3">
        <v>85</v>
      </c>
      <c r="H347" s="23">
        <v>150.66999999999999</v>
      </c>
      <c r="I347" s="124">
        <f t="shared" si="17"/>
        <v>12806.949999999999</v>
      </c>
      <c r="J347" s="21"/>
      <c r="K347" s="24"/>
    </row>
    <row r="348" spans="1:11" ht="15.75" customHeight="1" x14ac:dyDescent="0.25">
      <c r="A348" s="25"/>
      <c r="B348" s="26" t="s">
        <v>400</v>
      </c>
      <c r="C348" s="3"/>
      <c r="D348" s="21"/>
      <c r="E348" s="21"/>
      <c r="F348" s="3" t="s">
        <v>89</v>
      </c>
      <c r="G348" s="3">
        <v>75</v>
      </c>
      <c r="H348" s="23">
        <v>307.44</v>
      </c>
      <c r="I348" s="124">
        <f t="shared" si="17"/>
        <v>23058</v>
      </c>
      <c r="J348" s="21"/>
      <c r="K348" s="24"/>
    </row>
    <row r="349" spans="1:11" ht="15.75" customHeight="1" x14ac:dyDescent="0.25">
      <c r="A349" s="25"/>
      <c r="B349" s="26" t="s">
        <v>401</v>
      </c>
      <c r="C349" s="3"/>
      <c r="D349" s="21"/>
      <c r="E349" s="21"/>
      <c r="F349" s="3" t="s">
        <v>89</v>
      </c>
      <c r="G349" s="3">
        <v>110</v>
      </c>
      <c r="H349" s="23"/>
      <c r="I349" s="124">
        <f t="shared" si="17"/>
        <v>0</v>
      </c>
      <c r="J349" s="21"/>
      <c r="K349" s="24"/>
    </row>
    <row r="350" spans="1:11" ht="15.75" customHeight="1" x14ac:dyDescent="0.25">
      <c r="A350" s="25"/>
      <c r="B350" s="26" t="s">
        <v>402</v>
      </c>
      <c r="C350" s="3"/>
      <c r="D350" s="21"/>
      <c r="E350" s="21"/>
      <c r="F350" s="3" t="s">
        <v>78</v>
      </c>
      <c r="G350" s="3">
        <v>60</v>
      </c>
      <c r="H350" s="23">
        <v>117.12</v>
      </c>
      <c r="I350" s="124">
        <f t="shared" si="17"/>
        <v>7027.2000000000007</v>
      </c>
      <c r="J350" s="21"/>
      <c r="K350" s="24"/>
    </row>
    <row r="351" spans="1:11" ht="15.75" customHeight="1" x14ac:dyDescent="0.25">
      <c r="A351" s="25"/>
      <c r="B351" s="26" t="s">
        <v>403</v>
      </c>
      <c r="C351" s="3"/>
      <c r="D351" s="21"/>
      <c r="E351" s="21"/>
      <c r="F351" s="3" t="s">
        <v>78</v>
      </c>
      <c r="G351" s="3">
        <v>60</v>
      </c>
      <c r="H351" s="23">
        <v>118.95</v>
      </c>
      <c r="I351" s="124">
        <f t="shared" si="17"/>
        <v>7137</v>
      </c>
      <c r="J351" s="21"/>
      <c r="K351" s="24"/>
    </row>
    <row r="352" spans="1:11" ht="15.75" customHeight="1" x14ac:dyDescent="0.25">
      <c r="A352" s="25"/>
      <c r="B352" s="26" t="s">
        <v>404</v>
      </c>
      <c r="C352" s="3"/>
      <c r="D352" s="21"/>
      <c r="E352" s="21"/>
      <c r="F352" s="3" t="s">
        <v>78</v>
      </c>
      <c r="G352" s="3">
        <v>18</v>
      </c>
      <c r="H352" s="23">
        <v>129.32</v>
      </c>
      <c r="I352" s="124">
        <f t="shared" si="17"/>
        <v>2327.7599999999998</v>
      </c>
      <c r="J352" s="21"/>
      <c r="K352" s="24"/>
    </row>
    <row r="353" spans="1:11" ht="15.75" customHeight="1" x14ac:dyDescent="0.25">
      <c r="A353" s="25"/>
      <c r="B353" s="26" t="s">
        <v>405</v>
      </c>
      <c r="C353" s="3"/>
      <c r="D353" s="21"/>
      <c r="E353" s="21"/>
      <c r="F353" s="3" t="s">
        <v>78</v>
      </c>
      <c r="G353" s="3">
        <v>13</v>
      </c>
      <c r="H353" s="23">
        <v>166.53</v>
      </c>
      <c r="I353" s="124">
        <f t="shared" si="17"/>
        <v>2164.89</v>
      </c>
      <c r="J353" s="21"/>
      <c r="K353" s="24"/>
    </row>
    <row r="354" spans="1:11" ht="15.75" customHeight="1" x14ac:dyDescent="0.25">
      <c r="A354" s="25"/>
      <c r="B354" s="26" t="s">
        <v>406</v>
      </c>
      <c r="C354" s="3"/>
      <c r="D354" s="21"/>
      <c r="E354" s="21"/>
      <c r="F354" s="3" t="s">
        <v>78</v>
      </c>
      <c r="G354" s="3">
        <v>15</v>
      </c>
      <c r="H354" s="23">
        <v>223.87</v>
      </c>
      <c r="I354" s="124">
        <f t="shared" si="17"/>
        <v>3358.05</v>
      </c>
      <c r="J354" s="21"/>
      <c r="K354" s="24"/>
    </row>
    <row r="355" spans="1:11" ht="15.75" customHeight="1" x14ac:dyDescent="0.25">
      <c r="A355" s="25"/>
      <c r="B355" s="26" t="s">
        <v>473</v>
      </c>
      <c r="C355" s="3"/>
      <c r="D355" s="21"/>
      <c r="E355" s="21"/>
      <c r="F355" s="3" t="s">
        <v>78</v>
      </c>
      <c r="G355" s="3">
        <v>18</v>
      </c>
      <c r="H355" s="23">
        <v>241.56</v>
      </c>
      <c r="I355" s="124">
        <f t="shared" si="17"/>
        <v>4348.08</v>
      </c>
      <c r="J355" s="21"/>
      <c r="K355" s="24"/>
    </row>
    <row r="356" spans="1:11" ht="15.75" customHeight="1" x14ac:dyDescent="0.25">
      <c r="A356" s="25"/>
      <c r="B356" s="26" t="s">
        <v>474</v>
      </c>
      <c r="C356" s="3"/>
      <c r="D356" s="21"/>
      <c r="E356" s="21"/>
      <c r="F356" s="3" t="s">
        <v>78</v>
      </c>
      <c r="G356" s="3">
        <v>23</v>
      </c>
      <c r="H356" s="23">
        <v>403.21</v>
      </c>
      <c r="I356" s="124">
        <f t="shared" si="17"/>
        <v>9273.83</v>
      </c>
      <c r="J356" s="21"/>
      <c r="K356" s="24"/>
    </row>
    <row r="357" spans="1:11" ht="15.75" customHeight="1" x14ac:dyDescent="0.25">
      <c r="A357" s="25"/>
      <c r="B357" s="26" t="s">
        <v>409</v>
      </c>
      <c r="C357" s="3"/>
      <c r="D357" s="21"/>
      <c r="E357" s="21"/>
      <c r="F357" s="3" t="s">
        <v>78</v>
      </c>
      <c r="G357" s="3">
        <v>29</v>
      </c>
      <c r="H357" s="23">
        <v>678.32</v>
      </c>
      <c r="I357" s="124">
        <f t="shared" si="17"/>
        <v>19671.280000000002</v>
      </c>
      <c r="J357" s="21"/>
      <c r="K357" s="24"/>
    </row>
    <row r="358" spans="1:11" ht="15.75" customHeight="1" x14ac:dyDescent="0.25">
      <c r="A358" s="25"/>
      <c r="B358" s="26" t="s">
        <v>410</v>
      </c>
      <c r="C358" s="3"/>
      <c r="D358" s="21"/>
      <c r="E358" s="21"/>
      <c r="F358" s="3" t="s">
        <v>78</v>
      </c>
      <c r="G358" s="3">
        <v>30</v>
      </c>
      <c r="H358" s="23">
        <v>735.66</v>
      </c>
      <c r="I358" s="124">
        <f t="shared" si="17"/>
        <v>22069.8</v>
      </c>
      <c r="J358" s="21"/>
      <c r="K358" s="24"/>
    </row>
    <row r="359" spans="1:11" ht="15.75" customHeight="1" x14ac:dyDescent="0.25">
      <c r="A359" s="25"/>
      <c r="B359" s="26" t="s">
        <v>475</v>
      </c>
      <c r="C359" s="3" t="s">
        <v>381</v>
      </c>
      <c r="D359" s="21"/>
      <c r="E359" s="21"/>
      <c r="F359" s="3" t="s">
        <v>78</v>
      </c>
      <c r="G359" s="3">
        <v>35</v>
      </c>
      <c r="H359" s="23">
        <v>6.71</v>
      </c>
      <c r="I359" s="124">
        <f t="shared" si="17"/>
        <v>234.85</v>
      </c>
      <c r="J359" s="21"/>
      <c r="K359" s="24"/>
    </row>
    <row r="360" spans="1:11" ht="15.75" customHeight="1" x14ac:dyDescent="0.25">
      <c r="A360" s="25"/>
      <c r="B360" s="26" t="s">
        <v>476</v>
      </c>
      <c r="C360" s="3" t="s">
        <v>381</v>
      </c>
      <c r="D360" s="21"/>
      <c r="E360" s="21"/>
      <c r="F360" s="3" t="s">
        <v>78</v>
      </c>
      <c r="G360" s="3">
        <v>40</v>
      </c>
      <c r="H360" s="23">
        <v>9.76</v>
      </c>
      <c r="I360" s="124">
        <f t="shared" si="17"/>
        <v>390.4</v>
      </c>
      <c r="J360" s="21"/>
      <c r="K360" s="24"/>
    </row>
    <row r="361" spans="1:11" ht="15.75" customHeight="1" x14ac:dyDescent="0.25">
      <c r="A361" s="25"/>
      <c r="B361" s="26" t="s">
        <v>477</v>
      </c>
      <c r="C361" s="3" t="s">
        <v>381</v>
      </c>
      <c r="D361" s="21"/>
      <c r="E361" s="21"/>
      <c r="F361" s="3" t="s">
        <v>78</v>
      </c>
      <c r="G361" s="3">
        <v>15</v>
      </c>
      <c r="H361" s="23">
        <v>20.74</v>
      </c>
      <c r="I361" s="124">
        <f t="shared" si="17"/>
        <v>311.09999999999997</v>
      </c>
      <c r="J361" s="21"/>
      <c r="K361" s="24"/>
    </row>
    <row r="362" spans="1:11" ht="15.75" customHeight="1" x14ac:dyDescent="0.25">
      <c r="A362" s="25"/>
      <c r="B362" s="26" t="s">
        <v>478</v>
      </c>
      <c r="C362" s="3" t="s">
        <v>381</v>
      </c>
      <c r="D362" s="21"/>
      <c r="E362" s="21"/>
      <c r="F362" s="3" t="s">
        <v>78</v>
      </c>
      <c r="G362" s="3">
        <v>15</v>
      </c>
      <c r="H362" s="23">
        <v>39.65</v>
      </c>
      <c r="I362" s="124">
        <f t="shared" si="17"/>
        <v>594.75</v>
      </c>
      <c r="J362" s="21"/>
      <c r="K362" s="24"/>
    </row>
    <row r="363" spans="1:11" ht="15.75" customHeight="1" x14ac:dyDescent="0.25">
      <c r="A363" s="25"/>
      <c r="B363" s="26" t="s">
        <v>479</v>
      </c>
      <c r="C363" s="3" t="s">
        <v>381</v>
      </c>
      <c r="D363" s="21"/>
      <c r="E363" s="21"/>
      <c r="F363" s="3" t="s">
        <v>78</v>
      </c>
      <c r="G363" s="3">
        <v>10</v>
      </c>
      <c r="H363" s="23">
        <v>64.66</v>
      </c>
      <c r="I363" s="124">
        <f t="shared" si="17"/>
        <v>646.59999999999991</v>
      </c>
      <c r="J363" s="21"/>
      <c r="K363" s="24"/>
    </row>
    <row r="364" spans="1:11" ht="15.75" customHeight="1" x14ac:dyDescent="0.25">
      <c r="A364" s="25"/>
      <c r="B364" s="26" t="s">
        <v>480</v>
      </c>
      <c r="C364" s="3" t="s">
        <v>381</v>
      </c>
      <c r="D364" s="21"/>
      <c r="E364" s="21"/>
      <c r="F364" s="3" t="s">
        <v>78</v>
      </c>
      <c r="G364" s="3">
        <v>10</v>
      </c>
      <c r="H364" s="23">
        <v>127.49</v>
      </c>
      <c r="I364" s="124">
        <f t="shared" si="17"/>
        <v>1274.8999999999999</v>
      </c>
      <c r="J364" s="21"/>
      <c r="K364" s="24"/>
    </row>
    <row r="365" spans="1:11" ht="15.75" customHeight="1" x14ac:dyDescent="0.25">
      <c r="A365" s="25"/>
      <c r="B365" s="26" t="s">
        <v>481</v>
      </c>
      <c r="C365" s="3" t="s">
        <v>381</v>
      </c>
      <c r="D365" s="21"/>
      <c r="E365" s="21"/>
      <c r="F365" s="3" t="s">
        <v>78</v>
      </c>
      <c r="G365" s="3">
        <v>12</v>
      </c>
      <c r="H365" s="23">
        <v>256.81</v>
      </c>
      <c r="I365" s="124">
        <f t="shared" si="17"/>
        <v>3081.7200000000003</v>
      </c>
      <c r="J365" s="21"/>
      <c r="K365" s="24"/>
    </row>
    <row r="366" spans="1:11" ht="15.75" customHeight="1" x14ac:dyDescent="0.25">
      <c r="A366" s="25"/>
      <c r="B366" s="26" t="s">
        <v>482</v>
      </c>
      <c r="C366" s="3" t="s">
        <v>381</v>
      </c>
      <c r="D366" s="21"/>
      <c r="E366" s="21"/>
      <c r="F366" s="3" t="s">
        <v>78</v>
      </c>
      <c r="G366" s="3">
        <v>21</v>
      </c>
      <c r="H366" s="23">
        <v>1415.81</v>
      </c>
      <c r="I366" s="124">
        <f t="shared" si="17"/>
        <v>29732.01</v>
      </c>
      <c r="J366" s="21"/>
      <c r="K366" s="24"/>
    </row>
    <row r="367" spans="1:11" ht="15.75" customHeight="1" x14ac:dyDescent="0.25">
      <c r="A367" s="25"/>
      <c r="B367" s="26" t="s">
        <v>483</v>
      </c>
      <c r="C367" s="3" t="s">
        <v>381</v>
      </c>
      <c r="D367" s="21"/>
      <c r="E367" s="21"/>
      <c r="F367" s="3" t="s">
        <v>78</v>
      </c>
      <c r="G367" s="3">
        <v>25</v>
      </c>
      <c r="H367" s="23">
        <v>1810.48</v>
      </c>
      <c r="I367" s="124">
        <f t="shared" si="17"/>
        <v>45262</v>
      </c>
      <c r="J367" s="21"/>
      <c r="K367" s="24"/>
    </row>
    <row r="368" spans="1:11" ht="15.75" customHeight="1" x14ac:dyDescent="0.25">
      <c r="A368" s="25"/>
      <c r="B368" s="26" t="s">
        <v>420</v>
      </c>
      <c r="C368" s="3"/>
      <c r="D368" s="21"/>
      <c r="E368" s="21"/>
      <c r="F368" s="3" t="s">
        <v>78</v>
      </c>
      <c r="G368" s="3">
        <v>20</v>
      </c>
      <c r="H368" s="23"/>
      <c r="I368" s="124">
        <f t="shared" si="17"/>
        <v>0</v>
      </c>
      <c r="J368" s="21"/>
      <c r="K368" s="24"/>
    </row>
    <row r="369" spans="1:11" ht="15.75" customHeight="1" x14ac:dyDescent="0.25">
      <c r="A369" s="25"/>
      <c r="B369" s="26" t="s">
        <v>421</v>
      </c>
      <c r="C369" s="3"/>
      <c r="D369" s="21"/>
      <c r="E369" s="21"/>
      <c r="F369" s="3" t="s">
        <v>78</v>
      </c>
      <c r="G369" s="3">
        <v>15</v>
      </c>
      <c r="H369" s="23">
        <v>170.8</v>
      </c>
      <c r="I369" s="124">
        <f t="shared" si="17"/>
        <v>2562</v>
      </c>
      <c r="J369" s="21"/>
      <c r="K369" s="24"/>
    </row>
    <row r="370" spans="1:11" ht="15.75" customHeight="1" x14ac:dyDescent="0.25">
      <c r="A370" s="25"/>
      <c r="B370" s="26" t="s">
        <v>422</v>
      </c>
      <c r="C370" s="3"/>
      <c r="D370" s="21"/>
      <c r="E370" s="21"/>
      <c r="F370" s="3" t="s">
        <v>78</v>
      </c>
      <c r="G370" s="3">
        <v>8</v>
      </c>
      <c r="H370" s="23">
        <v>267.18</v>
      </c>
      <c r="I370" s="124">
        <f t="shared" si="17"/>
        <v>2137.44</v>
      </c>
      <c r="J370" s="21"/>
      <c r="K370" s="24"/>
    </row>
    <row r="371" spans="1:11" ht="15.75" customHeight="1" x14ac:dyDescent="0.25">
      <c r="A371" s="25"/>
      <c r="B371" s="26" t="s">
        <v>423</v>
      </c>
      <c r="C371" s="3"/>
      <c r="D371" s="21"/>
      <c r="E371" s="21"/>
      <c r="F371" s="3" t="s">
        <v>78</v>
      </c>
      <c r="G371" s="3">
        <v>7</v>
      </c>
      <c r="H371" s="23">
        <v>432.49</v>
      </c>
      <c r="I371" s="124">
        <f t="shared" si="17"/>
        <v>3027.4300000000003</v>
      </c>
      <c r="J371" s="21"/>
      <c r="K371" s="24"/>
    </row>
    <row r="372" spans="1:11" ht="15.75" customHeight="1" x14ac:dyDescent="0.25">
      <c r="A372" s="25"/>
      <c r="B372" s="26" t="s">
        <v>424</v>
      </c>
      <c r="C372" s="3"/>
      <c r="D372" s="21"/>
      <c r="E372" s="21"/>
      <c r="F372" s="3" t="s">
        <v>78</v>
      </c>
      <c r="G372" s="3">
        <v>4</v>
      </c>
      <c r="H372" s="23">
        <v>771.65</v>
      </c>
      <c r="I372" s="124">
        <f t="shared" si="17"/>
        <v>3086.6</v>
      </c>
      <c r="J372" s="21"/>
      <c r="K372" s="24"/>
    </row>
    <row r="373" spans="1:11" ht="15.75" customHeight="1" x14ac:dyDescent="0.25">
      <c r="A373" s="25"/>
      <c r="B373" s="26" t="s">
        <v>425</v>
      </c>
      <c r="C373" s="3"/>
      <c r="D373" s="21"/>
      <c r="E373" s="21"/>
      <c r="F373" s="3" t="s">
        <v>78</v>
      </c>
      <c r="G373" s="3">
        <v>12</v>
      </c>
      <c r="H373" s="23">
        <v>1243.18</v>
      </c>
      <c r="I373" s="124">
        <f t="shared" si="17"/>
        <v>14918.16</v>
      </c>
      <c r="J373" s="21"/>
      <c r="K373" s="24"/>
    </row>
    <row r="374" spans="1:11" ht="15.75" customHeight="1" x14ac:dyDescent="0.25">
      <c r="A374" s="25"/>
      <c r="B374" s="26" t="s">
        <v>484</v>
      </c>
      <c r="C374" s="3"/>
      <c r="D374" s="21"/>
      <c r="E374" s="21"/>
      <c r="F374" s="3" t="s">
        <v>78</v>
      </c>
      <c r="G374" s="3">
        <v>4</v>
      </c>
      <c r="H374" s="23">
        <v>2210.64</v>
      </c>
      <c r="I374" s="124">
        <f t="shared" si="17"/>
        <v>8842.56</v>
      </c>
      <c r="J374" s="21"/>
      <c r="K374" s="24"/>
    </row>
    <row r="375" spans="1:11" ht="15.75" customHeight="1" x14ac:dyDescent="0.25">
      <c r="A375" s="25"/>
      <c r="B375" s="26" t="s">
        <v>426</v>
      </c>
      <c r="C375" s="3"/>
      <c r="D375" s="21"/>
      <c r="E375" s="21"/>
      <c r="F375" s="3" t="s">
        <v>78</v>
      </c>
      <c r="G375" s="3">
        <v>2</v>
      </c>
      <c r="H375" s="23">
        <v>4162.6400000000003</v>
      </c>
      <c r="I375" s="124">
        <f t="shared" si="17"/>
        <v>8325.2800000000007</v>
      </c>
      <c r="J375" s="21"/>
      <c r="K375" s="24"/>
    </row>
    <row r="376" spans="1:11" ht="15.75" customHeight="1" x14ac:dyDescent="0.25">
      <c r="A376" s="25"/>
      <c r="B376" s="144" t="s">
        <v>427</v>
      </c>
      <c r="C376" s="145"/>
      <c r="D376" s="145"/>
      <c r="E376" s="145"/>
      <c r="F376" s="145" t="s">
        <v>78</v>
      </c>
      <c r="G376" s="145">
        <v>12</v>
      </c>
      <c r="H376" s="146"/>
      <c r="I376" s="124">
        <f t="shared" si="17"/>
        <v>0</v>
      </c>
      <c r="J376" s="21"/>
      <c r="K376" s="24"/>
    </row>
    <row r="377" spans="1:11" ht="15.75" customHeight="1" x14ac:dyDescent="0.25">
      <c r="A377" s="19" t="s">
        <v>485</v>
      </c>
      <c r="B377" s="20" t="s">
        <v>486</v>
      </c>
      <c r="C377" s="21"/>
      <c r="D377" s="21"/>
      <c r="E377" s="21"/>
      <c r="F377" s="22"/>
      <c r="G377" s="21"/>
      <c r="H377" s="23"/>
      <c r="I377" s="124"/>
      <c r="J377" s="21"/>
      <c r="K377" s="24"/>
    </row>
    <row r="378" spans="1:11" ht="15.75" customHeight="1" x14ac:dyDescent="0.25">
      <c r="A378" s="25"/>
      <c r="B378" s="26" t="s">
        <v>467</v>
      </c>
      <c r="C378" s="3" t="s">
        <v>381</v>
      </c>
      <c r="D378" s="21"/>
      <c r="E378" s="21"/>
      <c r="F378" s="3" t="s">
        <v>89</v>
      </c>
      <c r="G378" s="3">
        <v>170</v>
      </c>
      <c r="H378" s="23">
        <v>650.87</v>
      </c>
      <c r="I378" s="124">
        <f>H378*G378</f>
        <v>110647.9</v>
      </c>
      <c r="J378" s="21"/>
      <c r="K378" s="24"/>
    </row>
    <row r="379" spans="1:11" ht="15.75" customHeight="1" x14ac:dyDescent="0.25">
      <c r="A379" s="25"/>
      <c r="B379" s="26" t="s">
        <v>487</v>
      </c>
      <c r="C379" s="3"/>
      <c r="D379" s="21"/>
      <c r="E379" s="21"/>
      <c r="F379" s="3" t="s">
        <v>89</v>
      </c>
      <c r="G379" s="3">
        <v>170</v>
      </c>
      <c r="H379" s="23">
        <v>121.39</v>
      </c>
      <c r="I379" s="124">
        <f>H379*G379</f>
        <v>20636.3</v>
      </c>
      <c r="J379" s="21"/>
      <c r="K379" s="24"/>
    </row>
    <row r="380" spans="1:11" ht="15.75" customHeight="1" x14ac:dyDescent="0.25">
      <c r="A380" s="25"/>
      <c r="B380" s="26" t="s">
        <v>473</v>
      </c>
      <c r="C380" s="3"/>
      <c r="D380" s="21"/>
      <c r="E380" s="21"/>
      <c r="F380" s="3" t="s">
        <v>78</v>
      </c>
      <c r="G380" s="3">
        <v>65</v>
      </c>
      <c r="H380" s="23">
        <v>241.56</v>
      </c>
      <c r="I380" s="124">
        <f>H380*G380</f>
        <v>15701.4</v>
      </c>
      <c r="J380" s="21"/>
      <c r="K380" s="24"/>
    </row>
    <row r="381" spans="1:11" ht="15.75" customHeight="1" x14ac:dyDescent="0.25">
      <c r="A381" s="25"/>
      <c r="B381" s="26" t="s">
        <v>488</v>
      </c>
      <c r="C381" s="3" t="s">
        <v>381</v>
      </c>
      <c r="D381" s="21"/>
      <c r="E381" s="21"/>
      <c r="F381" s="3" t="s">
        <v>78</v>
      </c>
      <c r="G381" s="3">
        <v>45</v>
      </c>
      <c r="H381" s="23">
        <v>127.49</v>
      </c>
      <c r="I381" s="124">
        <f>H381*G381</f>
        <v>5737.05</v>
      </c>
      <c r="J381" s="21"/>
      <c r="K381" s="24"/>
    </row>
    <row r="382" spans="1:11" ht="15.75" customHeight="1" x14ac:dyDescent="0.25">
      <c r="A382" s="25"/>
      <c r="B382" s="26" t="s">
        <v>484</v>
      </c>
      <c r="C382" s="3"/>
      <c r="D382" s="21"/>
      <c r="E382" s="21"/>
      <c r="F382" s="3" t="s">
        <v>78</v>
      </c>
      <c r="G382" s="3">
        <v>12</v>
      </c>
      <c r="H382" s="23">
        <v>2210.64</v>
      </c>
      <c r="I382" s="124">
        <f>H382*G382</f>
        <v>26527.68</v>
      </c>
      <c r="J382" s="21"/>
      <c r="K382" s="24"/>
    </row>
    <row r="383" spans="1:11" ht="19.5" customHeight="1" x14ac:dyDescent="0.25">
      <c r="A383" s="9" t="s">
        <v>489</v>
      </c>
      <c r="B383" s="10" t="s">
        <v>490</v>
      </c>
      <c r="C383" s="11"/>
      <c r="D383" s="11"/>
      <c r="E383" s="11"/>
      <c r="F383" s="11"/>
      <c r="G383" s="11"/>
      <c r="H383" s="12"/>
      <c r="I383" s="122"/>
      <c r="J383" s="11"/>
      <c r="K383" s="13"/>
    </row>
    <row r="384" spans="1:11" ht="79.5" customHeight="1" x14ac:dyDescent="0.25">
      <c r="A384" s="33" t="s">
        <v>491</v>
      </c>
      <c r="B384" s="34" t="s">
        <v>492</v>
      </c>
      <c r="C384" s="35"/>
      <c r="D384" s="35"/>
      <c r="E384" s="35" t="s">
        <v>493</v>
      </c>
      <c r="F384" s="35" t="s">
        <v>47</v>
      </c>
      <c r="G384" s="35">
        <v>68</v>
      </c>
      <c r="H384" s="36"/>
      <c r="I384" s="126">
        <f t="shared" ref="I384:I408" si="18">H384*G384</f>
        <v>0</v>
      </c>
      <c r="J384" s="35"/>
      <c r="K384" s="34" t="s">
        <v>494</v>
      </c>
    </row>
    <row r="385" spans="1:11" ht="60" customHeight="1" x14ac:dyDescent="0.25">
      <c r="A385" s="33" t="s">
        <v>495</v>
      </c>
      <c r="B385" s="34" t="s">
        <v>496</v>
      </c>
      <c r="C385" s="35"/>
      <c r="D385" s="35"/>
      <c r="E385" s="35"/>
      <c r="F385" s="35" t="s">
        <v>47</v>
      </c>
      <c r="G385" s="35">
        <v>51</v>
      </c>
      <c r="H385" s="36"/>
      <c r="I385" s="126">
        <f t="shared" si="18"/>
        <v>0</v>
      </c>
      <c r="J385" s="35"/>
      <c r="K385" s="34" t="s">
        <v>494</v>
      </c>
    </row>
    <row r="386" spans="1:11" ht="60" customHeight="1" x14ac:dyDescent="0.25">
      <c r="A386" s="33" t="s">
        <v>497</v>
      </c>
      <c r="B386" s="34" t="s">
        <v>498</v>
      </c>
      <c r="C386" s="35"/>
      <c r="D386" s="35"/>
      <c r="E386" s="35"/>
      <c r="F386" s="35" t="s">
        <v>78</v>
      </c>
      <c r="G386" s="35">
        <v>10</v>
      </c>
      <c r="H386" s="36"/>
      <c r="I386" s="126">
        <f t="shared" si="18"/>
        <v>0</v>
      </c>
      <c r="J386" s="35"/>
      <c r="K386" s="34" t="s">
        <v>494</v>
      </c>
    </row>
    <row r="387" spans="1:11" ht="69.75" customHeight="1" x14ac:dyDescent="0.25">
      <c r="A387" s="33" t="s">
        <v>499</v>
      </c>
      <c r="B387" s="34" t="s">
        <v>500</v>
      </c>
      <c r="C387" s="35"/>
      <c r="D387" s="35"/>
      <c r="E387" s="35"/>
      <c r="F387" s="35" t="s">
        <v>47</v>
      </c>
      <c r="G387" s="35">
        <v>32</v>
      </c>
      <c r="H387" s="36"/>
      <c r="I387" s="126">
        <f t="shared" si="18"/>
        <v>0</v>
      </c>
      <c r="J387" s="35"/>
      <c r="K387" s="34" t="s">
        <v>494</v>
      </c>
    </row>
    <row r="388" spans="1:11" ht="60" customHeight="1" x14ac:dyDescent="0.25">
      <c r="A388" s="33" t="s">
        <v>501</v>
      </c>
      <c r="B388" s="34" t="s">
        <v>502</v>
      </c>
      <c r="C388" s="35"/>
      <c r="D388" s="35"/>
      <c r="E388" s="35"/>
      <c r="F388" s="35" t="s">
        <v>47</v>
      </c>
      <c r="G388" s="35">
        <v>8</v>
      </c>
      <c r="H388" s="36"/>
      <c r="I388" s="126">
        <f t="shared" si="18"/>
        <v>0</v>
      </c>
      <c r="J388" s="35"/>
      <c r="K388" s="34" t="s">
        <v>494</v>
      </c>
    </row>
    <row r="389" spans="1:11" ht="60" customHeight="1" x14ac:dyDescent="0.25">
      <c r="A389" s="33" t="s">
        <v>503</v>
      </c>
      <c r="B389" s="34" t="s">
        <v>504</v>
      </c>
      <c r="C389" s="35"/>
      <c r="D389" s="35"/>
      <c r="E389" s="35"/>
      <c r="F389" s="35" t="s">
        <v>89</v>
      </c>
      <c r="G389" s="35">
        <v>269.45999999999998</v>
      </c>
      <c r="H389" s="36"/>
      <c r="I389" s="126">
        <f t="shared" si="18"/>
        <v>0</v>
      </c>
      <c r="J389" s="35"/>
      <c r="K389" s="34" t="s">
        <v>505</v>
      </c>
    </row>
    <row r="390" spans="1:11" ht="60" customHeight="1" x14ac:dyDescent="0.25">
      <c r="A390" s="33" t="s">
        <v>506</v>
      </c>
      <c r="B390" s="34" t="s">
        <v>507</v>
      </c>
      <c r="C390" s="35"/>
      <c r="D390" s="35"/>
      <c r="E390" s="35"/>
      <c r="F390" s="35" t="s">
        <v>89</v>
      </c>
      <c r="G390" s="35">
        <v>449.1</v>
      </c>
      <c r="H390" s="36"/>
      <c r="I390" s="126">
        <f t="shared" si="18"/>
        <v>0</v>
      </c>
      <c r="J390" s="35"/>
      <c r="K390" s="34" t="s">
        <v>505</v>
      </c>
    </row>
    <row r="391" spans="1:11" ht="60" customHeight="1" x14ac:dyDescent="0.25">
      <c r="A391" s="33" t="s">
        <v>508</v>
      </c>
      <c r="B391" s="34" t="s">
        <v>509</v>
      </c>
      <c r="C391" s="35"/>
      <c r="D391" s="35"/>
      <c r="E391" s="35"/>
      <c r="F391" s="35" t="s">
        <v>78</v>
      </c>
      <c r="G391" s="35">
        <v>98.14</v>
      </c>
      <c r="H391" s="36"/>
      <c r="I391" s="126">
        <f t="shared" si="18"/>
        <v>0</v>
      </c>
      <c r="J391" s="35"/>
      <c r="K391" s="34" t="s">
        <v>494</v>
      </c>
    </row>
    <row r="392" spans="1:11" ht="60" customHeight="1" x14ac:dyDescent="0.25">
      <c r="A392" s="33" t="s">
        <v>510</v>
      </c>
      <c r="B392" s="34" t="s">
        <v>511</v>
      </c>
      <c r="C392" s="35"/>
      <c r="D392" s="35"/>
      <c r="E392" s="35"/>
      <c r="F392" s="35" t="s">
        <v>78</v>
      </c>
      <c r="G392" s="35">
        <v>20</v>
      </c>
      <c r="H392" s="36"/>
      <c r="I392" s="126">
        <f t="shared" si="18"/>
        <v>0</v>
      </c>
      <c r="J392" s="35"/>
      <c r="K392" s="34" t="s">
        <v>505</v>
      </c>
    </row>
    <row r="393" spans="1:11" ht="60" customHeight="1" x14ac:dyDescent="0.25">
      <c r="A393" s="33" t="s">
        <v>512</v>
      </c>
      <c r="B393" s="34" t="s">
        <v>513</v>
      </c>
      <c r="C393" s="35"/>
      <c r="D393" s="35"/>
      <c r="E393" s="35"/>
      <c r="F393" s="35" t="s">
        <v>78</v>
      </c>
      <c r="G393" s="35">
        <v>76</v>
      </c>
      <c r="H393" s="36"/>
      <c r="I393" s="126">
        <f t="shared" si="18"/>
        <v>0</v>
      </c>
      <c r="J393" s="35"/>
      <c r="K393" s="34" t="s">
        <v>505</v>
      </c>
    </row>
    <row r="394" spans="1:11" ht="60" customHeight="1" x14ac:dyDescent="0.25">
      <c r="A394" s="33" t="s">
        <v>514</v>
      </c>
      <c r="B394" s="34" t="s">
        <v>515</v>
      </c>
      <c r="C394" s="35"/>
      <c r="D394" s="35"/>
      <c r="E394" s="35"/>
      <c r="F394" s="35" t="s">
        <v>78</v>
      </c>
      <c r="G394" s="35">
        <v>117</v>
      </c>
      <c r="H394" s="36"/>
      <c r="I394" s="126">
        <f t="shared" si="18"/>
        <v>0</v>
      </c>
      <c r="J394" s="35"/>
      <c r="K394" s="34" t="s">
        <v>505</v>
      </c>
    </row>
    <row r="395" spans="1:11" ht="60" customHeight="1" x14ac:dyDescent="0.25">
      <c r="A395" s="33" t="s">
        <v>516</v>
      </c>
      <c r="B395" s="34" t="s">
        <v>517</v>
      </c>
      <c r="C395" s="35"/>
      <c r="D395" s="35"/>
      <c r="E395" s="35"/>
      <c r="F395" s="35" t="s">
        <v>78</v>
      </c>
      <c r="G395" s="35">
        <v>49</v>
      </c>
      <c r="H395" s="36"/>
      <c r="I395" s="126">
        <f t="shared" si="18"/>
        <v>0</v>
      </c>
      <c r="J395" s="35"/>
      <c r="K395" s="34" t="s">
        <v>505</v>
      </c>
    </row>
    <row r="396" spans="1:11" ht="60" customHeight="1" x14ac:dyDescent="0.25">
      <c r="A396" s="33" t="s">
        <v>518</v>
      </c>
      <c r="B396" s="34" t="s">
        <v>519</v>
      </c>
      <c r="C396" s="35"/>
      <c r="D396" s="35"/>
      <c r="E396" s="35"/>
      <c r="F396" s="35" t="s">
        <v>78</v>
      </c>
      <c r="G396" s="35">
        <v>24</v>
      </c>
      <c r="H396" s="36"/>
      <c r="I396" s="126">
        <f t="shared" si="18"/>
        <v>0</v>
      </c>
      <c r="J396" s="35"/>
      <c r="K396" s="34" t="s">
        <v>494</v>
      </c>
    </row>
    <row r="397" spans="1:11" ht="60" customHeight="1" x14ac:dyDescent="0.25">
      <c r="A397" s="33" t="s">
        <v>520</v>
      </c>
      <c r="B397" s="34" t="s">
        <v>521</v>
      </c>
      <c r="C397" s="35"/>
      <c r="D397" s="35"/>
      <c r="E397" s="35"/>
      <c r="F397" s="35" t="s">
        <v>78</v>
      </c>
      <c r="G397" s="35">
        <v>50</v>
      </c>
      <c r="H397" s="36">
        <v>7188</v>
      </c>
      <c r="I397" s="126">
        <f t="shared" si="18"/>
        <v>359400</v>
      </c>
      <c r="J397" s="35"/>
      <c r="K397" s="34" t="s">
        <v>494</v>
      </c>
    </row>
    <row r="398" spans="1:11" ht="60" customHeight="1" x14ac:dyDescent="0.25">
      <c r="A398" s="33" t="s">
        <v>522</v>
      </c>
      <c r="B398" s="34" t="s">
        <v>504</v>
      </c>
      <c r="C398" s="35"/>
      <c r="D398" s="35"/>
      <c r="E398" s="35"/>
      <c r="F398" s="35" t="s">
        <v>89</v>
      </c>
      <c r="G398" s="35">
        <v>49.9</v>
      </c>
      <c r="H398" s="36"/>
      <c r="I398" s="126">
        <f t="shared" si="18"/>
        <v>0</v>
      </c>
      <c r="J398" s="35"/>
      <c r="K398" s="34" t="s">
        <v>505</v>
      </c>
    </row>
    <row r="399" spans="1:11" ht="60" customHeight="1" x14ac:dyDescent="0.25">
      <c r="A399" s="33" t="s">
        <v>523</v>
      </c>
      <c r="B399" s="34" t="s">
        <v>507</v>
      </c>
      <c r="C399" s="35"/>
      <c r="D399" s="35"/>
      <c r="E399" s="35"/>
      <c r="F399" s="35" t="s">
        <v>89</v>
      </c>
      <c r="G399" s="35">
        <v>499</v>
      </c>
      <c r="H399" s="36"/>
      <c r="I399" s="126">
        <f t="shared" si="18"/>
        <v>0</v>
      </c>
      <c r="J399" s="35"/>
      <c r="K399" s="34" t="s">
        <v>505</v>
      </c>
    </row>
    <row r="400" spans="1:11" ht="60" customHeight="1" x14ac:dyDescent="0.25">
      <c r="A400" s="33" t="s">
        <v>524</v>
      </c>
      <c r="B400" s="34" t="s">
        <v>525</v>
      </c>
      <c r="C400" s="35"/>
      <c r="D400" s="35"/>
      <c r="E400" s="35"/>
      <c r="F400" s="35" t="s">
        <v>78</v>
      </c>
      <c r="G400" s="35">
        <v>100</v>
      </c>
      <c r="H400" s="36"/>
      <c r="I400" s="126">
        <f t="shared" si="18"/>
        <v>0</v>
      </c>
      <c r="J400" s="35"/>
      <c r="K400" s="34" t="s">
        <v>494</v>
      </c>
    </row>
    <row r="401" spans="1:11" ht="60" customHeight="1" x14ac:dyDescent="0.25">
      <c r="A401" s="33" t="s">
        <v>526</v>
      </c>
      <c r="B401" s="34" t="s">
        <v>511</v>
      </c>
      <c r="C401" s="35"/>
      <c r="D401" s="35"/>
      <c r="E401" s="35"/>
      <c r="F401" s="35" t="s">
        <v>78</v>
      </c>
      <c r="G401" s="35">
        <v>15</v>
      </c>
      <c r="H401" s="36"/>
      <c r="I401" s="126">
        <f t="shared" si="18"/>
        <v>0</v>
      </c>
      <c r="J401" s="35"/>
      <c r="K401" s="34" t="s">
        <v>505</v>
      </c>
    </row>
    <row r="402" spans="1:11" ht="60" customHeight="1" x14ac:dyDescent="0.25">
      <c r="A402" s="33" t="s">
        <v>527</v>
      </c>
      <c r="B402" s="34" t="s">
        <v>528</v>
      </c>
      <c r="C402" s="35"/>
      <c r="D402" s="35"/>
      <c r="E402" s="35"/>
      <c r="F402" s="35" t="s">
        <v>78</v>
      </c>
      <c r="G402" s="35">
        <v>1</v>
      </c>
      <c r="H402" s="36">
        <v>117000</v>
      </c>
      <c r="I402" s="126">
        <f t="shared" si="18"/>
        <v>117000</v>
      </c>
      <c r="J402" s="35"/>
      <c r="K402" s="34" t="s">
        <v>505</v>
      </c>
    </row>
    <row r="403" spans="1:11" ht="60" customHeight="1" x14ac:dyDescent="0.25">
      <c r="A403" s="33" t="s">
        <v>529</v>
      </c>
      <c r="B403" s="34" t="s">
        <v>504</v>
      </c>
      <c r="C403" s="35"/>
      <c r="D403" s="35"/>
      <c r="E403" s="35"/>
      <c r="F403" s="35" t="s">
        <v>89</v>
      </c>
      <c r="G403" s="35">
        <v>29.94</v>
      </c>
      <c r="H403" s="36"/>
      <c r="I403" s="126">
        <f t="shared" si="18"/>
        <v>0</v>
      </c>
      <c r="J403" s="35"/>
      <c r="K403" s="34" t="s">
        <v>505</v>
      </c>
    </row>
    <row r="404" spans="1:11" ht="60" customHeight="1" x14ac:dyDescent="0.25">
      <c r="A404" s="33" t="s">
        <v>530</v>
      </c>
      <c r="B404" s="34" t="s">
        <v>507</v>
      </c>
      <c r="C404" s="35"/>
      <c r="D404" s="35"/>
      <c r="E404" s="35"/>
      <c r="F404" s="35" t="s">
        <v>89</v>
      </c>
      <c r="G404" s="35">
        <v>219.56</v>
      </c>
      <c r="H404" s="36"/>
      <c r="I404" s="126">
        <f t="shared" si="18"/>
        <v>0</v>
      </c>
      <c r="J404" s="35"/>
      <c r="K404" s="34" t="s">
        <v>505</v>
      </c>
    </row>
    <row r="405" spans="1:11" ht="60" customHeight="1" x14ac:dyDescent="0.25">
      <c r="A405" s="33" t="s">
        <v>531</v>
      </c>
      <c r="B405" s="34" t="s">
        <v>532</v>
      </c>
      <c r="C405" s="35"/>
      <c r="D405" s="35"/>
      <c r="E405" s="35"/>
      <c r="F405" s="35" t="s">
        <v>78</v>
      </c>
      <c r="G405" s="35">
        <v>10</v>
      </c>
      <c r="H405" s="36"/>
      <c r="I405" s="126">
        <f t="shared" si="18"/>
        <v>0</v>
      </c>
      <c r="J405" s="35"/>
      <c r="K405" s="34" t="s">
        <v>494</v>
      </c>
    </row>
    <row r="406" spans="1:11" ht="60" customHeight="1" x14ac:dyDescent="0.25">
      <c r="A406" s="33" t="s">
        <v>533</v>
      </c>
      <c r="B406" s="34" t="s">
        <v>511</v>
      </c>
      <c r="C406" s="35"/>
      <c r="D406" s="35"/>
      <c r="E406" s="35"/>
      <c r="F406" s="35" t="s">
        <v>78</v>
      </c>
      <c r="G406" s="35">
        <v>8</v>
      </c>
      <c r="H406" s="36"/>
      <c r="I406" s="126">
        <f t="shared" si="18"/>
        <v>0</v>
      </c>
      <c r="J406" s="35"/>
      <c r="K406" s="34" t="s">
        <v>505</v>
      </c>
    </row>
    <row r="407" spans="1:11" ht="60" customHeight="1" x14ac:dyDescent="0.25">
      <c r="A407" s="33" t="s">
        <v>534</v>
      </c>
      <c r="B407" s="34" t="s">
        <v>515</v>
      </c>
      <c r="C407" s="35"/>
      <c r="D407" s="35"/>
      <c r="E407" s="35"/>
      <c r="F407" s="35" t="s">
        <v>78</v>
      </c>
      <c r="G407" s="35">
        <v>15</v>
      </c>
      <c r="H407" s="36"/>
      <c r="I407" s="126">
        <f t="shared" si="18"/>
        <v>0</v>
      </c>
      <c r="J407" s="35"/>
      <c r="K407" s="34" t="s">
        <v>505</v>
      </c>
    </row>
    <row r="408" spans="1:11" ht="60" customHeight="1" x14ac:dyDescent="0.25">
      <c r="A408" s="33" t="s">
        <v>535</v>
      </c>
      <c r="B408" s="34" t="s">
        <v>519</v>
      </c>
      <c r="C408" s="35"/>
      <c r="D408" s="35"/>
      <c r="E408" s="35"/>
      <c r="F408" s="35" t="s">
        <v>78</v>
      </c>
      <c r="G408" s="35">
        <v>21</v>
      </c>
      <c r="H408" s="36"/>
      <c r="I408" s="126">
        <f t="shared" si="18"/>
        <v>0</v>
      </c>
      <c r="J408" s="35"/>
      <c r="K408" s="34" t="s">
        <v>494</v>
      </c>
    </row>
    <row r="409" spans="1:11" ht="34.5" customHeight="1" x14ac:dyDescent="0.25">
      <c r="A409" s="14"/>
      <c r="B409" s="15" t="s">
        <v>536</v>
      </c>
      <c r="C409" s="16"/>
      <c r="D409" s="16"/>
      <c r="E409" s="16"/>
      <c r="F409" s="16"/>
      <c r="G409" s="16"/>
      <c r="H409" s="17"/>
      <c r="I409" s="123"/>
      <c r="J409" s="16"/>
      <c r="K409" s="18"/>
    </row>
    <row r="410" spans="1:11" ht="15.75" customHeight="1" x14ac:dyDescent="0.25">
      <c r="A410" s="19" t="s">
        <v>349</v>
      </c>
      <c r="B410" s="20" t="s">
        <v>537</v>
      </c>
      <c r="C410" s="21"/>
      <c r="D410" s="21"/>
      <c r="E410" s="21"/>
      <c r="F410" s="22"/>
      <c r="G410" s="21"/>
      <c r="H410" s="23"/>
      <c r="I410" s="124"/>
      <c r="J410" s="21"/>
      <c r="K410" s="24"/>
    </row>
    <row r="411" spans="1:11" ht="34.5" customHeight="1" x14ac:dyDescent="0.25">
      <c r="A411" s="25"/>
      <c r="B411" s="26" t="s">
        <v>538</v>
      </c>
      <c r="C411" s="3" t="s">
        <v>539</v>
      </c>
      <c r="D411" s="21"/>
      <c r="E411" s="21"/>
      <c r="F411" s="3" t="s">
        <v>89</v>
      </c>
      <c r="G411" s="3">
        <v>600</v>
      </c>
      <c r="H411" s="23"/>
      <c r="I411" s="124">
        <f t="shared" ref="I411:I431" si="19">H411*G411</f>
        <v>0</v>
      </c>
      <c r="J411" s="21"/>
      <c r="K411" s="24"/>
    </row>
    <row r="412" spans="1:11" ht="34.5" customHeight="1" x14ac:dyDescent="0.25">
      <c r="A412" s="25"/>
      <c r="B412" s="26" t="s">
        <v>540</v>
      </c>
      <c r="C412" s="3" t="s">
        <v>539</v>
      </c>
      <c r="D412" s="21"/>
      <c r="E412" s="21"/>
      <c r="F412" s="3" t="s">
        <v>78</v>
      </c>
      <c r="G412" s="3">
        <v>35</v>
      </c>
      <c r="H412" s="23"/>
      <c r="I412" s="124">
        <f t="shared" si="19"/>
        <v>0</v>
      </c>
      <c r="J412" s="21"/>
      <c r="K412" s="24"/>
    </row>
    <row r="413" spans="1:11" ht="15.75" customHeight="1" x14ac:dyDescent="0.25">
      <c r="A413" s="25"/>
      <c r="B413" s="26" t="s">
        <v>541</v>
      </c>
      <c r="C413" s="3" t="s">
        <v>352</v>
      </c>
      <c r="D413" s="21"/>
      <c r="E413" s="21"/>
      <c r="F413" s="3" t="s">
        <v>89</v>
      </c>
      <c r="G413" s="3">
        <v>30</v>
      </c>
      <c r="H413" s="23"/>
      <c r="I413" s="124">
        <f t="shared" si="19"/>
        <v>0</v>
      </c>
      <c r="J413" s="21"/>
      <c r="K413" s="24"/>
    </row>
    <row r="414" spans="1:11" ht="15.75" customHeight="1" x14ac:dyDescent="0.25">
      <c r="A414" s="25"/>
      <c r="B414" s="26" t="s">
        <v>542</v>
      </c>
      <c r="C414" s="3" t="s">
        <v>361</v>
      </c>
      <c r="D414" s="21"/>
      <c r="E414" s="21" t="s">
        <v>362</v>
      </c>
      <c r="F414" s="3" t="s">
        <v>78</v>
      </c>
      <c r="G414" s="3">
        <v>7</v>
      </c>
      <c r="H414" s="23">
        <v>10500</v>
      </c>
      <c r="I414" s="124">
        <f t="shared" si="19"/>
        <v>73500</v>
      </c>
      <c r="J414" s="21"/>
      <c r="K414" s="24"/>
    </row>
    <row r="415" spans="1:11" ht="15.75" customHeight="1" x14ac:dyDescent="0.25">
      <c r="A415" s="25"/>
      <c r="B415" s="26" t="s">
        <v>360</v>
      </c>
      <c r="C415" s="3" t="s">
        <v>361</v>
      </c>
      <c r="D415" s="21"/>
      <c r="E415" s="21" t="s">
        <v>362</v>
      </c>
      <c r="F415" s="3" t="s">
        <v>78</v>
      </c>
      <c r="G415" s="3">
        <v>15</v>
      </c>
      <c r="H415" s="23">
        <v>16584</v>
      </c>
      <c r="I415" s="124">
        <f t="shared" si="19"/>
        <v>248760</v>
      </c>
      <c r="J415" s="21"/>
      <c r="K415" s="24"/>
    </row>
    <row r="416" spans="1:11" ht="15.75" customHeight="1" x14ac:dyDescent="0.25">
      <c r="A416" s="25"/>
      <c r="B416" s="26" t="s">
        <v>543</v>
      </c>
      <c r="C416" s="3" t="s">
        <v>361</v>
      </c>
      <c r="D416" s="21"/>
      <c r="E416" s="21" t="s">
        <v>362</v>
      </c>
      <c r="F416" s="3" t="s">
        <v>78</v>
      </c>
      <c r="G416" s="3">
        <v>22</v>
      </c>
      <c r="H416" s="23">
        <v>17820</v>
      </c>
      <c r="I416" s="124">
        <f t="shared" si="19"/>
        <v>392040</v>
      </c>
      <c r="J416" s="21"/>
      <c r="K416" s="24"/>
    </row>
    <row r="417" spans="1:11" ht="15.75" customHeight="1" x14ac:dyDescent="0.25">
      <c r="A417" s="25"/>
      <c r="B417" s="26" t="s">
        <v>544</v>
      </c>
      <c r="C417" s="3" t="s">
        <v>361</v>
      </c>
      <c r="D417" s="21"/>
      <c r="E417" s="21" t="s">
        <v>362</v>
      </c>
      <c r="F417" s="3" t="s">
        <v>78</v>
      </c>
      <c r="G417" s="3">
        <v>14</v>
      </c>
      <c r="H417" s="23">
        <v>32881</v>
      </c>
      <c r="I417" s="124">
        <f t="shared" si="19"/>
        <v>460334</v>
      </c>
      <c r="J417" s="21"/>
      <c r="K417" s="24"/>
    </row>
    <row r="418" spans="1:11" ht="15.75" customHeight="1" x14ac:dyDescent="0.25">
      <c r="A418" s="25"/>
      <c r="B418" s="26" t="s">
        <v>363</v>
      </c>
      <c r="C418" s="3" t="s">
        <v>361</v>
      </c>
      <c r="D418" s="21"/>
      <c r="E418" s="21" t="s">
        <v>362</v>
      </c>
      <c r="F418" s="3" t="s">
        <v>78</v>
      </c>
      <c r="G418" s="3">
        <v>55</v>
      </c>
      <c r="H418" s="23">
        <v>26379</v>
      </c>
      <c r="I418" s="124">
        <f t="shared" si="19"/>
        <v>1450845</v>
      </c>
      <c r="J418" s="21"/>
      <c r="K418" s="24"/>
    </row>
    <row r="419" spans="1:11" ht="15.75" customHeight="1" x14ac:dyDescent="0.25">
      <c r="A419" s="25"/>
      <c r="B419" s="26" t="s">
        <v>545</v>
      </c>
      <c r="C419" s="3" t="s">
        <v>361</v>
      </c>
      <c r="D419" s="21"/>
      <c r="E419" s="21" t="s">
        <v>362</v>
      </c>
      <c r="F419" s="3" t="s">
        <v>78</v>
      </c>
      <c r="G419" s="3">
        <v>5</v>
      </c>
      <c r="H419" s="23">
        <v>10500</v>
      </c>
      <c r="I419" s="124">
        <f t="shared" si="19"/>
        <v>52500</v>
      </c>
      <c r="J419" s="21"/>
      <c r="K419" s="24"/>
    </row>
    <row r="420" spans="1:11" ht="15.75" customHeight="1" x14ac:dyDescent="0.25">
      <c r="A420" s="25"/>
      <c r="B420" s="26" t="s">
        <v>546</v>
      </c>
      <c r="C420" s="3" t="s">
        <v>361</v>
      </c>
      <c r="D420" s="21"/>
      <c r="E420" s="21" t="s">
        <v>362</v>
      </c>
      <c r="F420" s="3" t="s">
        <v>78</v>
      </c>
      <c r="G420" s="3">
        <v>15</v>
      </c>
      <c r="H420" s="23">
        <v>16584</v>
      </c>
      <c r="I420" s="124">
        <f t="shared" si="19"/>
        <v>248760</v>
      </c>
      <c r="J420" s="21"/>
      <c r="K420" s="24"/>
    </row>
    <row r="421" spans="1:11" ht="15.75" customHeight="1" x14ac:dyDescent="0.25">
      <c r="A421" s="25"/>
      <c r="B421" s="26" t="s">
        <v>365</v>
      </c>
      <c r="C421" s="3" t="s">
        <v>366</v>
      </c>
      <c r="D421" s="21"/>
      <c r="E421" s="21" t="s">
        <v>362</v>
      </c>
      <c r="F421" s="3" t="s">
        <v>78</v>
      </c>
      <c r="G421" s="3">
        <v>22</v>
      </c>
      <c r="H421" s="23">
        <v>1200</v>
      </c>
      <c r="I421" s="124">
        <f t="shared" si="19"/>
        <v>26400</v>
      </c>
      <c r="J421" s="21"/>
      <c r="K421" s="24"/>
    </row>
    <row r="422" spans="1:11" ht="15.75" customHeight="1" x14ac:dyDescent="0.25">
      <c r="A422" s="25"/>
      <c r="B422" s="26" t="s">
        <v>547</v>
      </c>
      <c r="C422" s="3" t="s">
        <v>369</v>
      </c>
      <c r="D422" s="21"/>
      <c r="E422" s="21" t="s">
        <v>362</v>
      </c>
      <c r="F422" s="3" t="s">
        <v>78</v>
      </c>
      <c r="G422" s="3">
        <v>22</v>
      </c>
      <c r="H422" s="23">
        <v>19000</v>
      </c>
      <c r="I422" s="124">
        <f t="shared" si="19"/>
        <v>418000</v>
      </c>
      <c r="J422" s="21"/>
      <c r="K422" s="24"/>
    </row>
    <row r="423" spans="1:11" ht="54.75" customHeight="1" x14ac:dyDescent="0.25">
      <c r="A423" s="33" t="s">
        <v>548</v>
      </c>
      <c r="B423" s="34" t="s">
        <v>549</v>
      </c>
      <c r="C423" s="35"/>
      <c r="D423" s="35"/>
      <c r="E423" s="35"/>
      <c r="F423" s="35" t="s">
        <v>78</v>
      </c>
      <c r="G423" s="35">
        <v>35</v>
      </c>
      <c r="H423" s="36"/>
      <c r="I423" s="126">
        <f t="shared" si="19"/>
        <v>0</v>
      </c>
      <c r="J423" s="35"/>
      <c r="K423" s="34" t="s">
        <v>550</v>
      </c>
    </row>
    <row r="424" spans="1:11" ht="54.75" customHeight="1" x14ac:dyDescent="0.25">
      <c r="A424" s="33" t="s">
        <v>551</v>
      </c>
      <c r="B424" s="34" t="s">
        <v>552</v>
      </c>
      <c r="C424" s="35"/>
      <c r="D424" s="35"/>
      <c r="E424" s="35"/>
      <c r="F424" s="35" t="s">
        <v>78</v>
      </c>
      <c r="G424" s="35">
        <v>22</v>
      </c>
      <c r="H424" s="36"/>
      <c r="I424" s="126">
        <f t="shared" si="19"/>
        <v>0</v>
      </c>
      <c r="J424" s="35"/>
      <c r="K424" s="34" t="s">
        <v>550</v>
      </c>
    </row>
    <row r="425" spans="1:11" ht="54.75" customHeight="1" x14ac:dyDescent="0.25">
      <c r="A425" s="33" t="s">
        <v>553</v>
      </c>
      <c r="B425" s="34" t="s">
        <v>554</v>
      </c>
      <c r="C425" s="35"/>
      <c r="D425" s="35"/>
      <c r="E425" s="35"/>
      <c r="F425" s="35" t="s">
        <v>89</v>
      </c>
      <c r="G425" s="35">
        <v>25.25</v>
      </c>
      <c r="H425" s="36"/>
      <c r="I425" s="126">
        <f t="shared" si="19"/>
        <v>0</v>
      </c>
      <c r="J425" s="35"/>
      <c r="K425" s="34" t="s">
        <v>555</v>
      </c>
    </row>
    <row r="426" spans="1:11" ht="54.75" customHeight="1" x14ac:dyDescent="0.25">
      <c r="A426" s="33" t="s">
        <v>556</v>
      </c>
      <c r="B426" s="34" t="s">
        <v>557</v>
      </c>
      <c r="C426" s="35"/>
      <c r="D426" s="35"/>
      <c r="E426" s="35"/>
      <c r="F426" s="35" t="s">
        <v>89</v>
      </c>
      <c r="G426" s="35">
        <v>363.6</v>
      </c>
      <c r="H426" s="36"/>
      <c r="I426" s="126">
        <f t="shared" si="19"/>
        <v>0</v>
      </c>
      <c r="J426" s="35"/>
      <c r="K426" s="34" t="s">
        <v>555</v>
      </c>
    </row>
    <row r="427" spans="1:11" ht="54.75" customHeight="1" x14ac:dyDescent="0.25">
      <c r="A427" s="33" t="s">
        <v>558</v>
      </c>
      <c r="B427" s="34" t="s">
        <v>559</v>
      </c>
      <c r="C427" s="35"/>
      <c r="D427" s="35"/>
      <c r="E427" s="35"/>
      <c r="F427" s="35" t="s">
        <v>89</v>
      </c>
      <c r="G427" s="35">
        <v>303</v>
      </c>
      <c r="H427" s="36"/>
      <c r="I427" s="126">
        <f t="shared" si="19"/>
        <v>0</v>
      </c>
      <c r="J427" s="35"/>
      <c r="K427" s="34" t="s">
        <v>555</v>
      </c>
    </row>
    <row r="428" spans="1:11" ht="54.75" customHeight="1" x14ac:dyDescent="0.25">
      <c r="A428" s="33" t="s">
        <v>560</v>
      </c>
      <c r="B428" s="34" t="s">
        <v>561</v>
      </c>
      <c r="C428" s="35"/>
      <c r="D428" s="35"/>
      <c r="E428" s="35"/>
      <c r="F428" s="35" t="s">
        <v>78</v>
      </c>
      <c r="G428" s="35">
        <v>8</v>
      </c>
      <c r="H428" s="36"/>
      <c r="I428" s="126">
        <f t="shared" si="19"/>
        <v>0</v>
      </c>
      <c r="J428" s="35"/>
      <c r="K428" s="34" t="s">
        <v>562</v>
      </c>
    </row>
    <row r="429" spans="1:11" ht="54.75" customHeight="1" x14ac:dyDescent="0.25">
      <c r="A429" s="33" t="s">
        <v>563</v>
      </c>
      <c r="B429" s="34" t="s">
        <v>564</v>
      </c>
      <c r="C429" s="35"/>
      <c r="D429" s="35"/>
      <c r="E429" s="35"/>
      <c r="F429" s="35" t="s">
        <v>78</v>
      </c>
      <c r="G429" s="35">
        <v>36</v>
      </c>
      <c r="H429" s="36"/>
      <c r="I429" s="126">
        <f t="shared" si="19"/>
        <v>0</v>
      </c>
      <c r="J429" s="35"/>
      <c r="K429" s="34" t="s">
        <v>562</v>
      </c>
    </row>
    <row r="430" spans="1:11" ht="54.75" customHeight="1" x14ac:dyDescent="0.25">
      <c r="A430" s="33" t="s">
        <v>565</v>
      </c>
      <c r="B430" s="34" t="s">
        <v>566</v>
      </c>
      <c r="C430" s="35"/>
      <c r="D430" s="35"/>
      <c r="E430" s="35"/>
      <c r="F430" s="35" t="s">
        <v>78</v>
      </c>
      <c r="G430" s="35">
        <v>18</v>
      </c>
      <c r="H430" s="36"/>
      <c r="I430" s="126">
        <f t="shared" si="19"/>
        <v>0</v>
      </c>
      <c r="J430" s="35"/>
      <c r="K430" s="34" t="s">
        <v>562</v>
      </c>
    </row>
    <row r="431" spans="1:11" ht="54.75" customHeight="1" x14ac:dyDescent="0.25">
      <c r="A431" s="33" t="s">
        <v>567</v>
      </c>
      <c r="B431" s="34" t="s">
        <v>552</v>
      </c>
      <c r="C431" s="35"/>
      <c r="D431" s="35"/>
      <c r="E431" s="35"/>
      <c r="F431" s="35" t="s">
        <v>78</v>
      </c>
      <c r="G431" s="35">
        <v>29</v>
      </c>
      <c r="H431" s="36"/>
      <c r="I431" s="126">
        <f t="shared" si="19"/>
        <v>0</v>
      </c>
      <c r="J431" s="35"/>
      <c r="K431" s="34" t="s">
        <v>555</v>
      </c>
    </row>
    <row r="432" spans="1:11" ht="15.75" customHeight="1" x14ac:dyDescent="0.25">
      <c r="A432" s="14"/>
      <c r="B432" s="15" t="s">
        <v>568</v>
      </c>
      <c r="C432" s="16"/>
      <c r="D432" s="16"/>
      <c r="E432" s="16"/>
      <c r="F432" s="16"/>
      <c r="G432" s="16"/>
      <c r="H432" s="17"/>
      <c r="I432" s="123"/>
      <c r="J432" s="16"/>
      <c r="K432" s="18"/>
    </row>
    <row r="433" spans="1:11" ht="15.75" customHeight="1" x14ac:dyDescent="0.25">
      <c r="A433" s="19" t="s">
        <v>349</v>
      </c>
      <c r="B433" s="20" t="s">
        <v>569</v>
      </c>
      <c r="C433" s="21"/>
      <c r="D433" s="21"/>
      <c r="E433" s="21"/>
      <c r="F433" s="22"/>
      <c r="G433" s="21"/>
      <c r="H433" s="23"/>
      <c r="I433" s="124"/>
      <c r="J433" s="21"/>
      <c r="K433" s="24"/>
    </row>
    <row r="434" spans="1:11" ht="15.75" customHeight="1" x14ac:dyDescent="0.25">
      <c r="A434" s="25"/>
      <c r="B434" s="26" t="s">
        <v>570</v>
      </c>
      <c r="C434" s="3" t="s">
        <v>571</v>
      </c>
      <c r="D434" s="21"/>
      <c r="E434" s="21"/>
      <c r="F434" s="3" t="s">
        <v>572</v>
      </c>
      <c r="G434" s="3">
        <v>376.27</v>
      </c>
      <c r="H434" s="23"/>
      <c r="I434" s="124">
        <f>H434*G434</f>
        <v>0</v>
      </c>
      <c r="J434" s="21"/>
      <c r="K434" s="24"/>
    </row>
    <row r="435" spans="1:11" ht="15.75" customHeight="1" x14ac:dyDescent="0.25">
      <c r="A435" s="25"/>
      <c r="B435" s="26" t="s">
        <v>573</v>
      </c>
      <c r="C435" s="3"/>
      <c r="D435" s="21"/>
      <c r="E435" s="21"/>
      <c r="F435" s="3" t="s">
        <v>78</v>
      </c>
      <c r="G435" s="3">
        <v>10</v>
      </c>
      <c r="H435" s="23"/>
      <c r="I435" s="124">
        <f>H435*G435</f>
        <v>0</v>
      </c>
      <c r="J435" s="21"/>
      <c r="K435" s="24" t="s">
        <v>574</v>
      </c>
    </row>
    <row r="436" spans="1:11" ht="15.75" customHeight="1" x14ac:dyDescent="0.25">
      <c r="A436" s="25"/>
      <c r="B436" s="26" t="s">
        <v>575</v>
      </c>
      <c r="C436" s="3"/>
      <c r="D436" s="21"/>
      <c r="E436" s="21"/>
      <c r="F436" s="3" t="s">
        <v>576</v>
      </c>
      <c r="G436" s="3">
        <v>1459</v>
      </c>
      <c r="H436" s="23">
        <v>108</v>
      </c>
      <c r="I436" s="124">
        <f>H436*G436</f>
        <v>157572</v>
      </c>
      <c r="J436" s="21"/>
      <c r="K436" s="24" t="s">
        <v>577</v>
      </c>
    </row>
    <row r="437" spans="1:11" ht="15.75" customHeight="1" x14ac:dyDescent="0.25">
      <c r="A437" s="25"/>
      <c r="B437" s="26" t="s">
        <v>578</v>
      </c>
      <c r="C437" s="3"/>
      <c r="D437" s="21"/>
      <c r="E437" s="21"/>
      <c r="F437" s="3" t="s">
        <v>315</v>
      </c>
      <c r="G437" s="3">
        <v>199.94</v>
      </c>
      <c r="H437" s="23"/>
      <c r="I437" s="124">
        <f>H437*G437</f>
        <v>0</v>
      </c>
      <c r="J437" s="21"/>
      <c r="K437" s="24"/>
    </row>
    <row r="438" spans="1:11" ht="60" customHeight="1" x14ac:dyDescent="0.25">
      <c r="A438" s="9" t="s">
        <v>579</v>
      </c>
      <c r="B438" s="10" t="s">
        <v>580</v>
      </c>
      <c r="C438" s="11"/>
      <c r="D438" s="11"/>
      <c r="E438" s="11"/>
      <c r="F438" s="11"/>
      <c r="G438" s="11"/>
      <c r="H438" s="12"/>
      <c r="I438" s="122"/>
      <c r="J438" s="11"/>
      <c r="K438" s="13"/>
    </row>
    <row r="439" spans="1:11" ht="34.5" customHeight="1" x14ac:dyDescent="0.25">
      <c r="A439" s="33" t="s">
        <v>581</v>
      </c>
      <c r="B439" s="34" t="s">
        <v>554</v>
      </c>
      <c r="C439" s="35"/>
      <c r="D439" s="35"/>
      <c r="E439" s="35"/>
      <c r="F439" s="35" t="s">
        <v>89</v>
      </c>
      <c r="G439" s="35">
        <v>385.67675000000003</v>
      </c>
      <c r="H439" s="36"/>
      <c r="I439" s="126">
        <f>H439*G439</f>
        <v>0</v>
      </c>
      <c r="J439" s="35"/>
      <c r="K439" s="34" t="s">
        <v>582</v>
      </c>
    </row>
    <row r="440" spans="1:11" ht="15.75" customHeight="1" x14ac:dyDescent="0.25">
      <c r="A440" s="14"/>
      <c r="B440" s="15" t="s">
        <v>583</v>
      </c>
      <c r="C440" s="16"/>
      <c r="D440" s="16"/>
      <c r="E440" s="16"/>
      <c r="F440" s="16"/>
      <c r="G440" s="16"/>
      <c r="H440" s="17"/>
      <c r="I440" s="123"/>
      <c r="J440" s="16"/>
      <c r="K440" s="18"/>
    </row>
    <row r="441" spans="1:11" ht="15.75" customHeight="1" x14ac:dyDescent="0.25">
      <c r="A441" s="19" t="s">
        <v>349</v>
      </c>
      <c r="B441" s="20" t="s">
        <v>584</v>
      </c>
      <c r="C441" s="21"/>
      <c r="D441" s="21"/>
      <c r="E441" s="21"/>
      <c r="F441" s="22"/>
      <c r="G441" s="21"/>
      <c r="H441" s="23"/>
      <c r="I441" s="124"/>
      <c r="J441" s="21"/>
      <c r="K441" s="24"/>
    </row>
    <row r="442" spans="1:11" ht="39.75" customHeight="1" x14ac:dyDescent="0.25">
      <c r="A442" s="25"/>
      <c r="B442" s="26" t="s">
        <v>585</v>
      </c>
      <c r="C442" s="3" t="s">
        <v>586</v>
      </c>
      <c r="D442" s="21"/>
      <c r="E442" s="21" t="s">
        <v>587</v>
      </c>
      <c r="F442" s="3" t="s">
        <v>78</v>
      </c>
      <c r="G442" s="3">
        <v>2</v>
      </c>
      <c r="H442" s="23">
        <v>13542</v>
      </c>
      <c r="I442" s="124">
        <f t="shared" ref="I442:I473" si="20">H442*G442</f>
        <v>27084</v>
      </c>
      <c r="J442" s="21"/>
      <c r="K442" s="24" t="s">
        <v>588</v>
      </c>
    </row>
    <row r="443" spans="1:11" ht="39.75" customHeight="1" x14ac:dyDescent="0.25">
      <c r="A443" s="25"/>
      <c r="B443" s="26" t="s">
        <v>585</v>
      </c>
      <c r="C443" s="3" t="s">
        <v>589</v>
      </c>
      <c r="D443" s="21"/>
      <c r="E443" s="21" t="s">
        <v>587</v>
      </c>
      <c r="F443" s="3" t="s">
        <v>78</v>
      </c>
      <c r="G443" s="3">
        <v>1</v>
      </c>
      <c r="H443" s="23">
        <v>14599</v>
      </c>
      <c r="I443" s="124">
        <f t="shared" si="20"/>
        <v>14599</v>
      </c>
      <c r="J443" s="21"/>
      <c r="K443" s="24" t="s">
        <v>590</v>
      </c>
    </row>
    <row r="444" spans="1:11" ht="39.75" customHeight="1" x14ac:dyDescent="0.25">
      <c r="A444" s="25"/>
      <c r="B444" s="26" t="s">
        <v>585</v>
      </c>
      <c r="C444" s="3" t="s">
        <v>591</v>
      </c>
      <c r="D444" s="21"/>
      <c r="E444" s="21" t="s">
        <v>587</v>
      </c>
      <c r="F444" s="3" t="s">
        <v>78</v>
      </c>
      <c r="G444" s="3">
        <v>15</v>
      </c>
      <c r="H444" s="23">
        <v>16436</v>
      </c>
      <c r="I444" s="124">
        <f t="shared" si="20"/>
        <v>246540</v>
      </c>
      <c r="J444" s="21"/>
      <c r="K444" s="24" t="s">
        <v>592</v>
      </c>
    </row>
    <row r="445" spans="1:11" ht="39.75" customHeight="1" x14ac:dyDescent="0.25">
      <c r="A445" s="25"/>
      <c r="B445" s="26" t="s">
        <v>585</v>
      </c>
      <c r="C445" s="3" t="s">
        <v>593</v>
      </c>
      <c r="D445" s="21"/>
      <c r="E445" s="21" t="s">
        <v>587</v>
      </c>
      <c r="F445" s="3" t="s">
        <v>78</v>
      </c>
      <c r="G445" s="3">
        <v>1</v>
      </c>
      <c r="H445" s="23">
        <v>17173</v>
      </c>
      <c r="I445" s="124">
        <f t="shared" si="20"/>
        <v>17173</v>
      </c>
      <c r="J445" s="21"/>
      <c r="K445" s="24" t="s">
        <v>594</v>
      </c>
    </row>
    <row r="446" spans="1:11" ht="39.75" customHeight="1" x14ac:dyDescent="0.25">
      <c r="A446" s="25"/>
      <c r="B446" s="26" t="s">
        <v>585</v>
      </c>
      <c r="C446" s="3" t="s">
        <v>595</v>
      </c>
      <c r="D446" s="21"/>
      <c r="E446" s="21" t="s">
        <v>587</v>
      </c>
      <c r="F446" s="3" t="s">
        <v>78</v>
      </c>
      <c r="G446" s="3">
        <v>1</v>
      </c>
      <c r="H446" s="23">
        <v>18915</v>
      </c>
      <c r="I446" s="124">
        <f t="shared" si="20"/>
        <v>18915</v>
      </c>
      <c r="J446" s="21"/>
      <c r="K446" s="24" t="s">
        <v>596</v>
      </c>
    </row>
    <row r="447" spans="1:11" ht="39.75" customHeight="1" x14ac:dyDescent="0.25">
      <c r="A447" s="25"/>
      <c r="B447" s="26" t="s">
        <v>585</v>
      </c>
      <c r="C447" s="3" t="s">
        <v>597</v>
      </c>
      <c r="D447" s="21"/>
      <c r="E447" s="21" t="s">
        <v>587</v>
      </c>
      <c r="F447" s="3" t="s">
        <v>78</v>
      </c>
      <c r="G447" s="3">
        <v>1</v>
      </c>
      <c r="H447" s="23">
        <v>19986</v>
      </c>
      <c r="I447" s="124">
        <f t="shared" si="20"/>
        <v>19986</v>
      </c>
      <c r="J447" s="21"/>
      <c r="K447" s="24" t="s">
        <v>598</v>
      </c>
    </row>
    <row r="448" spans="1:11" ht="39.75" customHeight="1" x14ac:dyDescent="0.25">
      <c r="A448" s="25"/>
      <c r="B448" s="26" t="s">
        <v>585</v>
      </c>
      <c r="C448" s="3" t="s">
        <v>599</v>
      </c>
      <c r="D448" s="21"/>
      <c r="E448" s="21" t="s">
        <v>587</v>
      </c>
      <c r="F448" s="3" t="s">
        <v>78</v>
      </c>
      <c r="G448" s="3">
        <v>1</v>
      </c>
      <c r="H448" s="23">
        <v>20992</v>
      </c>
      <c r="I448" s="124">
        <f t="shared" si="20"/>
        <v>20992</v>
      </c>
      <c r="J448" s="21"/>
      <c r="K448" s="24" t="s">
        <v>600</v>
      </c>
    </row>
    <row r="449" spans="1:11" ht="39.75" customHeight="1" x14ac:dyDescent="0.25">
      <c r="A449" s="25"/>
      <c r="B449" s="26" t="s">
        <v>585</v>
      </c>
      <c r="C449" s="3" t="s">
        <v>601</v>
      </c>
      <c r="D449" s="21"/>
      <c r="E449" s="21" t="s">
        <v>587</v>
      </c>
      <c r="F449" s="3" t="s">
        <v>78</v>
      </c>
      <c r="G449" s="3">
        <v>9</v>
      </c>
      <c r="H449" s="23">
        <v>23085</v>
      </c>
      <c r="I449" s="124">
        <f t="shared" si="20"/>
        <v>207765</v>
      </c>
      <c r="J449" s="21"/>
      <c r="K449" s="24" t="s">
        <v>602</v>
      </c>
    </row>
    <row r="450" spans="1:11" ht="39.75" customHeight="1" x14ac:dyDescent="0.25">
      <c r="A450" s="25"/>
      <c r="B450" s="26" t="s">
        <v>585</v>
      </c>
      <c r="C450" s="3" t="s">
        <v>603</v>
      </c>
      <c r="D450" s="21"/>
      <c r="E450" s="21" t="s">
        <v>587</v>
      </c>
      <c r="F450" s="3" t="s">
        <v>78</v>
      </c>
      <c r="G450" s="3">
        <v>14</v>
      </c>
      <c r="H450" s="23">
        <v>24232</v>
      </c>
      <c r="I450" s="124">
        <f t="shared" si="20"/>
        <v>339248</v>
      </c>
      <c r="J450" s="21"/>
      <c r="K450" s="24" t="s">
        <v>604</v>
      </c>
    </row>
    <row r="451" spans="1:11" ht="39.75" customHeight="1" x14ac:dyDescent="0.25">
      <c r="A451" s="25"/>
      <c r="B451" s="26" t="s">
        <v>585</v>
      </c>
      <c r="C451" s="3" t="s">
        <v>605</v>
      </c>
      <c r="D451" s="21"/>
      <c r="E451" s="21" t="s">
        <v>587</v>
      </c>
      <c r="F451" s="3" t="s">
        <v>78</v>
      </c>
      <c r="G451" s="3">
        <v>7</v>
      </c>
      <c r="H451" s="23">
        <v>25479</v>
      </c>
      <c r="I451" s="124">
        <f t="shared" si="20"/>
        <v>178353</v>
      </c>
      <c r="J451" s="21"/>
      <c r="K451" s="24" t="s">
        <v>606</v>
      </c>
    </row>
    <row r="452" spans="1:11" ht="39.75" customHeight="1" x14ac:dyDescent="0.25">
      <c r="A452" s="25"/>
      <c r="B452" s="26" t="s">
        <v>585</v>
      </c>
      <c r="C452" s="3" t="s">
        <v>607</v>
      </c>
      <c r="D452" s="21"/>
      <c r="E452" s="21" t="s">
        <v>587</v>
      </c>
      <c r="F452" s="3" t="s">
        <v>78</v>
      </c>
      <c r="G452" s="3">
        <v>3</v>
      </c>
      <c r="H452" s="23">
        <v>27878</v>
      </c>
      <c r="I452" s="124">
        <f t="shared" si="20"/>
        <v>83634</v>
      </c>
      <c r="J452" s="21"/>
      <c r="K452" s="24" t="s">
        <v>608</v>
      </c>
    </row>
    <row r="453" spans="1:11" ht="39.75" customHeight="1" x14ac:dyDescent="0.25">
      <c r="A453" s="25"/>
      <c r="B453" s="26" t="s">
        <v>585</v>
      </c>
      <c r="C453" s="3" t="s">
        <v>609</v>
      </c>
      <c r="D453" s="21"/>
      <c r="E453" s="21" t="s">
        <v>587</v>
      </c>
      <c r="F453" s="3" t="s">
        <v>78</v>
      </c>
      <c r="G453" s="3">
        <v>4</v>
      </c>
      <c r="H453" s="23">
        <v>28625</v>
      </c>
      <c r="I453" s="124">
        <f t="shared" si="20"/>
        <v>114500</v>
      </c>
      <c r="J453" s="21"/>
      <c r="K453" s="24" t="s">
        <v>610</v>
      </c>
    </row>
    <row r="454" spans="1:11" ht="39.75" customHeight="1" x14ac:dyDescent="0.25">
      <c r="A454" s="25"/>
      <c r="B454" s="26" t="s">
        <v>585</v>
      </c>
      <c r="C454" s="3" t="s">
        <v>611</v>
      </c>
      <c r="D454" s="21"/>
      <c r="E454" s="21" t="s">
        <v>587</v>
      </c>
      <c r="F454" s="3" t="s">
        <v>78</v>
      </c>
      <c r="G454" s="3">
        <v>6</v>
      </c>
      <c r="H454" s="23">
        <v>30005</v>
      </c>
      <c r="I454" s="124">
        <f t="shared" si="20"/>
        <v>180030</v>
      </c>
      <c r="J454" s="21"/>
      <c r="K454" s="24" t="s">
        <v>612</v>
      </c>
    </row>
    <row r="455" spans="1:11" ht="39.75" customHeight="1" x14ac:dyDescent="0.25">
      <c r="A455" s="25"/>
      <c r="B455" s="26" t="s">
        <v>585</v>
      </c>
      <c r="C455" s="3" t="s">
        <v>613</v>
      </c>
      <c r="D455" s="21"/>
      <c r="E455" s="21" t="s">
        <v>587</v>
      </c>
      <c r="F455" s="3" t="s">
        <v>78</v>
      </c>
      <c r="G455" s="3">
        <v>5</v>
      </c>
      <c r="H455" s="23">
        <v>30762</v>
      </c>
      <c r="I455" s="124">
        <f t="shared" si="20"/>
        <v>153810</v>
      </c>
      <c r="J455" s="21"/>
      <c r="K455" s="24" t="s">
        <v>614</v>
      </c>
    </row>
    <row r="456" spans="1:11" ht="39.75" customHeight="1" x14ac:dyDescent="0.25">
      <c r="A456" s="25"/>
      <c r="B456" s="26" t="s">
        <v>585</v>
      </c>
      <c r="C456" s="3" t="s">
        <v>615</v>
      </c>
      <c r="D456" s="21"/>
      <c r="E456" s="21" t="s">
        <v>587</v>
      </c>
      <c r="F456" s="3" t="s">
        <v>78</v>
      </c>
      <c r="G456" s="3">
        <v>8</v>
      </c>
      <c r="H456" s="23">
        <v>31806</v>
      </c>
      <c r="I456" s="124">
        <f t="shared" si="20"/>
        <v>254448</v>
      </c>
      <c r="J456" s="21"/>
      <c r="K456" s="24" t="s">
        <v>616</v>
      </c>
    </row>
    <row r="457" spans="1:11" ht="39.75" customHeight="1" x14ac:dyDescent="0.25">
      <c r="A457" s="25"/>
      <c r="B457" s="26" t="s">
        <v>585</v>
      </c>
      <c r="C457" s="3" t="s">
        <v>617</v>
      </c>
      <c r="D457" s="21"/>
      <c r="E457" s="21" t="s">
        <v>587</v>
      </c>
      <c r="F457" s="3" t="s">
        <v>78</v>
      </c>
      <c r="G457" s="3">
        <v>4</v>
      </c>
      <c r="H457" s="23">
        <v>32576</v>
      </c>
      <c r="I457" s="124">
        <f t="shared" si="20"/>
        <v>130304</v>
      </c>
      <c r="J457" s="21"/>
      <c r="K457" s="24" t="s">
        <v>618</v>
      </c>
    </row>
    <row r="458" spans="1:11" ht="39.75" customHeight="1" x14ac:dyDescent="0.25">
      <c r="A458" s="25"/>
      <c r="B458" s="26" t="s">
        <v>585</v>
      </c>
      <c r="C458" s="3" t="s">
        <v>619</v>
      </c>
      <c r="D458" s="21"/>
      <c r="E458" s="21" t="s">
        <v>587</v>
      </c>
      <c r="F458" s="3" t="s">
        <v>78</v>
      </c>
      <c r="G458" s="3">
        <v>2</v>
      </c>
      <c r="H458" s="23">
        <v>36748</v>
      </c>
      <c r="I458" s="124">
        <f t="shared" si="20"/>
        <v>73496</v>
      </c>
      <c r="J458" s="21"/>
      <c r="K458" s="24" t="s">
        <v>620</v>
      </c>
    </row>
    <row r="459" spans="1:11" ht="39.75" customHeight="1" x14ac:dyDescent="0.25">
      <c r="A459" s="25"/>
      <c r="B459" s="26" t="s">
        <v>585</v>
      </c>
      <c r="C459" s="3" t="s">
        <v>621</v>
      </c>
      <c r="D459" s="21"/>
      <c r="E459" s="21" t="s">
        <v>587</v>
      </c>
      <c r="F459" s="3" t="s">
        <v>78</v>
      </c>
      <c r="G459" s="3">
        <v>1</v>
      </c>
      <c r="H459" s="23">
        <v>37912</v>
      </c>
      <c r="I459" s="124">
        <f t="shared" si="20"/>
        <v>37912</v>
      </c>
      <c r="J459" s="21"/>
      <c r="K459" s="24" t="s">
        <v>622</v>
      </c>
    </row>
    <row r="460" spans="1:11" ht="39.75" customHeight="1" x14ac:dyDescent="0.25">
      <c r="A460" s="25"/>
      <c r="B460" s="26" t="s">
        <v>585</v>
      </c>
      <c r="C460" s="3" t="s">
        <v>623</v>
      </c>
      <c r="D460" s="21"/>
      <c r="E460" s="21" t="s">
        <v>587</v>
      </c>
      <c r="F460" s="3" t="s">
        <v>78</v>
      </c>
      <c r="G460" s="3">
        <v>1</v>
      </c>
      <c r="H460" s="23">
        <v>40653</v>
      </c>
      <c r="I460" s="124">
        <f t="shared" si="20"/>
        <v>40653</v>
      </c>
      <c r="J460" s="21"/>
      <c r="K460" s="24" t="s">
        <v>624</v>
      </c>
    </row>
    <row r="461" spans="1:11" ht="39.75" customHeight="1" x14ac:dyDescent="0.25">
      <c r="A461" s="25"/>
      <c r="B461" s="26" t="s">
        <v>585</v>
      </c>
      <c r="C461" s="3" t="s">
        <v>625</v>
      </c>
      <c r="D461" s="21"/>
      <c r="E461" s="21" t="s">
        <v>587</v>
      </c>
      <c r="F461" s="3" t="s">
        <v>78</v>
      </c>
      <c r="G461" s="3">
        <v>2</v>
      </c>
      <c r="H461" s="23">
        <v>13942</v>
      </c>
      <c r="I461" s="124">
        <f t="shared" si="20"/>
        <v>27884</v>
      </c>
      <c r="J461" s="21"/>
      <c r="K461" s="24" t="s">
        <v>626</v>
      </c>
    </row>
    <row r="462" spans="1:11" ht="39.75" customHeight="1" x14ac:dyDescent="0.25">
      <c r="A462" s="25"/>
      <c r="B462" s="26" t="s">
        <v>585</v>
      </c>
      <c r="C462" s="3" t="s">
        <v>627</v>
      </c>
      <c r="D462" s="21"/>
      <c r="E462" s="21" t="s">
        <v>587</v>
      </c>
      <c r="F462" s="3" t="s">
        <v>78</v>
      </c>
      <c r="G462" s="3">
        <v>1</v>
      </c>
      <c r="H462" s="23">
        <v>21612</v>
      </c>
      <c r="I462" s="124">
        <f t="shared" si="20"/>
        <v>21612</v>
      </c>
      <c r="J462" s="21"/>
      <c r="K462" s="24" t="s">
        <v>628</v>
      </c>
    </row>
    <row r="463" spans="1:11" ht="39.75" customHeight="1" x14ac:dyDescent="0.25">
      <c r="A463" s="25"/>
      <c r="B463" s="26" t="s">
        <v>585</v>
      </c>
      <c r="C463" s="3" t="s">
        <v>629</v>
      </c>
      <c r="D463" s="21"/>
      <c r="E463" s="21" t="s">
        <v>587</v>
      </c>
      <c r="F463" s="3" t="s">
        <v>78</v>
      </c>
      <c r="G463" s="3">
        <v>1</v>
      </c>
      <c r="H463" s="23">
        <v>22567</v>
      </c>
      <c r="I463" s="124">
        <f t="shared" si="20"/>
        <v>22567</v>
      </c>
      <c r="J463" s="21"/>
      <c r="K463" s="24" t="s">
        <v>630</v>
      </c>
    </row>
    <row r="464" spans="1:11" ht="39.75" customHeight="1" x14ac:dyDescent="0.25">
      <c r="A464" s="25"/>
      <c r="B464" s="26" t="s">
        <v>585</v>
      </c>
      <c r="C464" s="3" t="s">
        <v>631</v>
      </c>
      <c r="D464" s="21"/>
      <c r="E464" s="21" t="s">
        <v>587</v>
      </c>
      <c r="F464" s="3" t="s">
        <v>78</v>
      </c>
      <c r="G464" s="3">
        <v>1</v>
      </c>
      <c r="H464" s="23">
        <v>24953</v>
      </c>
      <c r="I464" s="124">
        <f t="shared" si="20"/>
        <v>24953</v>
      </c>
      <c r="J464" s="21"/>
      <c r="K464" s="24" t="s">
        <v>632</v>
      </c>
    </row>
    <row r="465" spans="1:11" ht="39.75" customHeight="1" x14ac:dyDescent="0.25">
      <c r="A465" s="25"/>
      <c r="B465" s="26" t="s">
        <v>585</v>
      </c>
      <c r="C465" s="3" t="s">
        <v>633</v>
      </c>
      <c r="D465" s="21"/>
      <c r="E465" s="21" t="s">
        <v>587</v>
      </c>
      <c r="F465" s="3" t="s">
        <v>78</v>
      </c>
      <c r="G465" s="3">
        <v>4</v>
      </c>
      <c r="H465" s="23">
        <v>29481</v>
      </c>
      <c r="I465" s="124">
        <f t="shared" si="20"/>
        <v>117924</v>
      </c>
      <c r="J465" s="21"/>
      <c r="K465" s="24" t="s">
        <v>634</v>
      </c>
    </row>
    <row r="466" spans="1:11" ht="39.75" customHeight="1" x14ac:dyDescent="0.25">
      <c r="A466" s="25"/>
      <c r="B466" s="26" t="s">
        <v>585</v>
      </c>
      <c r="C466" s="3" t="s">
        <v>635</v>
      </c>
      <c r="D466" s="21"/>
      <c r="E466" s="21" t="s">
        <v>587</v>
      </c>
      <c r="F466" s="3" t="s">
        <v>78</v>
      </c>
      <c r="G466" s="3">
        <v>3</v>
      </c>
      <c r="H466" s="23">
        <v>30904</v>
      </c>
      <c r="I466" s="124">
        <f t="shared" si="20"/>
        <v>92712</v>
      </c>
      <c r="J466" s="21"/>
      <c r="K466" s="24" t="s">
        <v>636</v>
      </c>
    </row>
    <row r="467" spans="1:11" ht="39.75" customHeight="1" x14ac:dyDescent="0.25">
      <c r="A467" s="25"/>
      <c r="B467" s="26" t="s">
        <v>585</v>
      </c>
      <c r="C467" s="3" t="s">
        <v>637</v>
      </c>
      <c r="D467" s="21"/>
      <c r="E467" s="21" t="s">
        <v>587</v>
      </c>
      <c r="F467" s="3" t="s">
        <v>78</v>
      </c>
      <c r="G467" s="3">
        <v>1</v>
      </c>
      <c r="H467" s="23">
        <v>31684</v>
      </c>
      <c r="I467" s="124">
        <f t="shared" si="20"/>
        <v>31684</v>
      </c>
      <c r="J467" s="21"/>
      <c r="K467" s="24" t="s">
        <v>638</v>
      </c>
    </row>
    <row r="468" spans="1:11" ht="39.75" customHeight="1" x14ac:dyDescent="0.25">
      <c r="A468" s="25"/>
      <c r="B468" s="26" t="s">
        <v>585</v>
      </c>
      <c r="C468" s="3" t="s">
        <v>639</v>
      </c>
      <c r="D468" s="21"/>
      <c r="E468" s="21" t="s">
        <v>587</v>
      </c>
      <c r="F468" s="3" t="s">
        <v>78</v>
      </c>
      <c r="G468" s="3">
        <v>1</v>
      </c>
      <c r="H468" s="23">
        <v>32761</v>
      </c>
      <c r="I468" s="124">
        <f t="shared" si="20"/>
        <v>32761</v>
      </c>
      <c r="J468" s="21"/>
      <c r="K468" s="24" t="s">
        <v>640</v>
      </c>
    </row>
    <row r="469" spans="1:11" ht="39.75" customHeight="1" x14ac:dyDescent="0.25">
      <c r="A469" s="25"/>
      <c r="B469" s="26" t="s">
        <v>585</v>
      </c>
      <c r="C469" s="3" t="s">
        <v>641</v>
      </c>
      <c r="D469" s="21"/>
      <c r="E469" s="21" t="s">
        <v>587</v>
      </c>
      <c r="F469" s="3" t="s">
        <v>78</v>
      </c>
      <c r="G469" s="3">
        <v>1</v>
      </c>
      <c r="H469" s="23">
        <v>33554</v>
      </c>
      <c r="I469" s="124">
        <f t="shared" si="20"/>
        <v>33554</v>
      </c>
      <c r="J469" s="21"/>
      <c r="K469" s="24" t="s">
        <v>642</v>
      </c>
    </row>
    <row r="470" spans="1:11" ht="39.75" customHeight="1" x14ac:dyDescent="0.25">
      <c r="A470" s="25"/>
      <c r="B470" s="26" t="s">
        <v>585</v>
      </c>
      <c r="C470" s="3" t="s">
        <v>643</v>
      </c>
      <c r="D470" s="21"/>
      <c r="E470" s="21" t="s">
        <v>587</v>
      </c>
      <c r="F470" s="3" t="s">
        <v>78</v>
      </c>
      <c r="G470" s="3">
        <v>1</v>
      </c>
      <c r="H470" s="23">
        <v>40918</v>
      </c>
      <c r="I470" s="124">
        <f t="shared" si="20"/>
        <v>40918</v>
      </c>
      <c r="J470" s="21"/>
      <c r="K470" s="24" t="s">
        <v>644</v>
      </c>
    </row>
    <row r="471" spans="1:11" ht="39.75" customHeight="1" x14ac:dyDescent="0.25">
      <c r="A471" s="25"/>
      <c r="B471" s="26" t="s">
        <v>585</v>
      </c>
      <c r="C471" s="3" t="s">
        <v>645</v>
      </c>
      <c r="D471" s="21"/>
      <c r="E471" s="21" t="s">
        <v>587</v>
      </c>
      <c r="F471" s="3" t="s">
        <v>78</v>
      </c>
      <c r="G471" s="3">
        <v>1</v>
      </c>
      <c r="H471" s="23">
        <v>26396</v>
      </c>
      <c r="I471" s="124">
        <f t="shared" si="20"/>
        <v>26396</v>
      </c>
      <c r="J471" s="21"/>
      <c r="K471" s="24" t="s">
        <v>646</v>
      </c>
    </row>
    <row r="472" spans="1:11" ht="39.75" customHeight="1" x14ac:dyDescent="0.25">
      <c r="A472" s="25"/>
      <c r="B472" s="26" t="s">
        <v>585</v>
      </c>
      <c r="C472" s="3" t="s">
        <v>647</v>
      </c>
      <c r="D472" s="21"/>
      <c r="E472" s="21" t="s">
        <v>587</v>
      </c>
      <c r="F472" s="3" t="s">
        <v>78</v>
      </c>
      <c r="G472" s="3">
        <v>1</v>
      </c>
      <c r="H472" s="23">
        <v>28537</v>
      </c>
      <c r="I472" s="124">
        <f t="shared" si="20"/>
        <v>28537</v>
      </c>
      <c r="J472" s="21"/>
      <c r="K472" s="24" t="s">
        <v>648</v>
      </c>
    </row>
    <row r="473" spans="1:11" ht="39.75" customHeight="1" x14ac:dyDescent="0.25">
      <c r="A473" s="25"/>
      <c r="B473" s="26" t="s">
        <v>585</v>
      </c>
      <c r="C473" s="3" t="s">
        <v>649</v>
      </c>
      <c r="D473" s="21"/>
      <c r="E473" s="21" t="s">
        <v>587</v>
      </c>
      <c r="F473" s="3" t="s">
        <v>78</v>
      </c>
      <c r="G473" s="3">
        <v>4</v>
      </c>
      <c r="H473" s="23">
        <v>37514</v>
      </c>
      <c r="I473" s="124">
        <f t="shared" si="20"/>
        <v>150056</v>
      </c>
      <c r="J473" s="21"/>
      <c r="K473" s="24" t="s">
        <v>650</v>
      </c>
    </row>
    <row r="474" spans="1:11" ht="39.75" customHeight="1" x14ac:dyDescent="0.25">
      <c r="A474" s="25"/>
      <c r="B474" s="26" t="s">
        <v>585</v>
      </c>
      <c r="C474" s="3" t="s">
        <v>651</v>
      </c>
      <c r="D474" s="21"/>
      <c r="E474" s="21" t="s">
        <v>587</v>
      </c>
      <c r="F474" s="3" t="s">
        <v>78</v>
      </c>
      <c r="G474" s="3">
        <v>7</v>
      </c>
      <c r="H474" s="23">
        <v>39011</v>
      </c>
      <c r="I474" s="124">
        <f t="shared" ref="I474:I505" si="21">H474*G474</f>
        <v>273077</v>
      </c>
      <c r="J474" s="21"/>
      <c r="K474" s="24" t="s">
        <v>652</v>
      </c>
    </row>
    <row r="475" spans="1:11" ht="39.75" customHeight="1" x14ac:dyDescent="0.25">
      <c r="A475" s="25"/>
      <c r="B475" s="26" t="s">
        <v>585</v>
      </c>
      <c r="C475" s="3" t="s">
        <v>653</v>
      </c>
      <c r="D475" s="21"/>
      <c r="E475" s="21" t="s">
        <v>587</v>
      </c>
      <c r="F475" s="3" t="s">
        <v>78</v>
      </c>
      <c r="G475" s="3">
        <v>1</v>
      </c>
      <c r="H475" s="23">
        <v>55516</v>
      </c>
      <c r="I475" s="124">
        <f t="shared" si="21"/>
        <v>55516</v>
      </c>
      <c r="J475" s="21"/>
      <c r="K475" s="24" t="s">
        <v>654</v>
      </c>
    </row>
    <row r="476" spans="1:11" ht="39.75" customHeight="1" x14ac:dyDescent="0.25">
      <c r="A476" s="25"/>
      <c r="B476" s="26" t="s">
        <v>585</v>
      </c>
      <c r="C476" s="3" t="s">
        <v>655</v>
      </c>
      <c r="D476" s="21"/>
      <c r="E476" s="21" t="s">
        <v>587</v>
      </c>
      <c r="F476" s="3" t="s">
        <v>78</v>
      </c>
      <c r="G476" s="3">
        <v>2</v>
      </c>
      <c r="H476" s="23">
        <v>34302</v>
      </c>
      <c r="I476" s="124">
        <f t="shared" si="21"/>
        <v>68604</v>
      </c>
      <c r="J476" s="21"/>
      <c r="K476" s="24" t="s">
        <v>656</v>
      </c>
    </row>
    <row r="477" spans="1:11" ht="39.75" customHeight="1" x14ac:dyDescent="0.25">
      <c r="A477" s="25"/>
      <c r="B477" s="26" t="s">
        <v>585</v>
      </c>
      <c r="C477" s="3" t="s">
        <v>657</v>
      </c>
      <c r="D477" s="21"/>
      <c r="E477" s="21" t="s">
        <v>587</v>
      </c>
      <c r="F477" s="3" t="s">
        <v>78</v>
      </c>
      <c r="G477" s="3">
        <v>1</v>
      </c>
      <c r="H477" s="23">
        <v>36528</v>
      </c>
      <c r="I477" s="124">
        <f t="shared" si="21"/>
        <v>36528</v>
      </c>
      <c r="J477" s="21"/>
      <c r="K477" s="24" t="s">
        <v>658</v>
      </c>
    </row>
    <row r="478" spans="1:11" ht="39.75" customHeight="1" x14ac:dyDescent="0.25">
      <c r="A478" s="25"/>
      <c r="B478" s="26" t="s">
        <v>585</v>
      </c>
      <c r="C478" s="3" t="s">
        <v>659</v>
      </c>
      <c r="D478" s="21"/>
      <c r="E478" s="21" t="s">
        <v>587</v>
      </c>
      <c r="F478" s="3" t="s">
        <v>78</v>
      </c>
      <c r="G478" s="3">
        <v>2</v>
      </c>
      <c r="H478" s="23">
        <v>38243</v>
      </c>
      <c r="I478" s="124">
        <f t="shared" si="21"/>
        <v>76486</v>
      </c>
      <c r="J478" s="21"/>
      <c r="K478" s="24" t="s">
        <v>660</v>
      </c>
    </row>
    <row r="479" spans="1:11" ht="39.75" customHeight="1" x14ac:dyDescent="0.25">
      <c r="A479" s="25"/>
      <c r="B479" s="26" t="s">
        <v>585</v>
      </c>
      <c r="C479" s="3" t="s">
        <v>661</v>
      </c>
      <c r="D479" s="21"/>
      <c r="E479" s="21" t="s">
        <v>587</v>
      </c>
      <c r="F479" s="3" t="s">
        <v>78</v>
      </c>
      <c r="G479" s="3">
        <v>1</v>
      </c>
      <c r="H479" s="23">
        <v>40267</v>
      </c>
      <c r="I479" s="124">
        <f t="shared" si="21"/>
        <v>40267</v>
      </c>
      <c r="J479" s="21"/>
      <c r="K479" s="24" t="s">
        <v>662</v>
      </c>
    </row>
    <row r="480" spans="1:11" ht="39.75" customHeight="1" x14ac:dyDescent="0.25">
      <c r="A480" s="25"/>
      <c r="B480" s="26" t="s">
        <v>585</v>
      </c>
      <c r="C480" s="3" t="s">
        <v>663</v>
      </c>
      <c r="D480" s="21"/>
      <c r="E480" s="21" t="s">
        <v>587</v>
      </c>
      <c r="F480" s="3" t="s">
        <v>78</v>
      </c>
      <c r="G480" s="3">
        <v>1</v>
      </c>
      <c r="H480" s="23">
        <v>46117</v>
      </c>
      <c r="I480" s="124">
        <f t="shared" si="21"/>
        <v>46117</v>
      </c>
      <c r="J480" s="21"/>
      <c r="K480" s="24" t="s">
        <v>664</v>
      </c>
    </row>
    <row r="481" spans="1:11" ht="39.75" customHeight="1" x14ac:dyDescent="0.25">
      <c r="A481" s="25"/>
      <c r="B481" s="26" t="s">
        <v>585</v>
      </c>
      <c r="C481" s="3" t="s">
        <v>665</v>
      </c>
      <c r="D481" s="21"/>
      <c r="E481" s="21" t="s">
        <v>587</v>
      </c>
      <c r="F481" s="3" t="s">
        <v>78</v>
      </c>
      <c r="G481" s="3">
        <v>2</v>
      </c>
      <c r="H481" s="23">
        <v>48707</v>
      </c>
      <c r="I481" s="124">
        <f t="shared" si="21"/>
        <v>97414</v>
      </c>
      <c r="J481" s="21"/>
      <c r="K481" s="24" t="s">
        <v>666</v>
      </c>
    </row>
    <row r="482" spans="1:11" ht="39.75" customHeight="1" x14ac:dyDescent="0.25">
      <c r="A482" s="25"/>
      <c r="B482" s="26" t="s">
        <v>585</v>
      </c>
      <c r="C482" s="3" t="s">
        <v>667</v>
      </c>
      <c r="D482" s="21"/>
      <c r="E482" s="21" t="s">
        <v>587</v>
      </c>
      <c r="F482" s="3" t="s">
        <v>78</v>
      </c>
      <c r="G482" s="3">
        <v>4</v>
      </c>
      <c r="H482" s="23">
        <v>52711</v>
      </c>
      <c r="I482" s="124">
        <f t="shared" si="21"/>
        <v>210844</v>
      </c>
      <c r="J482" s="21"/>
      <c r="K482" s="24" t="s">
        <v>668</v>
      </c>
    </row>
    <row r="483" spans="1:11" ht="39.75" customHeight="1" x14ac:dyDescent="0.25">
      <c r="A483" s="25"/>
      <c r="B483" s="26" t="s">
        <v>585</v>
      </c>
      <c r="C483" s="3" t="s">
        <v>669</v>
      </c>
      <c r="D483" s="21"/>
      <c r="E483" s="21" t="s">
        <v>587</v>
      </c>
      <c r="F483" s="3" t="s">
        <v>78</v>
      </c>
      <c r="G483" s="3">
        <v>2</v>
      </c>
      <c r="H483" s="23">
        <v>56340</v>
      </c>
      <c r="I483" s="124">
        <f t="shared" si="21"/>
        <v>112680</v>
      </c>
      <c r="J483" s="21"/>
      <c r="K483" s="24" t="s">
        <v>670</v>
      </c>
    </row>
    <row r="484" spans="1:11" ht="39.75" customHeight="1" x14ac:dyDescent="0.25">
      <c r="A484" s="25"/>
      <c r="B484" s="26" t="s">
        <v>585</v>
      </c>
      <c r="C484" s="3" t="s">
        <v>671</v>
      </c>
      <c r="D484" s="21"/>
      <c r="E484" s="21" t="s">
        <v>587</v>
      </c>
      <c r="F484" s="3" t="s">
        <v>78</v>
      </c>
      <c r="G484" s="3">
        <v>1</v>
      </c>
      <c r="H484" s="23">
        <v>58022</v>
      </c>
      <c r="I484" s="124">
        <f t="shared" si="21"/>
        <v>58022</v>
      </c>
      <c r="J484" s="21"/>
      <c r="K484" s="24" t="s">
        <v>672</v>
      </c>
    </row>
    <row r="485" spans="1:11" ht="39.75" customHeight="1" x14ac:dyDescent="0.25">
      <c r="A485" s="25"/>
      <c r="B485" s="26" t="s">
        <v>585</v>
      </c>
      <c r="C485" s="3" t="s">
        <v>673</v>
      </c>
      <c r="D485" s="21"/>
      <c r="E485" s="21" t="s">
        <v>587</v>
      </c>
      <c r="F485" s="3" t="s">
        <v>78</v>
      </c>
      <c r="G485" s="3">
        <v>1</v>
      </c>
      <c r="H485" s="23">
        <v>69893</v>
      </c>
      <c r="I485" s="124">
        <f t="shared" si="21"/>
        <v>69893</v>
      </c>
      <c r="J485" s="21"/>
      <c r="K485" s="24" t="s">
        <v>674</v>
      </c>
    </row>
    <row r="486" spans="1:11" ht="34.5" customHeight="1" x14ac:dyDescent="0.25">
      <c r="A486" s="25"/>
      <c r="B486" s="26" t="s">
        <v>675</v>
      </c>
      <c r="C486" s="3" t="s">
        <v>676</v>
      </c>
      <c r="D486" s="21"/>
      <c r="E486" s="21" t="s">
        <v>587</v>
      </c>
      <c r="F486" s="3" t="s">
        <v>78</v>
      </c>
      <c r="G486" s="3">
        <v>1</v>
      </c>
      <c r="H486" s="23">
        <v>24760</v>
      </c>
      <c r="I486" s="124">
        <f t="shared" si="21"/>
        <v>24760</v>
      </c>
      <c r="J486" s="21"/>
      <c r="K486" s="24" t="s">
        <v>677</v>
      </c>
    </row>
    <row r="487" spans="1:11" ht="34.5" customHeight="1" x14ac:dyDescent="0.25">
      <c r="A487" s="25"/>
      <c r="B487" s="26" t="s">
        <v>675</v>
      </c>
      <c r="C487" s="3" t="s">
        <v>678</v>
      </c>
      <c r="D487" s="21"/>
      <c r="E487" s="21" t="s">
        <v>587</v>
      </c>
      <c r="F487" s="3" t="s">
        <v>78</v>
      </c>
      <c r="G487" s="3">
        <v>1</v>
      </c>
      <c r="H487" s="23">
        <v>26125</v>
      </c>
      <c r="I487" s="124">
        <f t="shared" si="21"/>
        <v>26125</v>
      </c>
      <c r="J487" s="21"/>
      <c r="K487" s="24" t="s">
        <v>679</v>
      </c>
    </row>
    <row r="488" spans="1:11" ht="34.5" customHeight="1" x14ac:dyDescent="0.25">
      <c r="A488" s="25"/>
      <c r="B488" s="26" t="s">
        <v>675</v>
      </c>
      <c r="C488" s="3" t="s">
        <v>680</v>
      </c>
      <c r="D488" s="21"/>
      <c r="E488" s="21" t="s">
        <v>587</v>
      </c>
      <c r="F488" s="3" t="s">
        <v>78</v>
      </c>
      <c r="G488" s="3">
        <v>1</v>
      </c>
      <c r="H488" s="23">
        <v>27448</v>
      </c>
      <c r="I488" s="124">
        <f t="shared" si="21"/>
        <v>27448</v>
      </c>
      <c r="J488" s="21"/>
      <c r="K488" s="24" t="s">
        <v>681</v>
      </c>
    </row>
    <row r="489" spans="1:11" ht="34.5" customHeight="1" x14ac:dyDescent="0.25">
      <c r="A489" s="25"/>
      <c r="B489" s="26" t="s">
        <v>675</v>
      </c>
      <c r="C489" s="3" t="s">
        <v>682</v>
      </c>
      <c r="D489" s="21"/>
      <c r="E489" s="21" t="s">
        <v>587</v>
      </c>
      <c r="F489" s="3" t="s">
        <v>78</v>
      </c>
      <c r="G489" s="3">
        <v>1</v>
      </c>
      <c r="H489" s="23">
        <v>36107</v>
      </c>
      <c r="I489" s="124">
        <f t="shared" si="21"/>
        <v>36107</v>
      </c>
      <c r="J489" s="21"/>
      <c r="K489" s="24" t="s">
        <v>683</v>
      </c>
    </row>
    <row r="490" spans="1:11" ht="34.5" customHeight="1" x14ac:dyDescent="0.25">
      <c r="A490" s="25"/>
      <c r="B490" s="26" t="s">
        <v>675</v>
      </c>
      <c r="C490" s="3" t="s">
        <v>684</v>
      </c>
      <c r="D490" s="21"/>
      <c r="E490" s="21" t="s">
        <v>587</v>
      </c>
      <c r="F490" s="3" t="s">
        <v>78</v>
      </c>
      <c r="G490" s="3">
        <v>8</v>
      </c>
      <c r="H490" s="23">
        <v>22805</v>
      </c>
      <c r="I490" s="124">
        <f t="shared" si="21"/>
        <v>182440</v>
      </c>
      <c r="J490" s="21"/>
      <c r="K490" s="24" t="s">
        <v>685</v>
      </c>
    </row>
    <row r="491" spans="1:11" ht="34.5" customHeight="1" x14ac:dyDescent="0.25">
      <c r="A491" s="25"/>
      <c r="B491" s="26" t="s">
        <v>675</v>
      </c>
      <c r="C491" s="3" t="s">
        <v>686</v>
      </c>
      <c r="D491" s="21"/>
      <c r="E491" s="21" t="s">
        <v>587</v>
      </c>
      <c r="F491" s="3" t="s">
        <v>78</v>
      </c>
      <c r="G491" s="3">
        <v>10</v>
      </c>
      <c r="H491" s="23">
        <v>24797</v>
      </c>
      <c r="I491" s="124">
        <f t="shared" si="21"/>
        <v>247970</v>
      </c>
      <c r="J491" s="21"/>
      <c r="K491" s="24" t="s">
        <v>687</v>
      </c>
    </row>
    <row r="492" spans="1:11" ht="34.5" customHeight="1" x14ac:dyDescent="0.25">
      <c r="A492" s="25"/>
      <c r="B492" s="26" t="s">
        <v>675</v>
      </c>
      <c r="C492" s="3" t="s">
        <v>688</v>
      </c>
      <c r="D492" s="21"/>
      <c r="E492" s="21" t="s">
        <v>587</v>
      </c>
      <c r="F492" s="3" t="s">
        <v>78</v>
      </c>
      <c r="G492" s="3">
        <v>1</v>
      </c>
      <c r="H492" s="23">
        <v>26832</v>
      </c>
      <c r="I492" s="124">
        <f t="shared" si="21"/>
        <v>26832</v>
      </c>
      <c r="J492" s="21"/>
      <c r="K492" s="24" t="s">
        <v>689</v>
      </c>
    </row>
    <row r="493" spans="1:11" ht="34.5" customHeight="1" x14ac:dyDescent="0.25">
      <c r="A493" s="25"/>
      <c r="B493" s="26" t="s">
        <v>675</v>
      </c>
      <c r="C493" s="3" t="s">
        <v>690</v>
      </c>
      <c r="D493" s="21"/>
      <c r="E493" s="21" t="s">
        <v>587</v>
      </c>
      <c r="F493" s="3" t="s">
        <v>78</v>
      </c>
      <c r="G493" s="3">
        <v>5</v>
      </c>
      <c r="H493" s="23">
        <v>28823</v>
      </c>
      <c r="I493" s="124">
        <f t="shared" si="21"/>
        <v>144115</v>
      </c>
      <c r="J493" s="21"/>
      <c r="K493" s="24" t="s">
        <v>691</v>
      </c>
    </row>
    <row r="494" spans="1:11" ht="34.5" customHeight="1" x14ac:dyDescent="0.25">
      <c r="A494" s="25"/>
      <c r="B494" s="26" t="s">
        <v>675</v>
      </c>
      <c r="C494" s="3" t="s">
        <v>692</v>
      </c>
      <c r="D494" s="21"/>
      <c r="E494" s="21" t="s">
        <v>587</v>
      </c>
      <c r="F494" s="3" t="s">
        <v>78</v>
      </c>
      <c r="G494" s="3">
        <v>1</v>
      </c>
      <c r="H494" s="23">
        <v>30815</v>
      </c>
      <c r="I494" s="124">
        <f t="shared" si="21"/>
        <v>30815</v>
      </c>
      <c r="J494" s="21"/>
      <c r="K494" s="24" t="s">
        <v>693</v>
      </c>
    </row>
    <row r="495" spans="1:11" ht="34.5" customHeight="1" x14ac:dyDescent="0.25">
      <c r="A495" s="25"/>
      <c r="B495" s="26" t="s">
        <v>675</v>
      </c>
      <c r="C495" s="3" t="s">
        <v>694</v>
      </c>
      <c r="D495" s="21"/>
      <c r="E495" s="21" t="s">
        <v>587</v>
      </c>
      <c r="F495" s="3" t="s">
        <v>78</v>
      </c>
      <c r="G495" s="3">
        <v>4</v>
      </c>
      <c r="H495" s="23">
        <v>32850</v>
      </c>
      <c r="I495" s="124">
        <f t="shared" si="21"/>
        <v>131400</v>
      </c>
      <c r="J495" s="21"/>
      <c r="K495" s="24" t="s">
        <v>695</v>
      </c>
    </row>
    <row r="496" spans="1:11" ht="34.5" customHeight="1" x14ac:dyDescent="0.25">
      <c r="A496" s="25"/>
      <c r="B496" s="26" t="s">
        <v>675</v>
      </c>
      <c r="C496" s="3" t="s">
        <v>696</v>
      </c>
      <c r="D496" s="21"/>
      <c r="E496" s="21" t="s">
        <v>587</v>
      </c>
      <c r="F496" s="3" t="s">
        <v>78</v>
      </c>
      <c r="G496" s="3">
        <v>1</v>
      </c>
      <c r="H496" s="23">
        <v>34884</v>
      </c>
      <c r="I496" s="124">
        <f t="shared" si="21"/>
        <v>34884</v>
      </c>
      <c r="J496" s="21"/>
      <c r="K496" s="24" t="s">
        <v>697</v>
      </c>
    </row>
    <row r="497" spans="1:11" ht="34.5" customHeight="1" x14ac:dyDescent="0.25">
      <c r="A497" s="25"/>
      <c r="B497" s="26" t="s">
        <v>675</v>
      </c>
      <c r="C497" s="3" t="s">
        <v>698</v>
      </c>
      <c r="D497" s="21"/>
      <c r="E497" s="21" t="s">
        <v>587</v>
      </c>
      <c r="F497" s="3" t="s">
        <v>78</v>
      </c>
      <c r="G497" s="3">
        <v>3</v>
      </c>
      <c r="H497" s="23">
        <v>37816</v>
      </c>
      <c r="I497" s="124">
        <f t="shared" si="21"/>
        <v>113448</v>
      </c>
      <c r="J497" s="21"/>
      <c r="K497" s="24" t="s">
        <v>699</v>
      </c>
    </row>
    <row r="498" spans="1:11" ht="34.5" customHeight="1" x14ac:dyDescent="0.25">
      <c r="A498" s="25"/>
      <c r="B498" s="26" t="s">
        <v>675</v>
      </c>
      <c r="C498" s="3" t="s">
        <v>700</v>
      </c>
      <c r="D498" s="21"/>
      <c r="E498" s="21" t="s">
        <v>587</v>
      </c>
      <c r="F498" s="3" t="s">
        <v>78</v>
      </c>
      <c r="G498" s="3">
        <v>1</v>
      </c>
      <c r="H498" s="23">
        <v>46154</v>
      </c>
      <c r="I498" s="124">
        <f t="shared" si="21"/>
        <v>46154</v>
      </c>
      <c r="J498" s="21"/>
      <c r="K498" s="24" t="s">
        <v>701</v>
      </c>
    </row>
    <row r="499" spans="1:11" ht="34.5" customHeight="1" x14ac:dyDescent="0.25">
      <c r="A499" s="25"/>
      <c r="B499" s="26" t="s">
        <v>675</v>
      </c>
      <c r="C499" s="3" t="s">
        <v>702</v>
      </c>
      <c r="D499" s="21"/>
      <c r="E499" s="21" t="s">
        <v>587</v>
      </c>
      <c r="F499" s="3" t="s">
        <v>78</v>
      </c>
      <c r="G499" s="3">
        <v>1</v>
      </c>
      <c r="H499" s="23">
        <v>48932</v>
      </c>
      <c r="I499" s="124">
        <f t="shared" si="21"/>
        <v>48932</v>
      </c>
      <c r="J499" s="21"/>
      <c r="K499" s="24" t="s">
        <v>703</v>
      </c>
    </row>
    <row r="500" spans="1:11" ht="34.5" customHeight="1" x14ac:dyDescent="0.25">
      <c r="A500" s="25"/>
      <c r="B500" s="26" t="s">
        <v>675</v>
      </c>
      <c r="C500" s="3" t="s">
        <v>704</v>
      </c>
      <c r="D500" s="21"/>
      <c r="E500" s="21" t="s">
        <v>587</v>
      </c>
      <c r="F500" s="3" t="s">
        <v>78</v>
      </c>
      <c r="G500" s="3">
        <v>1</v>
      </c>
      <c r="H500" s="23">
        <v>50970</v>
      </c>
      <c r="I500" s="124">
        <f t="shared" si="21"/>
        <v>50970</v>
      </c>
      <c r="J500" s="21"/>
      <c r="K500" s="24" t="s">
        <v>705</v>
      </c>
    </row>
    <row r="501" spans="1:11" ht="34.5" customHeight="1" x14ac:dyDescent="0.25">
      <c r="A501" s="25"/>
      <c r="B501" s="26" t="s">
        <v>675</v>
      </c>
      <c r="C501" s="3" t="s">
        <v>706</v>
      </c>
      <c r="D501" s="21"/>
      <c r="E501" s="21" t="s">
        <v>587</v>
      </c>
      <c r="F501" s="3" t="s">
        <v>78</v>
      </c>
      <c r="G501" s="3">
        <v>1</v>
      </c>
      <c r="H501" s="23">
        <v>55138</v>
      </c>
      <c r="I501" s="124">
        <f t="shared" si="21"/>
        <v>55138</v>
      </c>
      <c r="J501" s="21"/>
      <c r="K501" s="24" t="s">
        <v>707</v>
      </c>
    </row>
    <row r="502" spans="1:11" ht="34.5" customHeight="1" x14ac:dyDescent="0.25">
      <c r="A502" s="25"/>
      <c r="B502" s="26" t="s">
        <v>675</v>
      </c>
      <c r="C502" s="3" t="s">
        <v>708</v>
      </c>
      <c r="D502" s="21"/>
      <c r="E502" s="21" t="s">
        <v>587</v>
      </c>
      <c r="F502" s="3" t="s">
        <v>78</v>
      </c>
      <c r="G502" s="3">
        <v>1</v>
      </c>
      <c r="H502" s="23">
        <v>57233</v>
      </c>
      <c r="I502" s="124">
        <f t="shared" si="21"/>
        <v>57233</v>
      </c>
      <c r="J502" s="21"/>
      <c r="K502" s="24" t="s">
        <v>709</v>
      </c>
    </row>
    <row r="503" spans="1:11" ht="34.5" customHeight="1" x14ac:dyDescent="0.25">
      <c r="A503" s="25"/>
      <c r="B503" s="26" t="s">
        <v>675</v>
      </c>
      <c r="C503" s="3" t="s">
        <v>710</v>
      </c>
      <c r="D503" s="21"/>
      <c r="E503" s="21" t="s">
        <v>587</v>
      </c>
      <c r="F503" s="3" t="s">
        <v>78</v>
      </c>
      <c r="G503" s="3">
        <v>2</v>
      </c>
      <c r="H503" s="23">
        <v>59307</v>
      </c>
      <c r="I503" s="124">
        <f t="shared" si="21"/>
        <v>118614</v>
      </c>
      <c r="J503" s="21"/>
      <c r="K503" s="24" t="s">
        <v>711</v>
      </c>
    </row>
    <row r="504" spans="1:11" ht="34.5" customHeight="1" x14ac:dyDescent="0.25">
      <c r="A504" s="25"/>
      <c r="B504" s="26" t="s">
        <v>675</v>
      </c>
      <c r="C504" s="3" t="s">
        <v>712</v>
      </c>
      <c r="D504" s="21"/>
      <c r="E504" s="21" t="s">
        <v>587</v>
      </c>
      <c r="F504" s="3" t="s">
        <v>78</v>
      </c>
      <c r="G504" s="3">
        <v>2</v>
      </c>
      <c r="H504" s="23">
        <v>63473</v>
      </c>
      <c r="I504" s="124">
        <f t="shared" si="21"/>
        <v>126946</v>
      </c>
      <c r="J504" s="21"/>
      <c r="K504" s="24" t="s">
        <v>713</v>
      </c>
    </row>
    <row r="505" spans="1:11" ht="15.75" customHeight="1" x14ac:dyDescent="0.25">
      <c r="A505" s="25"/>
      <c r="B505" s="26" t="s">
        <v>714</v>
      </c>
      <c r="C505" s="3"/>
      <c r="D505" s="21"/>
      <c r="E505" s="21" t="s">
        <v>587</v>
      </c>
      <c r="F505" s="3" t="s">
        <v>78</v>
      </c>
      <c r="G505" s="3">
        <v>180</v>
      </c>
      <c r="H505" s="23">
        <v>4233</v>
      </c>
      <c r="I505" s="124">
        <f t="shared" si="21"/>
        <v>761940</v>
      </c>
      <c r="J505" s="21"/>
      <c r="K505" s="24"/>
    </row>
    <row r="506" spans="1:11" ht="15.75" customHeight="1" x14ac:dyDescent="0.25">
      <c r="A506" s="25"/>
      <c r="B506" s="26" t="s">
        <v>715</v>
      </c>
      <c r="C506" s="3"/>
      <c r="D506" s="21"/>
      <c r="E506" s="21"/>
      <c r="F506" s="3" t="s">
        <v>78</v>
      </c>
      <c r="G506" s="3">
        <v>1</v>
      </c>
      <c r="H506" s="23"/>
      <c r="I506" s="124">
        <f t="shared" ref="I506:I537" si="22">H506*G506</f>
        <v>0</v>
      </c>
      <c r="J506" s="21"/>
      <c r="K506" s="24"/>
    </row>
    <row r="507" spans="1:11" ht="15.75" customHeight="1" x14ac:dyDescent="0.25">
      <c r="A507" s="25"/>
      <c r="B507" s="26" t="s">
        <v>716</v>
      </c>
      <c r="C507" s="3"/>
      <c r="D507" s="21"/>
      <c r="E507" s="21"/>
      <c r="F507" s="3" t="s">
        <v>78</v>
      </c>
      <c r="G507" s="3">
        <v>1</v>
      </c>
      <c r="H507" s="23"/>
      <c r="I507" s="124">
        <f t="shared" si="22"/>
        <v>0</v>
      </c>
      <c r="J507" s="21"/>
      <c r="K507" s="24"/>
    </row>
    <row r="508" spans="1:11" ht="15.75" customHeight="1" x14ac:dyDescent="0.25">
      <c r="A508" s="25"/>
      <c r="B508" s="26" t="s">
        <v>717</v>
      </c>
      <c r="C508" s="3"/>
      <c r="D508" s="21"/>
      <c r="E508" s="21"/>
      <c r="F508" s="3" t="s">
        <v>47</v>
      </c>
      <c r="G508" s="3">
        <v>181</v>
      </c>
      <c r="H508" s="23"/>
      <c r="I508" s="124">
        <f t="shared" si="22"/>
        <v>0</v>
      </c>
      <c r="J508" s="21"/>
      <c r="K508" s="24"/>
    </row>
    <row r="509" spans="1:11" ht="15.75" customHeight="1" x14ac:dyDescent="0.25">
      <c r="A509" s="25"/>
      <c r="B509" s="26" t="s">
        <v>718</v>
      </c>
      <c r="C509" s="3"/>
      <c r="D509" s="21"/>
      <c r="E509" s="21"/>
      <c r="F509" s="3" t="s">
        <v>47</v>
      </c>
      <c r="G509" s="3">
        <v>46</v>
      </c>
      <c r="H509" s="23"/>
      <c r="I509" s="124">
        <f t="shared" si="22"/>
        <v>0</v>
      </c>
      <c r="J509" s="21"/>
      <c r="K509" s="24"/>
    </row>
    <row r="510" spans="1:11" ht="34.5" customHeight="1" x14ac:dyDescent="0.25">
      <c r="A510" s="25"/>
      <c r="B510" s="26" t="s">
        <v>719</v>
      </c>
      <c r="C510" s="3" t="s">
        <v>720</v>
      </c>
      <c r="D510" s="21" t="s">
        <v>721</v>
      </c>
      <c r="E510" s="21" t="s">
        <v>722</v>
      </c>
      <c r="F510" s="3" t="s">
        <v>78</v>
      </c>
      <c r="G510" s="3">
        <v>3</v>
      </c>
      <c r="H510" s="23"/>
      <c r="I510" s="124">
        <f t="shared" si="22"/>
        <v>0</v>
      </c>
      <c r="J510" s="21"/>
      <c r="K510" s="24"/>
    </row>
    <row r="511" spans="1:11" ht="34.5" customHeight="1" x14ac:dyDescent="0.25">
      <c r="A511" s="25"/>
      <c r="B511" s="26" t="s">
        <v>719</v>
      </c>
      <c r="C511" s="3" t="s">
        <v>723</v>
      </c>
      <c r="D511" s="21" t="s">
        <v>724</v>
      </c>
      <c r="E511" s="21" t="s">
        <v>722</v>
      </c>
      <c r="F511" s="3" t="s">
        <v>78</v>
      </c>
      <c r="G511" s="3">
        <v>3</v>
      </c>
      <c r="H511" s="23"/>
      <c r="I511" s="124">
        <f t="shared" si="22"/>
        <v>0</v>
      </c>
      <c r="J511" s="21"/>
      <c r="K511" s="24"/>
    </row>
    <row r="512" spans="1:11" ht="34.5" customHeight="1" x14ac:dyDescent="0.25">
      <c r="A512" s="25"/>
      <c r="B512" s="26" t="s">
        <v>719</v>
      </c>
      <c r="C512" s="3" t="s">
        <v>725</v>
      </c>
      <c r="D512" s="21" t="s">
        <v>726</v>
      </c>
      <c r="E512" s="21" t="s">
        <v>722</v>
      </c>
      <c r="F512" s="3" t="s">
        <v>78</v>
      </c>
      <c r="G512" s="3">
        <v>2</v>
      </c>
      <c r="H512" s="23"/>
      <c r="I512" s="124">
        <f t="shared" si="22"/>
        <v>0</v>
      </c>
      <c r="J512" s="21"/>
      <c r="K512" s="24"/>
    </row>
    <row r="513" spans="1:11" ht="34.5" customHeight="1" x14ac:dyDescent="0.25">
      <c r="A513" s="25"/>
      <c r="B513" s="26" t="s">
        <v>719</v>
      </c>
      <c r="C513" s="3" t="s">
        <v>727</v>
      </c>
      <c r="D513" s="21" t="s">
        <v>728</v>
      </c>
      <c r="E513" s="21" t="s">
        <v>722</v>
      </c>
      <c r="F513" s="3" t="s">
        <v>78</v>
      </c>
      <c r="G513" s="3">
        <v>1</v>
      </c>
      <c r="H513" s="23"/>
      <c r="I513" s="124">
        <f t="shared" si="22"/>
        <v>0</v>
      </c>
      <c r="J513" s="21"/>
      <c r="K513" s="24"/>
    </row>
    <row r="514" spans="1:11" ht="15.75" customHeight="1" x14ac:dyDescent="0.25">
      <c r="A514" s="25"/>
      <c r="B514" s="26" t="s">
        <v>729</v>
      </c>
      <c r="C514" s="3" t="s">
        <v>730</v>
      </c>
      <c r="D514" s="21" t="s">
        <v>731</v>
      </c>
      <c r="E514" s="21" t="s">
        <v>722</v>
      </c>
      <c r="F514" s="3" t="s">
        <v>78</v>
      </c>
      <c r="G514" s="3">
        <v>1</v>
      </c>
      <c r="H514" s="23"/>
      <c r="I514" s="124">
        <f t="shared" si="22"/>
        <v>0</v>
      </c>
      <c r="J514" s="21"/>
      <c r="K514" s="24"/>
    </row>
    <row r="515" spans="1:11" ht="15.75" customHeight="1" x14ac:dyDescent="0.25">
      <c r="A515" s="25"/>
      <c r="B515" s="26" t="s">
        <v>732</v>
      </c>
      <c r="C515" s="3" t="s">
        <v>733</v>
      </c>
      <c r="D515" s="21" t="s">
        <v>734</v>
      </c>
      <c r="E515" s="21" t="s">
        <v>722</v>
      </c>
      <c r="F515" s="3" t="s">
        <v>78</v>
      </c>
      <c r="G515" s="3">
        <v>2</v>
      </c>
      <c r="H515" s="23"/>
      <c r="I515" s="124">
        <f t="shared" si="22"/>
        <v>0</v>
      </c>
      <c r="J515" s="21"/>
      <c r="K515" s="24"/>
    </row>
    <row r="516" spans="1:11" ht="15.75" customHeight="1" x14ac:dyDescent="0.25">
      <c r="A516" s="25"/>
      <c r="B516" s="26" t="s">
        <v>735</v>
      </c>
      <c r="C516" s="3" t="s">
        <v>736</v>
      </c>
      <c r="D516" s="21" t="s">
        <v>737</v>
      </c>
      <c r="E516" s="21" t="s">
        <v>722</v>
      </c>
      <c r="F516" s="3" t="s">
        <v>78</v>
      </c>
      <c r="G516" s="3">
        <v>6</v>
      </c>
      <c r="H516" s="23"/>
      <c r="I516" s="124">
        <f t="shared" si="22"/>
        <v>0</v>
      </c>
      <c r="J516" s="21"/>
      <c r="K516" s="24"/>
    </row>
    <row r="517" spans="1:11" ht="34.5" customHeight="1" x14ac:dyDescent="0.25">
      <c r="A517" s="25"/>
      <c r="B517" s="26" t="s">
        <v>738</v>
      </c>
      <c r="C517" s="3" t="s">
        <v>739</v>
      </c>
      <c r="D517" s="21" t="s">
        <v>740</v>
      </c>
      <c r="E517" s="21" t="s">
        <v>722</v>
      </c>
      <c r="F517" s="3" t="s">
        <v>78</v>
      </c>
      <c r="G517" s="3">
        <v>323</v>
      </c>
      <c r="H517" s="23"/>
      <c r="I517" s="124">
        <f t="shared" si="22"/>
        <v>0</v>
      </c>
      <c r="J517" s="21"/>
      <c r="K517" s="24"/>
    </row>
    <row r="518" spans="1:11" ht="34.5" customHeight="1" x14ac:dyDescent="0.25">
      <c r="A518" s="25"/>
      <c r="B518" s="26" t="s">
        <v>741</v>
      </c>
      <c r="C518" s="3" t="s">
        <v>742</v>
      </c>
      <c r="D518" s="21" t="s">
        <v>743</v>
      </c>
      <c r="E518" s="21" t="s">
        <v>722</v>
      </c>
      <c r="F518" s="3" t="s">
        <v>78</v>
      </c>
      <c r="G518" s="3">
        <v>36</v>
      </c>
      <c r="H518" s="23"/>
      <c r="I518" s="124">
        <f t="shared" si="22"/>
        <v>0</v>
      </c>
      <c r="J518" s="21"/>
      <c r="K518" s="24"/>
    </row>
    <row r="519" spans="1:11" ht="34.5" customHeight="1" x14ac:dyDescent="0.25">
      <c r="A519" s="25"/>
      <c r="B519" s="26" t="s">
        <v>744</v>
      </c>
      <c r="C519" s="3" t="s">
        <v>745</v>
      </c>
      <c r="D519" s="21" t="s">
        <v>746</v>
      </c>
      <c r="E519" s="21" t="s">
        <v>722</v>
      </c>
      <c r="F519" s="3" t="s">
        <v>78</v>
      </c>
      <c r="G519" s="3">
        <v>2</v>
      </c>
      <c r="H519" s="23"/>
      <c r="I519" s="124">
        <f t="shared" si="22"/>
        <v>0</v>
      </c>
      <c r="J519" s="21"/>
      <c r="K519" s="24"/>
    </row>
    <row r="520" spans="1:11" ht="15.75" customHeight="1" x14ac:dyDescent="0.25">
      <c r="A520" s="25"/>
      <c r="B520" s="26" t="s">
        <v>747</v>
      </c>
      <c r="C520" s="3" t="s">
        <v>748</v>
      </c>
      <c r="D520" s="21" t="s">
        <v>749</v>
      </c>
      <c r="E520" s="21" t="s">
        <v>722</v>
      </c>
      <c r="F520" s="3" t="s">
        <v>78</v>
      </c>
      <c r="G520" s="3">
        <v>179</v>
      </c>
      <c r="H520" s="23"/>
      <c r="I520" s="124">
        <f t="shared" si="22"/>
        <v>0</v>
      </c>
      <c r="J520" s="21"/>
      <c r="K520" s="24"/>
    </row>
    <row r="521" spans="1:11" ht="34.5" customHeight="1" x14ac:dyDescent="0.25">
      <c r="A521" s="25"/>
      <c r="B521" s="26" t="s">
        <v>750</v>
      </c>
      <c r="C521" s="3"/>
      <c r="D521" s="21" t="s">
        <v>751</v>
      </c>
      <c r="E521" s="21" t="s">
        <v>722</v>
      </c>
      <c r="F521" s="3" t="s">
        <v>78</v>
      </c>
      <c r="G521" s="3">
        <v>39</v>
      </c>
      <c r="H521" s="23"/>
      <c r="I521" s="124">
        <f t="shared" si="22"/>
        <v>0</v>
      </c>
      <c r="J521" s="21"/>
      <c r="K521" s="24"/>
    </row>
    <row r="522" spans="1:11" ht="34.5" customHeight="1" x14ac:dyDescent="0.25">
      <c r="A522" s="25"/>
      <c r="B522" s="26" t="s">
        <v>752</v>
      </c>
      <c r="C522" s="3"/>
      <c r="D522" s="21" t="s">
        <v>753</v>
      </c>
      <c r="E522" s="21" t="s">
        <v>722</v>
      </c>
      <c r="F522" s="3" t="s">
        <v>78</v>
      </c>
      <c r="G522" s="3">
        <v>39</v>
      </c>
      <c r="H522" s="23"/>
      <c r="I522" s="124">
        <f t="shared" si="22"/>
        <v>0</v>
      </c>
      <c r="J522" s="21"/>
      <c r="K522" s="24"/>
    </row>
    <row r="523" spans="1:11" ht="15.75" customHeight="1" x14ac:dyDescent="0.25">
      <c r="A523" s="25"/>
      <c r="B523" s="26" t="s">
        <v>754</v>
      </c>
      <c r="C523" s="3" t="s">
        <v>755</v>
      </c>
      <c r="D523" s="21"/>
      <c r="E523" s="21"/>
      <c r="F523" s="3" t="s">
        <v>89</v>
      </c>
      <c r="G523" s="3">
        <v>340</v>
      </c>
      <c r="H523" s="23"/>
      <c r="I523" s="124">
        <f t="shared" si="22"/>
        <v>0</v>
      </c>
      <c r="J523" s="21"/>
      <c r="K523" s="24"/>
    </row>
    <row r="524" spans="1:11" ht="15.75" customHeight="1" x14ac:dyDescent="0.25">
      <c r="A524" s="25"/>
      <c r="B524" s="26" t="s">
        <v>754</v>
      </c>
      <c r="C524" s="3" t="s">
        <v>756</v>
      </c>
      <c r="D524" s="21"/>
      <c r="E524" s="21"/>
      <c r="F524" s="3" t="s">
        <v>89</v>
      </c>
      <c r="G524" s="3">
        <v>270</v>
      </c>
      <c r="H524" s="23"/>
      <c r="I524" s="124">
        <f t="shared" si="22"/>
        <v>0</v>
      </c>
      <c r="J524" s="21"/>
      <c r="K524" s="24"/>
    </row>
    <row r="525" spans="1:11" ht="15.75" customHeight="1" x14ac:dyDescent="0.25">
      <c r="A525" s="25"/>
      <c r="B525" s="26" t="s">
        <v>754</v>
      </c>
      <c r="C525" s="3" t="s">
        <v>757</v>
      </c>
      <c r="D525" s="21"/>
      <c r="E525" s="21"/>
      <c r="F525" s="3" t="s">
        <v>89</v>
      </c>
      <c r="G525" s="3">
        <v>390</v>
      </c>
      <c r="H525" s="23"/>
      <c r="I525" s="124">
        <f t="shared" si="22"/>
        <v>0</v>
      </c>
      <c r="J525" s="21"/>
      <c r="K525" s="24"/>
    </row>
    <row r="526" spans="1:11" ht="15.75" customHeight="1" x14ac:dyDescent="0.25">
      <c r="A526" s="25"/>
      <c r="B526" s="26" t="s">
        <v>754</v>
      </c>
      <c r="C526" s="3" t="s">
        <v>758</v>
      </c>
      <c r="D526" s="21"/>
      <c r="E526" s="21"/>
      <c r="F526" s="3" t="s">
        <v>89</v>
      </c>
      <c r="G526" s="3">
        <v>550</v>
      </c>
      <c r="H526" s="23"/>
      <c r="I526" s="124">
        <f t="shared" si="22"/>
        <v>0</v>
      </c>
      <c r="J526" s="21"/>
      <c r="K526" s="24"/>
    </row>
    <row r="527" spans="1:11" ht="15.75" customHeight="1" x14ac:dyDescent="0.25">
      <c r="A527" s="25"/>
      <c r="B527" s="26" t="s">
        <v>754</v>
      </c>
      <c r="C527" s="3" t="s">
        <v>759</v>
      </c>
      <c r="D527" s="21"/>
      <c r="E527" s="21"/>
      <c r="F527" s="3" t="s">
        <v>89</v>
      </c>
      <c r="G527" s="3">
        <v>1100</v>
      </c>
      <c r="H527" s="23"/>
      <c r="I527" s="124">
        <f t="shared" si="22"/>
        <v>0</v>
      </c>
      <c r="J527" s="21"/>
      <c r="K527" s="24"/>
    </row>
    <row r="528" spans="1:11" ht="15.75" customHeight="1" x14ac:dyDescent="0.25">
      <c r="A528" s="25"/>
      <c r="B528" s="26" t="s">
        <v>754</v>
      </c>
      <c r="C528" s="3" t="s">
        <v>760</v>
      </c>
      <c r="D528" s="21"/>
      <c r="E528" s="21"/>
      <c r="F528" s="3" t="s">
        <v>89</v>
      </c>
      <c r="G528" s="3">
        <v>570</v>
      </c>
      <c r="H528" s="23"/>
      <c r="I528" s="124">
        <f t="shared" si="22"/>
        <v>0</v>
      </c>
      <c r="J528" s="21"/>
      <c r="K528" s="24"/>
    </row>
    <row r="529" spans="1:11" ht="15.75" customHeight="1" x14ac:dyDescent="0.25">
      <c r="A529" s="25"/>
      <c r="B529" s="26" t="s">
        <v>761</v>
      </c>
      <c r="C529" s="3" t="s">
        <v>762</v>
      </c>
      <c r="D529" s="21"/>
      <c r="E529" s="21"/>
      <c r="F529" s="3" t="s">
        <v>89</v>
      </c>
      <c r="G529" s="3">
        <v>40</v>
      </c>
      <c r="H529" s="23"/>
      <c r="I529" s="124">
        <f t="shared" si="22"/>
        <v>0</v>
      </c>
      <c r="J529" s="21"/>
      <c r="K529" s="24"/>
    </row>
    <row r="530" spans="1:11" ht="34.5" customHeight="1" x14ac:dyDescent="0.25">
      <c r="A530" s="25"/>
      <c r="B530" s="26" t="s">
        <v>763</v>
      </c>
      <c r="C530" s="3" t="s">
        <v>764</v>
      </c>
      <c r="D530" s="21"/>
      <c r="E530" s="21"/>
      <c r="F530" s="3" t="s">
        <v>765</v>
      </c>
      <c r="G530" s="3"/>
      <c r="H530" s="23"/>
      <c r="I530" s="124">
        <f t="shared" si="22"/>
        <v>0</v>
      </c>
      <c r="J530" s="21"/>
      <c r="K530" s="24" t="s">
        <v>766</v>
      </c>
    </row>
    <row r="531" spans="1:11" ht="34.5" customHeight="1" x14ac:dyDescent="0.25">
      <c r="A531" s="25"/>
      <c r="B531" s="26" t="s">
        <v>767</v>
      </c>
      <c r="C531" s="3" t="s">
        <v>768</v>
      </c>
      <c r="D531" s="21"/>
      <c r="E531" s="21"/>
      <c r="F531" s="3" t="s">
        <v>765</v>
      </c>
      <c r="G531" s="3"/>
      <c r="H531" s="23"/>
      <c r="I531" s="124">
        <f t="shared" si="22"/>
        <v>0</v>
      </c>
      <c r="J531" s="21"/>
      <c r="K531" s="24" t="s">
        <v>769</v>
      </c>
    </row>
    <row r="532" spans="1:11" ht="15.75" customHeight="1" x14ac:dyDescent="0.25">
      <c r="A532" s="25"/>
      <c r="B532" s="26" t="s">
        <v>770</v>
      </c>
      <c r="C532" s="3" t="s">
        <v>755</v>
      </c>
      <c r="D532" s="21"/>
      <c r="E532" s="21" t="s">
        <v>771</v>
      </c>
      <c r="F532" s="3" t="s">
        <v>572</v>
      </c>
      <c r="G532" s="3">
        <v>340</v>
      </c>
      <c r="H532" s="23"/>
      <c r="I532" s="124">
        <f t="shared" si="22"/>
        <v>0</v>
      </c>
      <c r="J532" s="21"/>
      <c r="K532" s="24"/>
    </row>
    <row r="533" spans="1:11" ht="15.75" customHeight="1" x14ac:dyDescent="0.25">
      <c r="A533" s="25"/>
      <c r="B533" s="26" t="s">
        <v>770</v>
      </c>
      <c r="C533" s="3" t="s">
        <v>756</v>
      </c>
      <c r="D533" s="21"/>
      <c r="E533" s="21" t="s">
        <v>771</v>
      </c>
      <c r="F533" s="3" t="s">
        <v>572</v>
      </c>
      <c r="G533" s="3">
        <v>270</v>
      </c>
      <c r="H533" s="23"/>
      <c r="I533" s="124">
        <f t="shared" si="22"/>
        <v>0</v>
      </c>
      <c r="J533" s="21"/>
      <c r="K533" s="24"/>
    </row>
    <row r="534" spans="1:11" ht="15.75" customHeight="1" x14ac:dyDescent="0.25">
      <c r="A534" s="25"/>
      <c r="B534" s="26" t="s">
        <v>770</v>
      </c>
      <c r="C534" s="3" t="s">
        <v>757</v>
      </c>
      <c r="D534" s="21"/>
      <c r="E534" s="21" t="s">
        <v>771</v>
      </c>
      <c r="F534" s="3" t="s">
        <v>572</v>
      </c>
      <c r="G534" s="3">
        <v>390</v>
      </c>
      <c r="H534" s="23"/>
      <c r="I534" s="124">
        <f t="shared" si="22"/>
        <v>0</v>
      </c>
      <c r="J534" s="21"/>
      <c r="K534" s="24"/>
    </row>
    <row r="535" spans="1:11" ht="15.75" customHeight="1" x14ac:dyDescent="0.25">
      <c r="A535" s="25"/>
      <c r="B535" s="26" t="s">
        <v>770</v>
      </c>
      <c r="C535" s="3" t="s">
        <v>758</v>
      </c>
      <c r="D535" s="21"/>
      <c r="E535" s="21" t="s">
        <v>771</v>
      </c>
      <c r="F535" s="3" t="s">
        <v>572</v>
      </c>
      <c r="G535" s="3">
        <v>550</v>
      </c>
      <c r="H535" s="23"/>
      <c r="I535" s="124">
        <f t="shared" si="22"/>
        <v>0</v>
      </c>
      <c r="J535" s="21"/>
      <c r="K535" s="24"/>
    </row>
    <row r="536" spans="1:11" ht="15.75" customHeight="1" x14ac:dyDescent="0.25">
      <c r="A536" s="25"/>
      <c r="B536" s="26" t="s">
        <v>770</v>
      </c>
      <c r="C536" s="3" t="s">
        <v>759</v>
      </c>
      <c r="D536" s="21"/>
      <c r="E536" s="21" t="s">
        <v>771</v>
      </c>
      <c r="F536" s="3" t="s">
        <v>572</v>
      </c>
      <c r="G536" s="3">
        <v>1100</v>
      </c>
      <c r="H536" s="23"/>
      <c r="I536" s="124">
        <f t="shared" si="22"/>
        <v>0</v>
      </c>
      <c r="J536" s="21"/>
      <c r="K536" s="24"/>
    </row>
    <row r="537" spans="1:11" ht="15.75" customHeight="1" x14ac:dyDescent="0.25">
      <c r="A537" s="25"/>
      <c r="B537" s="26" t="s">
        <v>770</v>
      </c>
      <c r="C537" s="3" t="s">
        <v>760</v>
      </c>
      <c r="D537" s="21"/>
      <c r="E537" s="21" t="s">
        <v>771</v>
      </c>
      <c r="F537" s="3" t="s">
        <v>572</v>
      </c>
      <c r="G537" s="3">
        <v>570</v>
      </c>
      <c r="H537" s="23"/>
      <c r="I537" s="124">
        <f t="shared" si="22"/>
        <v>0</v>
      </c>
      <c r="J537" s="21"/>
      <c r="K537" s="24"/>
    </row>
    <row r="538" spans="1:11" ht="15.75" customHeight="1" x14ac:dyDescent="0.25">
      <c r="A538" s="25"/>
      <c r="B538" s="26" t="s">
        <v>770</v>
      </c>
      <c r="C538" s="3" t="s">
        <v>762</v>
      </c>
      <c r="D538" s="21"/>
      <c r="E538" s="21" t="s">
        <v>771</v>
      </c>
      <c r="F538" s="3" t="s">
        <v>572</v>
      </c>
      <c r="G538" s="3">
        <v>40</v>
      </c>
      <c r="H538" s="23"/>
      <c r="I538" s="124">
        <f t="shared" ref="I538" si="23">H538*G538</f>
        <v>0</v>
      </c>
      <c r="J538" s="21"/>
      <c r="K538" s="24"/>
    </row>
    <row r="539" spans="1:11" ht="15.75" customHeight="1" x14ac:dyDescent="0.25">
      <c r="A539" s="19" t="s">
        <v>375</v>
      </c>
      <c r="B539" s="20" t="s">
        <v>772</v>
      </c>
      <c r="C539" s="21"/>
      <c r="D539" s="21"/>
      <c r="E539" s="21"/>
      <c r="F539" s="22"/>
      <c r="G539" s="21"/>
      <c r="H539" s="23"/>
      <c r="I539" s="124"/>
      <c r="J539" s="21"/>
      <c r="K539" s="24"/>
    </row>
    <row r="540" spans="1:11" ht="34.5" customHeight="1" x14ac:dyDescent="0.25">
      <c r="A540" s="25"/>
      <c r="B540" s="26" t="s">
        <v>773</v>
      </c>
      <c r="C540" s="3" t="s">
        <v>774</v>
      </c>
      <c r="D540" s="21"/>
      <c r="E540" s="21" t="s">
        <v>775</v>
      </c>
      <c r="F540" s="3" t="s">
        <v>78</v>
      </c>
      <c r="G540" s="3">
        <v>3</v>
      </c>
      <c r="H540" s="23">
        <v>29030</v>
      </c>
      <c r="I540" s="124">
        <f t="shared" ref="I540:I558" si="24">H540*G540</f>
        <v>87090</v>
      </c>
      <c r="J540" s="21"/>
      <c r="K540" s="24"/>
    </row>
    <row r="541" spans="1:11" ht="15.75" customHeight="1" x14ac:dyDescent="0.25">
      <c r="A541" s="25"/>
      <c r="B541" s="26" t="s">
        <v>776</v>
      </c>
      <c r="C541" s="3" t="s">
        <v>777</v>
      </c>
      <c r="D541" s="21"/>
      <c r="E541" s="21" t="s">
        <v>775</v>
      </c>
      <c r="F541" s="3" t="s">
        <v>78</v>
      </c>
      <c r="G541" s="3">
        <v>3</v>
      </c>
      <c r="H541" s="23">
        <v>68400</v>
      </c>
      <c r="I541" s="124">
        <f t="shared" si="24"/>
        <v>205200</v>
      </c>
      <c r="J541" s="21"/>
      <c r="K541" s="24"/>
    </row>
    <row r="542" spans="1:11" ht="15.75" customHeight="1" x14ac:dyDescent="0.25">
      <c r="A542" s="25"/>
      <c r="B542" s="26" t="s">
        <v>778</v>
      </c>
      <c r="C542" s="3"/>
      <c r="D542" s="21"/>
      <c r="E542" s="21"/>
      <c r="F542" s="3" t="s">
        <v>78</v>
      </c>
      <c r="G542" s="3">
        <v>6</v>
      </c>
      <c r="H542" s="23"/>
      <c r="I542" s="124">
        <f t="shared" si="24"/>
        <v>0</v>
      </c>
      <c r="J542" s="21"/>
      <c r="K542" s="24"/>
    </row>
    <row r="543" spans="1:11" ht="15.75" customHeight="1" x14ac:dyDescent="0.25">
      <c r="A543" s="25"/>
      <c r="B543" s="26" t="s">
        <v>779</v>
      </c>
      <c r="C543" s="3"/>
      <c r="D543" s="21"/>
      <c r="E543" s="21"/>
      <c r="F543" s="3" t="s">
        <v>78</v>
      </c>
      <c r="G543" s="3">
        <v>3</v>
      </c>
      <c r="H543" s="23"/>
      <c r="I543" s="124">
        <f t="shared" si="24"/>
        <v>0</v>
      </c>
      <c r="J543" s="21"/>
      <c r="K543" s="24"/>
    </row>
    <row r="544" spans="1:11" ht="15.75" customHeight="1" x14ac:dyDescent="0.25">
      <c r="A544" s="25"/>
      <c r="B544" s="26" t="s">
        <v>780</v>
      </c>
      <c r="C544" s="3"/>
      <c r="D544" s="21"/>
      <c r="E544" s="21"/>
      <c r="F544" s="3" t="s">
        <v>78</v>
      </c>
      <c r="G544" s="3">
        <v>3</v>
      </c>
      <c r="H544" s="23"/>
      <c r="I544" s="124">
        <f t="shared" si="24"/>
        <v>0</v>
      </c>
      <c r="J544" s="21"/>
      <c r="K544" s="24"/>
    </row>
    <row r="545" spans="1:11" ht="34.5" customHeight="1" x14ac:dyDescent="0.25">
      <c r="A545" s="25"/>
      <c r="B545" s="26" t="s">
        <v>781</v>
      </c>
      <c r="C545" s="3" t="s">
        <v>782</v>
      </c>
      <c r="D545" s="21" t="s">
        <v>783</v>
      </c>
      <c r="E545" s="21" t="s">
        <v>722</v>
      </c>
      <c r="F545" s="3" t="s">
        <v>78</v>
      </c>
      <c r="G545" s="3">
        <v>3</v>
      </c>
      <c r="H545" s="23"/>
      <c r="I545" s="124">
        <f t="shared" si="24"/>
        <v>0</v>
      </c>
      <c r="J545" s="21"/>
      <c r="K545" s="24"/>
    </row>
    <row r="546" spans="1:11" ht="45" customHeight="1" x14ac:dyDescent="0.25">
      <c r="A546" s="25"/>
      <c r="B546" s="26" t="s">
        <v>784</v>
      </c>
      <c r="C546" s="3" t="s">
        <v>785</v>
      </c>
      <c r="D546" s="21" t="s">
        <v>786</v>
      </c>
      <c r="E546" s="21" t="s">
        <v>722</v>
      </c>
      <c r="F546" s="3" t="s">
        <v>78</v>
      </c>
      <c r="G546" s="3">
        <v>1</v>
      </c>
      <c r="H546" s="23"/>
      <c r="I546" s="124">
        <f t="shared" si="24"/>
        <v>0</v>
      </c>
      <c r="J546" s="21"/>
      <c r="K546" s="24"/>
    </row>
    <row r="547" spans="1:11" ht="34.5" customHeight="1" x14ac:dyDescent="0.25">
      <c r="A547" s="25"/>
      <c r="B547" s="26" t="s">
        <v>787</v>
      </c>
      <c r="C547" s="3" t="s">
        <v>788</v>
      </c>
      <c r="D547" s="21" t="s">
        <v>789</v>
      </c>
      <c r="E547" s="21" t="s">
        <v>722</v>
      </c>
      <c r="F547" s="3" t="s">
        <v>78</v>
      </c>
      <c r="G547" s="3">
        <v>9</v>
      </c>
      <c r="H547" s="23"/>
      <c r="I547" s="124">
        <f t="shared" si="24"/>
        <v>0</v>
      </c>
      <c r="J547" s="21"/>
      <c r="K547" s="24"/>
    </row>
    <row r="548" spans="1:11" ht="15.75" customHeight="1" x14ac:dyDescent="0.25">
      <c r="A548" s="25"/>
      <c r="B548" s="26" t="s">
        <v>790</v>
      </c>
      <c r="C548" s="3" t="s">
        <v>791</v>
      </c>
      <c r="D548" s="21" t="s">
        <v>792</v>
      </c>
      <c r="E548" s="21" t="s">
        <v>722</v>
      </c>
      <c r="F548" s="3" t="s">
        <v>78</v>
      </c>
      <c r="G548" s="3">
        <v>1</v>
      </c>
      <c r="H548" s="23"/>
      <c r="I548" s="124">
        <f t="shared" si="24"/>
        <v>0</v>
      </c>
      <c r="J548" s="21"/>
      <c r="K548" s="24"/>
    </row>
    <row r="549" spans="1:11" ht="34.5" customHeight="1" x14ac:dyDescent="0.25">
      <c r="A549" s="25"/>
      <c r="B549" s="26" t="s">
        <v>793</v>
      </c>
      <c r="C549" s="3"/>
      <c r="D549" s="21"/>
      <c r="E549" s="21" t="s">
        <v>794</v>
      </c>
      <c r="F549" s="3" t="s">
        <v>78</v>
      </c>
      <c r="G549" s="3">
        <v>6</v>
      </c>
      <c r="H549" s="23">
        <v>940</v>
      </c>
      <c r="I549" s="124">
        <f t="shared" si="24"/>
        <v>5640</v>
      </c>
      <c r="J549" s="21"/>
      <c r="K549" s="24" t="s">
        <v>795</v>
      </c>
    </row>
    <row r="550" spans="1:11" ht="15.75" customHeight="1" x14ac:dyDescent="0.25">
      <c r="A550" s="25"/>
      <c r="B550" s="26" t="s">
        <v>754</v>
      </c>
      <c r="C550" s="3" t="s">
        <v>758</v>
      </c>
      <c r="D550" s="21"/>
      <c r="E550" s="21"/>
      <c r="F550" s="3" t="s">
        <v>89</v>
      </c>
      <c r="G550" s="3">
        <v>45</v>
      </c>
      <c r="H550" s="23"/>
      <c r="I550" s="124">
        <f t="shared" si="24"/>
        <v>0</v>
      </c>
      <c r="J550" s="21"/>
      <c r="K550" s="24"/>
    </row>
    <row r="551" spans="1:11" ht="15.75" customHeight="1" x14ac:dyDescent="0.25">
      <c r="A551" s="25"/>
      <c r="B551" s="26" t="s">
        <v>754</v>
      </c>
      <c r="C551" s="3" t="s">
        <v>796</v>
      </c>
      <c r="D551" s="21"/>
      <c r="E551" s="21"/>
      <c r="F551" s="3" t="s">
        <v>89</v>
      </c>
      <c r="G551" s="3">
        <v>40</v>
      </c>
      <c r="H551" s="23"/>
      <c r="I551" s="124">
        <f t="shared" si="24"/>
        <v>0</v>
      </c>
      <c r="J551" s="21"/>
      <c r="K551" s="24"/>
    </row>
    <row r="552" spans="1:11" ht="15.75" customHeight="1" x14ac:dyDescent="0.25">
      <c r="A552" s="25"/>
      <c r="B552" s="26" t="s">
        <v>754</v>
      </c>
      <c r="C552" s="3" t="s">
        <v>797</v>
      </c>
      <c r="D552" s="21"/>
      <c r="E552" s="21"/>
      <c r="F552" s="3" t="s">
        <v>89</v>
      </c>
      <c r="G552" s="3">
        <v>10</v>
      </c>
      <c r="H552" s="23"/>
      <c r="I552" s="124">
        <f t="shared" si="24"/>
        <v>0</v>
      </c>
      <c r="J552" s="21"/>
      <c r="K552" s="24"/>
    </row>
    <row r="553" spans="1:11" ht="15.75" customHeight="1" x14ac:dyDescent="0.25">
      <c r="A553" s="25"/>
      <c r="B553" s="26" t="s">
        <v>798</v>
      </c>
      <c r="C553" s="3"/>
      <c r="D553" s="21"/>
      <c r="E553" s="21"/>
      <c r="F553" s="3" t="s">
        <v>89</v>
      </c>
      <c r="G553" s="3">
        <v>150</v>
      </c>
      <c r="H553" s="23"/>
      <c r="I553" s="124">
        <f t="shared" si="24"/>
        <v>0</v>
      </c>
      <c r="J553" s="21"/>
      <c r="K553" s="24"/>
    </row>
    <row r="554" spans="1:11" ht="15.75" customHeight="1" x14ac:dyDescent="0.25">
      <c r="A554" s="25"/>
      <c r="B554" s="26" t="s">
        <v>799</v>
      </c>
      <c r="C554" s="3"/>
      <c r="D554" s="21"/>
      <c r="E554" s="21"/>
      <c r="F554" s="3" t="s">
        <v>89</v>
      </c>
      <c r="G554" s="3">
        <v>150</v>
      </c>
      <c r="H554" s="23"/>
      <c r="I554" s="124">
        <f t="shared" si="24"/>
        <v>0</v>
      </c>
      <c r="J554" s="21"/>
      <c r="K554" s="24"/>
    </row>
    <row r="555" spans="1:11" ht="34.5" customHeight="1" x14ac:dyDescent="0.25">
      <c r="A555" s="25"/>
      <c r="B555" s="26" t="s">
        <v>800</v>
      </c>
      <c r="C555" s="3"/>
      <c r="D555" s="21" t="s">
        <v>753</v>
      </c>
      <c r="E555" s="21" t="s">
        <v>722</v>
      </c>
      <c r="F555" s="3" t="s">
        <v>78</v>
      </c>
      <c r="G555" s="3">
        <v>6</v>
      </c>
      <c r="H555" s="23"/>
      <c r="I555" s="124">
        <f t="shared" si="24"/>
        <v>0</v>
      </c>
      <c r="J555" s="21"/>
      <c r="K555" s="24"/>
    </row>
    <row r="556" spans="1:11" ht="34.5" customHeight="1" x14ac:dyDescent="0.25">
      <c r="A556" s="25"/>
      <c r="B556" s="26" t="s">
        <v>763</v>
      </c>
      <c r="C556" s="3" t="s">
        <v>764</v>
      </c>
      <c r="D556" s="21"/>
      <c r="E556" s="21"/>
      <c r="F556" s="3" t="s">
        <v>765</v>
      </c>
      <c r="G556" s="3"/>
      <c r="H556" s="23"/>
      <c r="I556" s="124">
        <f t="shared" si="24"/>
        <v>0</v>
      </c>
      <c r="J556" s="21"/>
      <c r="K556" s="24" t="s">
        <v>801</v>
      </c>
    </row>
    <row r="557" spans="1:11" ht="15.75" customHeight="1" x14ac:dyDescent="0.25">
      <c r="A557" s="25"/>
      <c r="B557" s="26" t="s">
        <v>767</v>
      </c>
      <c r="C557" s="3" t="s">
        <v>768</v>
      </c>
      <c r="D557" s="21"/>
      <c r="E557" s="21"/>
      <c r="F557" s="3" t="s">
        <v>765</v>
      </c>
      <c r="G557" s="3"/>
      <c r="H557" s="23"/>
      <c r="I557" s="124">
        <f t="shared" si="24"/>
        <v>0</v>
      </c>
      <c r="J557" s="21"/>
      <c r="K557" s="24" t="s">
        <v>802</v>
      </c>
    </row>
    <row r="558" spans="1:11" ht="45" customHeight="1" x14ac:dyDescent="0.25">
      <c r="A558" s="33" t="s">
        <v>803</v>
      </c>
      <c r="B558" s="34" t="s">
        <v>804</v>
      </c>
      <c r="C558" s="35"/>
      <c r="D558" s="35"/>
      <c r="E558" s="35"/>
      <c r="F558" s="35" t="s">
        <v>78</v>
      </c>
      <c r="G558" s="35">
        <v>3</v>
      </c>
      <c r="H558" s="36"/>
      <c r="I558" s="126">
        <f t="shared" si="24"/>
        <v>0</v>
      </c>
      <c r="J558" s="35"/>
      <c r="K558" s="34" t="s">
        <v>805</v>
      </c>
    </row>
    <row r="559" spans="1:11" ht="28.5" customHeight="1" x14ac:dyDescent="0.25">
      <c r="A559" s="14"/>
      <c r="B559" s="15" t="s">
        <v>806</v>
      </c>
      <c r="C559" s="16"/>
      <c r="D559" s="16"/>
      <c r="E559" s="16"/>
      <c r="F559" s="16"/>
      <c r="G559" s="16"/>
      <c r="H559" s="17"/>
      <c r="I559" s="123"/>
      <c r="J559" s="16"/>
      <c r="K559" s="18"/>
    </row>
    <row r="560" spans="1:11" ht="15.75" customHeight="1" x14ac:dyDescent="0.25">
      <c r="A560" s="19" t="s">
        <v>349</v>
      </c>
      <c r="B560" s="20" t="s">
        <v>807</v>
      </c>
      <c r="C560" s="21"/>
      <c r="D560" s="21"/>
      <c r="E560" s="21"/>
      <c r="F560" s="22"/>
      <c r="G560" s="21"/>
      <c r="H560" s="23"/>
      <c r="I560" s="124"/>
      <c r="J560" s="21"/>
      <c r="K560" s="24"/>
    </row>
    <row r="561" spans="1:11" ht="45" customHeight="1" x14ac:dyDescent="0.25">
      <c r="A561" s="25" t="s">
        <v>808</v>
      </c>
      <c r="B561" s="26" t="s">
        <v>809</v>
      </c>
      <c r="C561" s="3"/>
      <c r="D561" s="21"/>
      <c r="E561" s="21" t="s">
        <v>810</v>
      </c>
      <c r="F561" s="3" t="s">
        <v>47</v>
      </c>
      <c r="G561" s="3">
        <v>1</v>
      </c>
      <c r="H561" s="23">
        <v>20051380</v>
      </c>
      <c r="I561" s="124">
        <f t="shared" ref="I561:I592" si="25">H561*G561</f>
        <v>20051380</v>
      </c>
      <c r="J561" s="21"/>
      <c r="K561" s="24"/>
    </row>
    <row r="562" spans="1:11" ht="34.5" customHeight="1" x14ac:dyDescent="0.25">
      <c r="A562" s="25" t="s">
        <v>811</v>
      </c>
      <c r="B562" s="26" t="s">
        <v>812</v>
      </c>
      <c r="C562" s="3"/>
      <c r="D562" s="21"/>
      <c r="E562" s="21" t="s">
        <v>810</v>
      </c>
      <c r="F562" s="3" t="s">
        <v>47</v>
      </c>
      <c r="G562" s="3">
        <v>1</v>
      </c>
      <c r="H562" s="23">
        <v>4154266.68</v>
      </c>
      <c r="I562" s="124">
        <f t="shared" si="25"/>
        <v>4154266.68</v>
      </c>
      <c r="J562" s="21"/>
      <c r="K562" s="24"/>
    </row>
    <row r="563" spans="1:11" ht="34.5" customHeight="1" x14ac:dyDescent="0.25">
      <c r="A563" s="25" t="s">
        <v>813</v>
      </c>
      <c r="B563" s="26" t="s">
        <v>814</v>
      </c>
      <c r="C563" s="3"/>
      <c r="D563" s="21"/>
      <c r="E563" s="21" t="s">
        <v>810</v>
      </c>
      <c r="F563" s="3" t="s">
        <v>47</v>
      </c>
      <c r="G563" s="3">
        <v>1</v>
      </c>
      <c r="H563" s="23">
        <v>2715000</v>
      </c>
      <c r="I563" s="124">
        <f t="shared" si="25"/>
        <v>2715000</v>
      </c>
      <c r="J563" s="21"/>
      <c r="K563" s="24"/>
    </row>
    <row r="564" spans="1:11" ht="34.5" customHeight="1" x14ac:dyDescent="0.25">
      <c r="A564" s="25" t="s">
        <v>815</v>
      </c>
      <c r="B564" s="26" t="s">
        <v>816</v>
      </c>
      <c r="C564" s="3"/>
      <c r="D564" s="21"/>
      <c r="E564" s="21" t="s">
        <v>810</v>
      </c>
      <c r="F564" s="3" t="s">
        <v>47</v>
      </c>
      <c r="G564" s="3">
        <v>1</v>
      </c>
      <c r="H564" s="23">
        <v>1975530.29</v>
      </c>
      <c r="I564" s="124">
        <f t="shared" si="25"/>
        <v>1975530.29</v>
      </c>
      <c r="J564" s="21"/>
      <c r="K564" s="24"/>
    </row>
    <row r="565" spans="1:11" ht="34.5" customHeight="1" x14ac:dyDescent="0.25">
      <c r="A565" s="25" t="s">
        <v>817</v>
      </c>
      <c r="B565" s="26" t="s">
        <v>818</v>
      </c>
      <c r="C565" s="3"/>
      <c r="D565" s="21"/>
      <c r="E565" s="21" t="s">
        <v>810</v>
      </c>
      <c r="F565" s="3" t="s">
        <v>47</v>
      </c>
      <c r="G565" s="3">
        <v>2</v>
      </c>
      <c r="H565" s="23">
        <v>1450617.13</v>
      </c>
      <c r="I565" s="124">
        <f t="shared" si="25"/>
        <v>2901234.26</v>
      </c>
      <c r="J565" s="21"/>
      <c r="K565" s="24"/>
    </row>
    <row r="566" spans="1:11" ht="34.5" customHeight="1" x14ac:dyDescent="0.25">
      <c r="A566" s="25" t="s">
        <v>819</v>
      </c>
      <c r="B566" s="26" t="s">
        <v>820</v>
      </c>
      <c r="C566" s="3"/>
      <c r="D566" s="21"/>
      <c r="E566" s="21" t="s">
        <v>810</v>
      </c>
      <c r="F566" s="3" t="s">
        <v>47</v>
      </c>
      <c r="G566" s="3">
        <v>1</v>
      </c>
      <c r="H566" s="23">
        <v>755959.69</v>
      </c>
      <c r="I566" s="124">
        <f t="shared" si="25"/>
        <v>755959.69</v>
      </c>
      <c r="J566" s="21"/>
      <c r="K566" s="24"/>
    </row>
    <row r="567" spans="1:11" ht="34.5" customHeight="1" x14ac:dyDescent="0.25">
      <c r="A567" s="25" t="s">
        <v>821</v>
      </c>
      <c r="B567" s="26" t="s">
        <v>822</v>
      </c>
      <c r="C567" s="3"/>
      <c r="D567" s="21"/>
      <c r="E567" s="21" t="s">
        <v>810</v>
      </c>
      <c r="F567" s="3" t="s">
        <v>47</v>
      </c>
      <c r="G567" s="3">
        <v>1</v>
      </c>
      <c r="H567" s="23">
        <v>810588.48</v>
      </c>
      <c r="I567" s="124">
        <f t="shared" si="25"/>
        <v>810588.48</v>
      </c>
      <c r="J567" s="21"/>
      <c r="K567" s="24"/>
    </row>
    <row r="568" spans="1:11" ht="34.5" customHeight="1" x14ac:dyDescent="0.25">
      <c r="A568" s="25" t="s">
        <v>823</v>
      </c>
      <c r="B568" s="26" t="s">
        <v>824</v>
      </c>
      <c r="C568" s="3"/>
      <c r="D568" s="21"/>
      <c r="E568" s="21" t="s">
        <v>810</v>
      </c>
      <c r="F568" s="3" t="s">
        <v>47</v>
      </c>
      <c r="G568" s="3">
        <v>1</v>
      </c>
      <c r="H568" s="23">
        <v>3784971.21</v>
      </c>
      <c r="I568" s="124">
        <f t="shared" si="25"/>
        <v>3784971.21</v>
      </c>
      <c r="J568" s="21"/>
      <c r="K568" s="24"/>
    </row>
    <row r="569" spans="1:11" ht="34.5" customHeight="1" x14ac:dyDescent="0.25">
      <c r="A569" s="25" t="s">
        <v>825</v>
      </c>
      <c r="B569" s="26" t="s">
        <v>826</v>
      </c>
      <c r="C569" s="3"/>
      <c r="D569" s="21"/>
      <c r="E569" s="21" t="s">
        <v>810</v>
      </c>
      <c r="F569" s="3" t="s">
        <v>47</v>
      </c>
      <c r="G569" s="3">
        <v>2</v>
      </c>
      <c r="H569" s="23">
        <v>3586810.31</v>
      </c>
      <c r="I569" s="124">
        <f t="shared" si="25"/>
        <v>7173620.6200000001</v>
      </c>
      <c r="J569" s="21"/>
      <c r="K569" s="24"/>
    </row>
    <row r="570" spans="1:11" ht="34.5" customHeight="1" x14ac:dyDescent="0.25">
      <c r="A570" s="25" t="s">
        <v>827</v>
      </c>
      <c r="B570" s="26" t="s">
        <v>828</v>
      </c>
      <c r="C570" s="3"/>
      <c r="D570" s="21"/>
      <c r="E570" s="21" t="s">
        <v>810</v>
      </c>
      <c r="F570" s="3" t="s">
        <v>47</v>
      </c>
      <c r="G570" s="3">
        <v>1</v>
      </c>
      <c r="H570" s="23">
        <v>434967.85</v>
      </c>
      <c r="I570" s="124">
        <f t="shared" si="25"/>
        <v>434967.85</v>
      </c>
      <c r="J570" s="21"/>
      <c r="K570" s="24"/>
    </row>
    <row r="571" spans="1:11" ht="34.5" customHeight="1" x14ac:dyDescent="0.25">
      <c r="A571" s="25" t="s">
        <v>829</v>
      </c>
      <c r="B571" s="26" t="s">
        <v>830</v>
      </c>
      <c r="C571" s="3"/>
      <c r="D571" s="21"/>
      <c r="E571" s="21" t="s">
        <v>810</v>
      </c>
      <c r="F571" s="3" t="s">
        <v>47</v>
      </c>
      <c r="G571" s="3">
        <v>1</v>
      </c>
      <c r="H571" s="23">
        <v>1832922.67</v>
      </c>
      <c r="I571" s="124">
        <f t="shared" si="25"/>
        <v>1832922.67</v>
      </c>
      <c r="J571" s="21"/>
      <c r="K571" s="24"/>
    </row>
    <row r="572" spans="1:11" ht="34.5" customHeight="1" x14ac:dyDescent="0.25">
      <c r="A572" s="25" t="s">
        <v>831</v>
      </c>
      <c r="B572" s="26" t="s">
        <v>832</v>
      </c>
      <c r="C572" s="3"/>
      <c r="D572" s="21"/>
      <c r="E572" s="21" t="s">
        <v>810</v>
      </c>
      <c r="F572" s="3" t="s">
        <v>47</v>
      </c>
      <c r="G572" s="3">
        <v>2</v>
      </c>
      <c r="H572" s="23">
        <v>1808546.54</v>
      </c>
      <c r="I572" s="124">
        <f t="shared" si="25"/>
        <v>3617093.08</v>
      </c>
      <c r="J572" s="21"/>
      <c r="K572" s="24"/>
    </row>
    <row r="573" spans="1:11" ht="34.5" customHeight="1" x14ac:dyDescent="0.25">
      <c r="A573" s="25" t="s">
        <v>833</v>
      </c>
      <c r="B573" s="26" t="s">
        <v>828</v>
      </c>
      <c r="C573" s="3"/>
      <c r="D573" s="21"/>
      <c r="E573" s="21" t="s">
        <v>810</v>
      </c>
      <c r="F573" s="3" t="s">
        <v>47</v>
      </c>
      <c r="G573" s="3">
        <v>1</v>
      </c>
      <c r="H573" s="23">
        <v>733548.88</v>
      </c>
      <c r="I573" s="124">
        <f t="shared" si="25"/>
        <v>733548.88</v>
      </c>
      <c r="J573" s="21"/>
      <c r="K573" s="24"/>
    </row>
    <row r="574" spans="1:11" ht="34.5" customHeight="1" x14ac:dyDescent="0.25">
      <c r="A574" s="25" t="s">
        <v>834</v>
      </c>
      <c r="B574" s="26" t="s">
        <v>835</v>
      </c>
      <c r="C574" s="3"/>
      <c r="D574" s="21"/>
      <c r="E574" s="21" t="s">
        <v>810</v>
      </c>
      <c r="F574" s="3" t="s">
        <v>47</v>
      </c>
      <c r="G574" s="3">
        <v>1</v>
      </c>
      <c r="H574" s="23">
        <v>406793.47</v>
      </c>
      <c r="I574" s="124">
        <f t="shared" si="25"/>
        <v>406793.47</v>
      </c>
      <c r="J574" s="21"/>
      <c r="K574" s="24"/>
    </row>
    <row r="575" spans="1:11" ht="34.5" customHeight="1" x14ac:dyDescent="0.25">
      <c r="A575" s="25" t="s">
        <v>836</v>
      </c>
      <c r="B575" s="26" t="s">
        <v>837</v>
      </c>
      <c r="C575" s="3"/>
      <c r="D575" s="21"/>
      <c r="E575" s="21" t="s">
        <v>810</v>
      </c>
      <c r="F575" s="3" t="s">
        <v>47</v>
      </c>
      <c r="G575" s="3">
        <v>1</v>
      </c>
      <c r="H575" s="23">
        <v>264723.34999999998</v>
      </c>
      <c r="I575" s="124">
        <f t="shared" si="25"/>
        <v>264723.34999999998</v>
      </c>
      <c r="J575" s="21"/>
      <c r="K575" s="24"/>
    </row>
    <row r="576" spans="1:11" ht="34.5" customHeight="1" x14ac:dyDescent="0.25">
      <c r="A576" s="25" t="s">
        <v>838</v>
      </c>
      <c r="B576" s="26" t="s">
        <v>839</v>
      </c>
      <c r="C576" s="3"/>
      <c r="D576" s="21"/>
      <c r="E576" s="21" t="s">
        <v>810</v>
      </c>
      <c r="F576" s="3" t="s">
        <v>47</v>
      </c>
      <c r="G576" s="3">
        <v>1</v>
      </c>
      <c r="H576" s="23">
        <v>521457.47</v>
      </c>
      <c r="I576" s="124">
        <f t="shared" si="25"/>
        <v>521457.47</v>
      </c>
      <c r="J576" s="21"/>
      <c r="K576" s="24"/>
    </row>
    <row r="577" spans="1:11" ht="34.5" customHeight="1" x14ac:dyDescent="0.25">
      <c r="A577" s="25" t="s">
        <v>840</v>
      </c>
      <c r="B577" s="26" t="s">
        <v>841</v>
      </c>
      <c r="C577" s="3"/>
      <c r="D577" s="21"/>
      <c r="E577" s="21" t="s">
        <v>810</v>
      </c>
      <c r="F577" s="3" t="s">
        <v>47</v>
      </c>
      <c r="G577" s="3">
        <v>1</v>
      </c>
      <c r="H577" s="23">
        <v>505593.7</v>
      </c>
      <c r="I577" s="124">
        <f t="shared" si="25"/>
        <v>505593.7</v>
      </c>
      <c r="J577" s="21"/>
      <c r="K577" s="24"/>
    </row>
    <row r="578" spans="1:11" ht="34.5" customHeight="1" x14ac:dyDescent="0.25">
      <c r="A578" s="25" t="s">
        <v>842</v>
      </c>
      <c r="B578" s="26" t="s">
        <v>843</v>
      </c>
      <c r="C578" s="3"/>
      <c r="D578" s="21"/>
      <c r="E578" s="21" t="s">
        <v>810</v>
      </c>
      <c r="F578" s="3" t="s">
        <v>47</v>
      </c>
      <c r="G578" s="3">
        <v>1</v>
      </c>
      <c r="H578" s="23">
        <v>391395.53</v>
      </c>
      <c r="I578" s="124">
        <f t="shared" si="25"/>
        <v>391395.53</v>
      </c>
      <c r="J578" s="21"/>
      <c r="K578" s="24"/>
    </row>
    <row r="579" spans="1:11" ht="34.5" customHeight="1" x14ac:dyDescent="0.25">
      <c r="A579" s="25" t="s">
        <v>844</v>
      </c>
      <c r="B579" s="26" t="s">
        <v>845</v>
      </c>
      <c r="C579" s="3"/>
      <c r="D579" s="21"/>
      <c r="E579" s="21" t="s">
        <v>810</v>
      </c>
      <c r="F579" s="3" t="s">
        <v>47</v>
      </c>
      <c r="G579" s="3">
        <v>1</v>
      </c>
      <c r="H579" s="23">
        <v>795176.2</v>
      </c>
      <c r="I579" s="124">
        <f t="shared" si="25"/>
        <v>795176.2</v>
      </c>
      <c r="J579" s="21"/>
      <c r="K579" s="24"/>
    </row>
    <row r="580" spans="1:11" ht="34.5" customHeight="1" x14ac:dyDescent="0.25">
      <c r="A580" s="25" t="s">
        <v>846</v>
      </c>
      <c r="B580" s="26" t="s">
        <v>847</v>
      </c>
      <c r="C580" s="3"/>
      <c r="D580" s="21"/>
      <c r="E580" s="21" t="s">
        <v>810</v>
      </c>
      <c r="F580" s="3" t="s">
        <v>47</v>
      </c>
      <c r="G580" s="3">
        <v>1</v>
      </c>
      <c r="H580" s="23">
        <v>418589.53</v>
      </c>
      <c r="I580" s="124">
        <f t="shared" si="25"/>
        <v>418589.53</v>
      </c>
      <c r="J580" s="21"/>
      <c r="K580" s="24"/>
    </row>
    <row r="581" spans="1:11" ht="34.5" customHeight="1" x14ac:dyDescent="0.25">
      <c r="A581" s="25" t="s">
        <v>848</v>
      </c>
      <c r="B581" s="26" t="s">
        <v>849</v>
      </c>
      <c r="C581" s="3"/>
      <c r="D581" s="21"/>
      <c r="E581" s="21" t="s">
        <v>810</v>
      </c>
      <c r="F581" s="3" t="s">
        <v>47</v>
      </c>
      <c r="G581" s="3">
        <v>1</v>
      </c>
      <c r="H581" s="23">
        <v>621594.98</v>
      </c>
      <c r="I581" s="124">
        <f t="shared" si="25"/>
        <v>621594.98</v>
      </c>
      <c r="J581" s="21"/>
      <c r="K581" s="24"/>
    </row>
    <row r="582" spans="1:11" ht="34.5" customHeight="1" x14ac:dyDescent="0.25">
      <c r="A582" s="25" t="s">
        <v>850</v>
      </c>
      <c r="B582" s="26" t="s">
        <v>845</v>
      </c>
      <c r="C582" s="3"/>
      <c r="D582" s="21"/>
      <c r="E582" s="21" t="s">
        <v>810</v>
      </c>
      <c r="F582" s="3" t="s">
        <v>47</v>
      </c>
      <c r="G582" s="3">
        <v>1</v>
      </c>
      <c r="H582" s="23">
        <v>795176.2</v>
      </c>
      <c r="I582" s="124">
        <f t="shared" si="25"/>
        <v>795176.2</v>
      </c>
      <c r="J582" s="21"/>
      <c r="K582" s="24"/>
    </row>
    <row r="583" spans="1:11" ht="34.5" customHeight="1" x14ac:dyDescent="0.25">
      <c r="A583" s="25" t="s">
        <v>851</v>
      </c>
      <c r="B583" s="26" t="s">
        <v>841</v>
      </c>
      <c r="C583" s="3"/>
      <c r="D583" s="21"/>
      <c r="E583" s="21" t="s">
        <v>810</v>
      </c>
      <c r="F583" s="3" t="s">
        <v>47</v>
      </c>
      <c r="G583" s="3">
        <v>1</v>
      </c>
      <c r="H583" s="23">
        <v>505593.7</v>
      </c>
      <c r="I583" s="124">
        <f t="shared" si="25"/>
        <v>505593.7</v>
      </c>
      <c r="J583" s="21"/>
      <c r="K583" s="24"/>
    </row>
    <row r="584" spans="1:11" ht="34.5" customHeight="1" x14ac:dyDescent="0.25">
      <c r="A584" s="25" t="s">
        <v>852</v>
      </c>
      <c r="B584" s="26" t="s">
        <v>853</v>
      </c>
      <c r="C584" s="3"/>
      <c r="D584" s="21"/>
      <c r="E584" s="21" t="s">
        <v>810</v>
      </c>
      <c r="F584" s="3" t="s">
        <v>47</v>
      </c>
      <c r="G584" s="3">
        <v>1</v>
      </c>
      <c r="H584" s="23">
        <v>223302.41</v>
      </c>
      <c r="I584" s="124">
        <f t="shared" si="25"/>
        <v>223302.41</v>
      </c>
      <c r="J584" s="21"/>
      <c r="K584" s="24"/>
    </row>
    <row r="585" spans="1:11" ht="34.5" customHeight="1" x14ac:dyDescent="0.25">
      <c r="A585" s="25" t="s">
        <v>854</v>
      </c>
      <c r="B585" s="26" t="s">
        <v>822</v>
      </c>
      <c r="C585" s="3"/>
      <c r="D585" s="21"/>
      <c r="E585" s="21" t="s">
        <v>810</v>
      </c>
      <c r="F585" s="3" t="s">
        <v>47</v>
      </c>
      <c r="G585" s="3">
        <v>1</v>
      </c>
      <c r="H585" s="23">
        <v>720198.85</v>
      </c>
      <c r="I585" s="124">
        <f t="shared" si="25"/>
        <v>720198.85</v>
      </c>
      <c r="J585" s="21"/>
      <c r="K585" s="24"/>
    </row>
    <row r="586" spans="1:11" ht="34.5" customHeight="1" x14ac:dyDescent="0.25">
      <c r="A586" s="25" t="s">
        <v>855</v>
      </c>
      <c r="B586" s="26" t="s">
        <v>841</v>
      </c>
      <c r="C586" s="3"/>
      <c r="D586" s="21"/>
      <c r="E586" s="21" t="s">
        <v>810</v>
      </c>
      <c r="F586" s="3" t="s">
        <v>47</v>
      </c>
      <c r="G586" s="3">
        <v>1</v>
      </c>
      <c r="H586" s="23">
        <v>505593.7</v>
      </c>
      <c r="I586" s="124">
        <f t="shared" si="25"/>
        <v>505593.7</v>
      </c>
      <c r="J586" s="21"/>
      <c r="K586" s="24"/>
    </row>
    <row r="587" spans="1:11" ht="34.5" customHeight="1" x14ac:dyDescent="0.25">
      <c r="A587" s="25" t="s">
        <v>856</v>
      </c>
      <c r="B587" s="26" t="s">
        <v>839</v>
      </c>
      <c r="C587" s="3"/>
      <c r="D587" s="21"/>
      <c r="E587" s="21" t="s">
        <v>810</v>
      </c>
      <c r="F587" s="3" t="s">
        <v>47</v>
      </c>
      <c r="G587" s="3">
        <v>1</v>
      </c>
      <c r="H587" s="23">
        <v>521457.47</v>
      </c>
      <c r="I587" s="124">
        <f t="shared" si="25"/>
        <v>521457.47</v>
      </c>
      <c r="J587" s="21"/>
      <c r="K587" s="24"/>
    </row>
    <row r="588" spans="1:11" ht="15.75" customHeight="1" x14ac:dyDescent="0.25">
      <c r="A588" s="25" t="s">
        <v>857</v>
      </c>
      <c r="B588" s="26" t="s">
        <v>858</v>
      </c>
      <c r="C588" s="3"/>
      <c r="D588" s="21"/>
      <c r="E588" s="21" t="s">
        <v>810</v>
      </c>
      <c r="F588" s="3" t="s">
        <v>47</v>
      </c>
      <c r="G588" s="3">
        <v>1</v>
      </c>
      <c r="H588" s="23">
        <v>74578.87</v>
      </c>
      <c r="I588" s="124">
        <f t="shared" si="25"/>
        <v>74578.87</v>
      </c>
      <c r="J588" s="21"/>
      <c r="K588" s="24"/>
    </row>
    <row r="589" spans="1:11" ht="15.75" customHeight="1" x14ac:dyDescent="0.25">
      <c r="A589" s="25" t="s">
        <v>859</v>
      </c>
      <c r="B589" s="26" t="s">
        <v>860</v>
      </c>
      <c r="C589" s="3"/>
      <c r="D589" s="21"/>
      <c r="E589" s="21" t="s">
        <v>810</v>
      </c>
      <c r="F589" s="3" t="s">
        <v>47</v>
      </c>
      <c r="G589" s="3">
        <v>1</v>
      </c>
      <c r="H589" s="23">
        <v>176168.33</v>
      </c>
      <c r="I589" s="124">
        <f t="shared" si="25"/>
        <v>176168.33</v>
      </c>
      <c r="J589" s="21"/>
      <c r="K589" s="24"/>
    </row>
    <row r="590" spans="1:11" ht="15.75" customHeight="1" x14ac:dyDescent="0.25">
      <c r="A590" s="25" t="s">
        <v>861</v>
      </c>
      <c r="B590" s="26" t="s">
        <v>862</v>
      </c>
      <c r="C590" s="3"/>
      <c r="D590" s="21"/>
      <c r="E590" s="21" t="s">
        <v>810</v>
      </c>
      <c r="F590" s="3" t="s">
        <v>47</v>
      </c>
      <c r="G590" s="3">
        <v>1</v>
      </c>
      <c r="H590" s="23">
        <v>108195.38</v>
      </c>
      <c r="I590" s="124">
        <f t="shared" si="25"/>
        <v>108195.38</v>
      </c>
      <c r="J590" s="21"/>
      <c r="K590" s="24"/>
    </row>
    <row r="591" spans="1:11" ht="15.75" customHeight="1" x14ac:dyDescent="0.25">
      <c r="A591" s="25" t="s">
        <v>863</v>
      </c>
      <c r="B591" s="26" t="s">
        <v>860</v>
      </c>
      <c r="C591" s="3"/>
      <c r="D591" s="21"/>
      <c r="E591" s="21" t="s">
        <v>810</v>
      </c>
      <c r="F591" s="3" t="s">
        <v>47</v>
      </c>
      <c r="G591" s="3">
        <v>1</v>
      </c>
      <c r="H591" s="23">
        <v>176168.33</v>
      </c>
      <c r="I591" s="124">
        <f t="shared" si="25"/>
        <v>176168.33</v>
      </c>
      <c r="J591" s="21"/>
      <c r="K591" s="24"/>
    </row>
    <row r="592" spans="1:11" ht="15.75" customHeight="1" x14ac:dyDescent="0.25">
      <c r="A592" s="25" t="s">
        <v>864</v>
      </c>
      <c r="B592" s="26" t="s">
        <v>860</v>
      </c>
      <c r="C592" s="3"/>
      <c r="D592" s="21"/>
      <c r="E592" s="21" t="s">
        <v>810</v>
      </c>
      <c r="F592" s="3" t="s">
        <v>47</v>
      </c>
      <c r="G592" s="3">
        <v>1</v>
      </c>
      <c r="H592" s="23">
        <v>176168.33</v>
      </c>
      <c r="I592" s="124">
        <f t="shared" si="25"/>
        <v>176168.33</v>
      </c>
      <c r="J592" s="21"/>
      <c r="K592" s="24"/>
    </row>
    <row r="593" spans="1:11" ht="15.75" customHeight="1" x14ac:dyDescent="0.25">
      <c r="A593" s="25" t="s">
        <v>865</v>
      </c>
      <c r="B593" s="26" t="s">
        <v>866</v>
      </c>
      <c r="C593" s="3"/>
      <c r="D593" s="21"/>
      <c r="E593" s="21" t="s">
        <v>810</v>
      </c>
      <c r="F593" s="3" t="s">
        <v>47</v>
      </c>
      <c r="G593" s="3">
        <v>1</v>
      </c>
      <c r="H593" s="23">
        <v>193218.87</v>
      </c>
      <c r="I593" s="124">
        <f t="shared" ref="I593:I624" si="26">H593*G593</f>
        <v>193218.87</v>
      </c>
      <c r="J593" s="21"/>
      <c r="K593" s="24"/>
    </row>
    <row r="594" spans="1:11" ht="15.75" customHeight="1" x14ac:dyDescent="0.25">
      <c r="A594" s="25" t="s">
        <v>867</v>
      </c>
      <c r="B594" s="26" t="s">
        <v>868</v>
      </c>
      <c r="C594" s="3"/>
      <c r="D594" s="21"/>
      <c r="E594" s="21" t="s">
        <v>810</v>
      </c>
      <c r="F594" s="3" t="s">
        <v>47</v>
      </c>
      <c r="G594" s="3">
        <v>1</v>
      </c>
      <c r="H594" s="23">
        <v>122924.09</v>
      </c>
      <c r="I594" s="124">
        <f t="shared" si="26"/>
        <v>122924.09</v>
      </c>
      <c r="J594" s="21"/>
      <c r="K594" s="24"/>
    </row>
    <row r="595" spans="1:11" ht="15.75" customHeight="1" x14ac:dyDescent="0.25">
      <c r="A595" s="25" t="s">
        <v>869</v>
      </c>
      <c r="B595" s="26" t="s">
        <v>870</v>
      </c>
      <c r="C595" s="3"/>
      <c r="D595" s="21"/>
      <c r="E595" s="21" t="s">
        <v>810</v>
      </c>
      <c r="F595" s="3" t="s">
        <v>47</v>
      </c>
      <c r="G595" s="3">
        <v>1</v>
      </c>
      <c r="H595" s="23">
        <v>86303.3</v>
      </c>
      <c r="I595" s="124">
        <f t="shared" si="26"/>
        <v>86303.3</v>
      </c>
      <c r="J595" s="21"/>
      <c r="K595" s="24"/>
    </row>
    <row r="596" spans="1:11" ht="15.75" customHeight="1" x14ac:dyDescent="0.25">
      <c r="A596" s="25" t="s">
        <v>871</v>
      </c>
      <c r="B596" s="26" t="s">
        <v>858</v>
      </c>
      <c r="C596" s="3"/>
      <c r="D596" s="21"/>
      <c r="E596" s="21" t="s">
        <v>810</v>
      </c>
      <c r="F596" s="3" t="s">
        <v>47</v>
      </c>
      <c r="G596" s="3">
        <v>1</v>
      </c>
      <c r="H596" s="23">
        <v>74578.899999999994</v>
      </c>
      <c r="I596" s="124">
        <f t="shared" si="26"/>
        <v>74578.899999999994</v>
      </c>
      <c r="J596" s="21"/>
      <c r="K596" s="24"/>
    </row>
    <row r="597" spans="1:11" ht="15.75" customHeight="1" x14ac:dyDescent="0.25">
      <c r="A597" s="25" t="s">
        <v>872</v>
      </c>
      <c r="B597" s="26" t="s">
        <v>866</v>
      </c>
      <c r="C597" s="3"/>
      <c r="D597" s="21"/>
      <c r="E597" s="21" t="s">
        <v>810</v>
      </c>
      <c r="F597" s="3" t="s">
        <v>47</v>
      </c>
      <c r="G597" s="3">
        <v>1</v>
      </c>
      <c r="H597" s="23">
        <v>209759.15</v>
      </c>
      <c r="I597" s="124">
        <f t="shared" si="26"/>
        <v>209759.15</v>
      </c>
      <c r="J597" s="21"/>
      <c r="K597" s="24"/>
    </row>
    <row r="598" spans="1:11" ht="15.75" customHeight="1" x14ac:dyDescent="0.25">
      <c r="A598" s="25" t="s">
        <v>873</v>
      </c>
      <c r="B598" s="26" t="s">
        <v>866</v>
      </c>
      <c r="C598" s="3"/>
      <c r="D598" s="21"/>
      <c r="E598" s="21" t="s">
        <v>810</v>
      </c>
      <c r="F598" s="3" t="s">
        <v>47</v>
      </c>
      <c r="G598" s="3">
        <v>1</v>
      </c>
      <c r="H598" s="23">
        <v>193218.87</v>
      </c>
      <c r="I598" s="124">
        <f t="shared" si="26"/>
        <v>193218.87</v>
      </c>
      <c r="J598" s="21"/>
      <c r="K598" s="24"/>
    </row>
    <row r="599" spans="1:11" ht="34.5" customHeight="1" x14ac:dyDescent="0.25">
      <c r="A599" s="25" t="s">
        <v>874</v>
      </c>
      <c r="B599" s="26" t="s">
        <v>875</v>
      </c>
      <c r="C599" s="3"/>
      <c r="D599" s="21"/>
      <c r="E599" s="21" t="s">
        <v>876</v>
      </c>
      <c r="F599" s="3" t="s">
        <v>47</v>
      </c>
      <c r="G599" s="3">
        <v>6</v>
      </c>
      <c r="H599" s="23"/>
      <c r="I599" s="124">
        <f t="shared" si="26"/>
        <v>0</v>
      </c>
      <c r="J599" s="21"/>
      <c r="K599" s="24"/>
    </row>
    <row r="600" spans="1:11" ht="15.75" customHeight="1" x14ac:dyDescent="0.25">
      <c r="A600" s="25"/>
      <c r="B600" s="26" t="s">
        <v>877</v>
      </c>
      <c r="C600" s="3"/>
      <c r="D600" s="21"/>
      <c r="E600" s="21" t="s">
        <v>810</v>
      </c>
      <c r="F600" s="3" t="s">
        <v>78</v>
      </c>
      <c r="G600" s="3">
        <v>6</v>
      </c>
      <c r="H600" s="23"/>
      <c r="I600" s="124">
        <f t="shared" si="26"/>
        <v>0</v>
      </c>
      <c r="J600" s="21"/>
      <c r="K600" s="24"/>
    </row>
    <row r="601" spans="1:11" ht="15.75" customHeight="1" x14ac:dyDescent="0.25">
      <c r="A601" s="25"/>
      <c r="B601" s="26" t="s">
        <v>878</v>
      </c>
      <c r="C601" s="3"/>
      <c r="D601" s="21"/>
      <c r="E601" s="21" t="s">
        <v>810</v>
      </c>
      <c r="F601" s="3" t="s">
        <v>78</v>
      </c>
      <c r="G601" s="3">
        <v>6</v>
      </c>
      <c r="H601" s="23"/>
      <c r="I601" s="124">
        <f t="shared" si="26"/>
        <v>0</v>
      </c>
      <c r="J601" s="21"/>
      <c r="K601" s="24"/>
    </row>
    <row r="602" spans="1:11" ht="15.75" customHeight="1" x14ac:dyDescent="0.25">
      <c r="A602" s="25" t="s">
        <v>879</v>
      </c>
      <c r="B602" s="26" t="s">
        <v>862</v>
      </c>
      <c r="C602" s="3"/>
      <c r="D602" s="21"/>
      <c r="E602" s="21" t="s">
        <v>810</v>
      </c>
      <c r="F602" s="3" t="s">
        <v>47</v>
      </c>
      <c r="G602" s="3">
        <v>1</v>
      </c>
      <c r="H602" s="23">
        <v>108198.38</v>
      </c>
      <c r="I602" s="124">
        <f t="shared" si="26"/>
        <v>108198.38</v>
      </c>
      <c r="J602" s="21"/>
      <c r="K602" s="24"/>
    </row>
    <row r="603" spans="1:11" ht="15.75" customHeight="1" x14ac:dyDescent="0.25">
      <c r="A603" s="25" t="s">
        <v>880</v>
      </c>
      <c r="B603" s="26" t="s">
        <v>881</v>
      </c>
      <c r="C603" s="3"/>
      <c r="D603" s="21"/>
      <c r="E603" s="21" t="s">
        <v>810</v>
      </c>
      <c r="F603" s="3" t="s">
        <v>47</v>
      </c>
      <c r="G603" s="3">
        <v>1</v>
      </c>
      <c r="H603" s="23">
        <v>94880.16</v>
      </c>
      <c r="I603" s="124">
        <f t="shared" si="26"/>
        <v>94880.16</v>
      </c>
      <c r="J603" s="21"/>
      <c r="K603" s="24"/>
    </row>
    <row r="604" spans="1:11" ht="15.75" customHeight="1" x14ac:dyDescent="0.25">
      <c r="A604" s="25" t="s">
        <v>882</v>
      </c>
      <c r="B604" s="26" t="s">
        <v>881</v>
      </c>
      <c r="C604" s="3"/>
      <c r="D604" s="21"/>
      <c r="E604" s="21" t="s">
        <v>810</v>
      </c>
      <c r="F604" s="3" t="s">
        <v>47</v>
      </c>
      <c r="G604" s="3">
        <v>1</v>
      </c>
      <c r="H604" s="23">
        <v>94880.16</v>
      </c>
      <c r="I604" s="124">
        <f t="shared" si="26"/>
        <v>94880.16</v>
      </c>
      <c r="J604" s="21"/>
      <c r="K604" s="24"/>
    </row>
    <row r="605" spans="1:11" ht="15.75" customHeight="1" x14ac:dyDescent="0.25">
      <c r="A605" s="25" t="s">
        <v>883</v>
      </c>
      <c r="B605" s="26" t="s">
        <v>881</v>
      </c>
      <c r="C605" s="3"/>
      <c r="D605" s="21"/>
      <c r="E605" s="21" t="s">
        <v>810</v>
      </c>
      <c r="F605" s="3" t="s">
        <v>47</v>
      </c>
      <c r="G605" s="3">
        <v>1</v>
      </c>
      <c r="H605" s="23">
        <v>94880.16</v>
      </c>
      <c r="I605" s="124">
        <f t="shared" si="26"/>
        <v>94880.16</v>
      </c>
      <c r="J605" s="21"/>
      <c r="K605" s="24"/>
    </row>
    <row r="606" spans="1:11" ht="15.75" customHeight="1" x14ac:dyDescent="0.25">
      <c r="A606" s="25" t="s">
        <v>884</v>
      </c>
      <c r="B606" s="26" t="s">
        <v>868</v>
      </c>
      <c r="C606" s="3"/>
      <c r="D606" s="21"/>
      <c r="E606" s="21" t="s">
        <v>810</v>
      </c>
      <c r="F606" s="3" t="s">
        <v>47</v>
      </c>
      <c r="G606" s="3">
        <v>1</v>
      </c>
      <c r="H606" s="23">
        <v>122924.11</v>
      </c>
      <c r="I606" s="124">
        <f t="shared" si="26"/>
        <v>122924.11</v>
      </c>
      <c r="J606" s="21"/>
      <c r="K606" s="24"/>
    </row>
    <row r="607" spans="1:11" ht="15.75" customHeight="1" x14ac:dyDescent="0.25">
      <c r="A607" s="25" t="s">
        <v>885</v>
      </c>
      <c r="B607" s="26" t="s">
        <v>858</v>
      </c>
      <c r="C607" s="3"/>
      <c r="D607" s="21"/>
      <c r="E607" s="21" t="s">
        <v>810</v>
      </c>
      <c r="F607" s="3" t="s">
        <v>47</v>
      </c>
      <c r="G607" s="3">
        <v>1</v>
      </c>
      <c r="H607" s="23">
        <v>74578.899999999994</v>
      </c>
      <c r="I607" s="124">
        <f t="shared" si="26"/>
        <v>74578.899999999994</v>
      </c>
      <c r="J607" s="21"/>
      <c r="K607" s="24"/>
    </row>
    <row r="608" spans="1:11" ht="15.75" customHeight="1" x14ac:dyDescent="0.25">
      <c r="A608" s="25" t="s">
        <v>886</v>
      </c>
      <c r="B608" s="26" t="s">
        <v>858</v>
      </c>
      <c r="C608" s="3"/>
      <c r="D608" s="21"/>
      <c r="E608" s="21" t="s">
        <v>810</v>
      </c>
      <c r="F608" s="3" t="s">
        <v>47</v>
      </c>
      <c r="G608" s="3">
        <v>1</v>
      </c>
      <c r="H608" s="23">
        <v>74578.899999999994</v>
      </c>
      <c r="I608" s="124">
        <f t="shared" si="26"/>
        <v>74578.899999999994</v>
      </c>
      <c r="J608" s="21"/>
      <c r="K608" s="24"/>
    </row>
    <row r="609" spans="1:11" ht="15.75" customHeight="1" x14ac:dyDescent="0.25">
      <c r="A609" s="25" t="s">
        <v>887</v>
      </c>
      <c r="B609" s="26" t="s">
        <v>881</v>
      </c>
      <c r="C609" s="3"/>
      <c r="D609" s="21"/>
      <c r="E609" s="21" t="s">
        <v>810</v>
      </c>
      <c r="F609" s="3" t="s">
        <v>47</v>
      </c>
      <c r="G609" s="3">
        <v>1</v>
      </c>
      <c r="H609" s="23">
        <v>94880.16</v>
      </c>
      <c r="I609" s="124">
        <f t="shared" si="26"/>
        <v>94880.16</v>
      </c>
      <c r="J609" s="21"/>
      <c r="K609" s="24"/>
    </row>
    <row r="610" spans="1:11" ht="15.75" customHeight="1" x14ac:dyDescent="0.25">
      <c r="A610" s="25" t="s">
        <v>888</v>
      </c>
      <c r="B610" s="26" t="s">
        <v>881</v>
      </c>
      <c r="C610" s="3"/>
      <c r="D610" s="21"/>
      <c r="E610" s="21" t="s">
        <v>810</v>
      </c>
      <c r="F610" s="3" t="s">
        <v>47</v>
      </c>
      <c r="G610" s="3">
        <v>1</v>
      </c>
      <c r="H610" s="23">
        <v>94880.16</v>
      </c>
      <c r="I610" s="124">
        <f t="shared" si="26"/>
        <v>94880.16</v>
      </c>
      <c r="J610" s="21"/>
      <c r="K610" s="24"/>
    </row>
    <row r="611" spans="1:11" ht="15.75" customHeight="1" x14ac:dyDescent="0.25">
      <c r="A611" s="25" t="s">
        <v>889</v>
      </c>
      <c r="B611" s="26" t="s">
        <v>881</v>
      </c>
      <c r="C611" s="3"/>
      <c r="D611" s="21"/>
      <c r="E611" s="21" t="s">
        <v>810</v>
      </c>
      <c r="F611" s="3" t="s">
        <v>47</v>
      </c>
      <c r="G611" s="3">
        <v>1</v>
      </c>
      <c r="H611" s="23">
        <v>94880.16</v>
      </c>
      <c r="I611" s="124">
        <f t="shared" si="26"/>
        <v>94880.16</v>
      </c>
      <c r="J611" s="21"/>
      <c r="K611" s="24"/>
    </row>
    <row r="612" spans="1:11" ht="15.75" customHeight="1" x14ac:dyDescent="0.25">
      <c r="A612" s="25" t="s">
        <v>890</v>
      </c>
      <c r="B612" s="26" t="s">
        <v>881</v>
      </c>
      <c r="C612" s="3"/>
      <c r="D612" s="21"/>
      <c r="E612" s="21" t="s">
        <v>810</v>
      </c>
      <c r="F612" s="3" t="s">
        <v>47</v>
      </c>
      <c r="G612" s="3">
        <v>1</v>
      </c>
      <c r="H612" s="23">
        <v>94880.16</v>
      </c>
      <c r="I612" s="124">
        <f t="shared" si="26"/>
        <v>94880.16</v>
      </c>
      <c r="J612" s="21"/>
      <c r="K612" s="24"/>
    </row>
    <row r="613" spans="1:11" ht="15.75" customHeight="1" x14ac:dyDescent="0.25">
      <c r="A613" s="25" t="s">
        <v>891</v>
      </c>
      <c r="B613" s="26" t="s">
        <v>892</v>
      </c>
      <c r="C613" s="3"/>
      <c r="D613" s="21"/>
      <c r="E613" s="21" t="s">
        <v>810</v>
      </c>
      <c r="F613" s="3" t="s">
        <v>47</v>
      </c>
      <c r="G613" s="3">
        <v>1</v>
      </c>
      <c r="H613" s="23">
        <v>275209.36</v>
      </c>
      <c r="I613" s="124">
        <f t="shared" si="26"/>
        <v>275209.36</v>
      </c>
      <c r="J613" s="21"/>
      <c r="K613" s="24"/>
    </row>
    <row r="614" spans="1:11" ht="15.75" customHeight="1" x14ac:dyDescent="0.25">
      <c r="A614" s="25" t="s">
        <v>893</v>
      </c>
      <c r="B614" s="26" t="s">
        <v>860</v>
      </c>
      <c r="C614" s="3"/>
      <c r="D614" s="21"/>
      <c r="E614" s="21" t="s">
        <v>810</v>
      </c>
      <c r="F614" s="3" t="s">
        <v>47</v>
      </c>
      <c r="G614" s="3">
        <v>1</v>
      </c>
      <c r="H614" s="23">
        <v>176168.33</v>
      </c>
      <c r="I614" s="124">
        <f t="shared" si="26"/>
        <v>176168.33</v>
      </c>
      <c r="J614" s="21"/>
      <c r="K614" s="24"/>
    </row>
    <row r="615" spans="1:11" ht="34.5" customHeight="1" x14ac:dyDescent="0.25">
      <c r="A615" s="25" t="s">
        <v>894</v>
      </c>
      <c r="B615" s="26" t="s">
        <v>895</v>
      </c>
      <c r="C615" s="3"/>
      <c r="D615" s="21"/>
      <c r="E615" s="21" t="s">
        <v>810</v>
      </c>
      <c r="F615" s="3" t="s">
        <v>47</v>
      </c>
      <c r="G615" s="3">
        <v>1</v>
      </c>
      <c r="H615" s="23">
        <v>198264.09</v>
      </c>
      <c r="I615" s="124">
        <f t="shared" si="26"/>
        <v>198264.09</v>
      </c>
      <c r="J615" s="21"/>
      <c r="K615" s="24"/>
    </row>
    <row r="616" spans="1:11" ht="15.75" customHeight="1" x14ac:dyDescent="0.25">
      <c r="A616" s="25" t="s">
        <v>896</v>
      </c>
      <c r="B616" s="26" t="s">
        <v>862</v>
      </c>
      <c r="C616" s="3"/>
      <c r="D616" s="21"/>
      <c r="E616" s="21" t="s">
        <v>810</v>
      </c>
      <c r="F616" s="3" t="s">
        <v>47</v>
      </c>
      <c r="G616" s="3">
        <v>1</v>
      </c>
      <c r="H616" s="23">
        <v>108198.38</v>
      </c>
      <c r="I616" s="124">
        <f t="shared" si="26"/>
        <v>108198.38</v>
      </c>
      <c r="J616" s="21"/>
      <c r="K616" s="24"/>
    </row>
    <row r="617" spans="1:11" ht="15.75" customHeight="1" x14ac:dyDescent="0.25">
      <c r="A617" s="25" t="s">
        <v>897</v>
      </c>
      <c r="B617" s="26" t="s">
        <v>858</v>
      </c>
      <c r="C617" s="3"/>
      <c r="D617" s="21"/>
      <c r="E617" s="21" t="s">
        <v>810</v>
      </c>
      <c r="F617" s="3" t="s">
        <v>47</v>
      </c>
      <c r="G617" s="3">
        <v>1</v>
      </c>
      <c r="H617" s="23">
        <v>74578.899999999994</v>
      </c>
      <c r="I617" s="124">
        <f t="shared" si="26"/>
        <v>74578.899999999994</v>
      </c>
      <c r="J617" s="21"/>
      <c r="K617" s="24"/>
    </row>
    <row r="618" spans="1:11" ht="15.75" customHeight="1" x14ac:dyDescent="0.25">
      <c r="A618" s="25" t="s">
        <v>898</v>
      </c>
      <c r="B618" s="26" t="s">
        <v>870</v>
      </c>
      <c r="C618" s="3"/>
      <c r="D618" s="21"/>
      <c r="E618" s="21" t="s">
        <v>810</v>
      </c>
      <c r="F618" s="3" t="s">
        <v>47</v>
      </c>
      <c r="G618" s="3">
        <v>1</v>
      </c>
      <c r="H618" s="23">
        <v>86303.3</v>
      </c>
      <c r="I618" s="124">
        <f t="shared" si="26"/>
        <v>86303.3</v>
      </c>
      <c r="J618" s="21"/>
      <c r="K618" s="24"/>
    </row>
    <row r="619" spans="1:11" ht="15.75" customHeight="1" x14ac:dyDescent="0.25">
      <c r="A619" s="25" t="s">
        <v>899</v>
      </c>
      <c r="B619" s="26" t="s">
        <v>870</v>
      </c>
      <c r="C619" s="3"/>
      <c r="D619" s="21"/>
      <c r="E619" s="21" t="s">
        <v>810</v>
      </c>
      <c r="F619" s="3" t="s">
        <v>47</v>
      </c>
      <c r="G619" s="3">
        <v>1</v>
      </c>
      <c r="H619" s="23">
        <v>86303.3</v>
      </c>
      <c r="I619" s="124">
        <f t="shared" si="26"/>
        <v>86303.3</v>
      </c>
      <c r="J619" s="21"/>
      <c r="K619" s="24"/>
    </row>
    <row r="620" spans="1:11" ht="15.75" customHeight="1" x14ac:dyDescent="0.25">
      <c r="A620" s="25" t="s">
        <v>900</v>
      </c>
      <c r="B620" s="26" t="s">
        <v>858</v>
      </c>
      <c r="C620" s="3"/>
      <c r="D620" s="21"/>
      <c r="E620" s="21" t="s">
        <v>810</v>
      </c>
      <c r="F620" s="3" t="s">
        <v>47</v>
      </c>
      <c r="G620" s="3">
        <v>1</v>
      </c>
      <c r="H620" s="23">
        <v>74578.899999999994</v>
      </c>
      <c r="I620" s="124">
        <f t="shared" si="26"/>
        <v>74578.899999999994</v>
      </c>
      <c r="J620" s="21"/>
      <c r="K620" s="24"/>
    </row>
    <row r="621" spans="1:11" ht="15.75" customHeight="1" x14ac:dyDescent="0.25">
      <c r="A621" s="25" t="s">
        <v>901</v>
      </c>
      <c r="B621" s="26" t="s">
        <v>858</v>
      </c>
      <c r="C621" s="3"/>
      <c r="D621" s="21"/>
      <c r="E621" s="21" t="s">
        <v>810</v>
      </c>
      <c r="F621" s="3" t="s">
        <v>47</v>
      </c>
      <c r="G621" s="3">
        <v>1</v>
      </c>
      <c r="H621" s="23">
        <v>74578.899999999994</v>
      </c>
      <c r="I621" s="124">
        <f t="shared" si="26"/>
        <v>74578.899999999994</v>
      </c>
      <c r="J621" s="21"/>
      <c r="K621" s="24"/>
    </row>
    <row r="622" spans="1:11" ht="15.75" customHeight="1" x14ac:dyDescent="0.25">
      <c r="A622" s="25" t="s">
        <v>902</v>
      </c>
      <c r="B622" s="26" t="s">
        <v>858</v>
      </c>
      <c r="C622" s="3"/>
      <c r="D622" s="21"/>
      <c r="E622" s="21" t="s">
        <v>810</v>
      </c>
      <c r="F622" s="3" t="s">
        <v>47</v>
      </c>
      <c r="G622" s="3">
        <v>1</v>
      </c>
      <c r="H622" s="23">
        <v>74578.899999999994</v>
      </c>
      <c r="I622" s="124">
        <f t="shared" si="26"/>
        <v>74578.899999999994</v>
      </c>
      <c r="J622" s="21"/>
      <c r="K622" s="24"/>
    </row>
    <row r="623" spans="1:11" ht="15.75" customHeight="1" x14ac:dyDescent="0.25">
      <c r="A623" s="25" t="s">
        <v>903</v>
      </c>
      <c r="B623" s="26" t="s">
        <v>881</v>
      </c>
      <c r="C623" s="3"/>
      <c r="D623" s="21"/>
      <c r="E623" s="21" t="s">
        <v>810</v>
      </c>
      <c r="F623" s="3" t="s">
        <v>47</v>
      </c>
      <c r="G623" s="3">
        <v>1</v>
      </c>
      <c r="H623" s="23">
        <v>94880.16</v>
      </c>
      <c r="I623" s="124">
        <f t="shared" si="26"/>
        <v>94880.16</v>
      </c>
      <c r="J623" s="21"/>
      <c r="K623" s="24"/>
    </row>
    <row r="624" spans="1:11" ht="15.75" customHeight="1" x14ac:dyDescent="0.25">
      <c r="A624" s="25" t="s">
        <v>904</v>
      </c>
      <c r="B624" s="26" t="s">
        <v>862</v>
      </c>
      <c r="C624" s="3"/>
      <c r="D624" s="21"/>
      <c r="E624" s="21" t="s">
        <v>810</v>
      </c>
      <c r="F624" s="3" t="s">
        <v>47</v>
      </c>
      <c r="G624" s="3">
        <v>1</v>
      </c>
      <c r="H624" s="23">
        <v>108198.38</v>
      </c>
      <c r="I624" s="124">
        <f t="shared" si="26"/>
        <v>108198.38</v>
      </c>
      <c r="J624" s="21"/>
      <c r="K624" s="24"/>
    </row>
    <row r="625" spans="1:11" ht="15.75" customHeight="1" x14ac:dyDescent="0.25">
      <c r="A625" s="25" t="s">
        <v>905</v>
      </c>
      <c r="B625" s="26" t="s">
        <v>860</v>
      </c>
      <c r="C625" s="3"/>
      <c r="D625" s="21"/>
      <c r="E625" s="21" t="s">
        <v>810</v>
      </c>
      <c r="F625" s="3" t="s">
        <v>47</v>
      </c>
      <c r="G625" s="3">
        <v>1</v>
      </c>
      <c r="H625" s="23">
        <v>193218.87</v>
      </c>
      <c r="I625" s="124">
        <f t="shared" ref="I625:I656" si="27">H625*G625</f>
        <v>193218.87</v>
      </c>
      <c r="J625" s="21"/>
      <c r="K625" s="24"/>
    </row>
    <row r="626" spans="1:11" ht="15.75" customHeight="1" x14ac:dyDescent="0.25">
      <c r="A626" s="25" t="s">
        <v>906</v>
      </c>
      <c r="B626" s="26" t="s">
        <v>907</v>
      </c>
      <c r="C626" s="3"/>
      <c r="D626" s="21"/>
      <c r="E626" s="21" t="s">
        <v>810</v>
      </c>
      <c r="F626" s="3" t="s">
        <v>47</v>
      </c>
      <c r="G626" s="3">
        <v>1</v>
      </c>
      <c r="H626" s="23">
        <v>122924.11</v>
      </c>
      <c r="I626" s="124">
        <f t="shared" si="27"/>
        <v>122924.11</v>
      </c>
      <c r="J626" s="21"/>
      <c r="K626" s="24"/>
    </row>
    <row r="627" spans="1:11" ht="15.75" customHeight="1" x14ac:dyDescent="0.25">
      <c r="A627" s="25" t="s">
        <v>908</v>
      </c>
      <c r="B627" s="26" t="s">
        <v>881</v>
      </c>
      <c r="C627" s="3"/>
      <c r="D627" s="21"/>
      <c r="E627" s="21" t="s">
        <v>810</v>
      </c>
      <c r="F627" s="3" t="s">
        <v>47</v>
      </c>
      <c r="G627" s="3">
        <v>1</v>
      </c>
      <c r="H627" s="23">
        <v>94880.16</v>
      </c>
      <c r="I627" s="124">
        <f t="shared" si="27"/>
        <v>94880.16</v>
      </c>
      <c r="J627" s="21"/>
      <c r="K627" s="24"/>
    </row>
    <row r="628" spans="1:11" ht="15.75" customHeight="1" x14ac:dyDescent="0.25">
      <c r="A628" s="25" t="s">
        <v>909</v>
      </c>
      <c r="B628" s="26" t="s">
        <v>858</v>
      </c>
      <c r="C628" s="3"/>
      <c r="D628" s="21"/>
      <c r="E628" s="21" t="s">
        <v>810</v>
      </c>
      <c r="F628" s="3" t="s">
        <v>47</v>
      </c>
      <c r="G628" s="3">
        <v>1</v>
      </c>
      <c r="H628" s="23">
        <v>74578.899999999994</v>
      </c>
      <c r="I628" s="124">
        <f t="shared" si="27"/>
        <v>74578.899999999994</v>
      </c>
      <c r="J628" s="21"/>
      <c r="K628" s="24"/>
    </row>
    <row r="629" spans="1:11" ht="15.75" customHeight="1" x14ac:dyDescent="0.25">
      <c r="A629" s="25" t="s">
        <v>910</v>
      </c>
      <c r="B629" s="26" t="s">
        <v>911</v>
      </c>
      <c r="C629" s="3"/>
      <c r="D629" s="21"/>
      <c r="E629" s="21" t="s">
        <v>810</v>
      </c>
      <c r="F629" s="3" t="s">
        <v>47</v>
      </c>
      <c r="G629" s="3">
        <v>1</v>
      </c>
      <c r="H629" s="23">
        <v>578839.64</v>
      </c>
      <c r="I629" s="124">
        <f t="shared" si="27"/>
        <v>578839.64</v>
      </c>
      <c r="J629" s="21"/>
      <c r="K629" s="24"/>
    </row>
    <row r="630" spans="1:11" ht="15.75" customHeight="1" x14ac:dyDescent="0.25">
      <c r="A630" s="25" t="s">
        <v>912</v>
      </c>
      <c r="B630" s="26" t="s">
        <v>858</v>
      </c>
      <c r="C630" s="3"/>
      <c r="D630" s="21"/>
      <c r="E630" s="21" t="s">
        <v>810</v>
      </c>
      <c r="F630" s="3" t="s">
        <v>47</v>
      </c>
      <c r="G630" s="3">
        <v>1</v>
      </c>
      <c r="H630" s="23">
        <v>74578.899999999994</v>
      </c>
      <c r="I630" s="124">
        <f t="shared" si="27"/>
        <v>74578.899999999994</v>
      </c>
      <c r="J630" s="21"/>
      <c r="K630" s="24"/>
    </row>
    <row r="631" spans="1:11" ht="15.75" customHeight="1" x14ac:dyDescent="0.25">
      <c r="A631" s="25" t="s">
        <v>913</v>
      </c>
      <c r="B631" s="26" t="s">
        <v>858</v>
      </c>
      <c r="C631" s="3"/>
      <c r="D631" s="21"/>
      <c r="E631" s="21" t="s">
        <v>810</v>
      </c>
      <c r="F631" s="3" t="s">
        <v>47</v>
      </c>
      <c r="G631" s="3">
        <v>1</v>
      </c>
      <c r="H631" s="23">
        <v>74578.899999999994</v>
      </c>
      <c r="I631" s="124">
        <f t="shared" si="27"/>
        <v>74578.899999999994</v>
      </c>
      <c r="J631" s="21"/>
      <c r="K631" s="24"/>
    </row>
    <row r="632" spans="1:11" ht="15.75" customHeight="1" x14ac:dyDescent="0.25">
      <c r="A632" s="25" t="s">
        <v>914</v>
      </c>
      <c r="B632" s="26" t="s">
        <v>862</v>
      </c>
      <c r="C632" s="3"/>
      <c r="D632" s="21"/>
      <c r="E632" s="21" t="s">
        <v>810</v>
      </c>
      <c r="F632" s="3" t="s">
        <v>47</v>
      </c>
      <c r="G632" s="3">
        <v>1</v>
      </c>
      <c r="H632" s="23">
        <v>108198.38</v>
      </c>
      <c r="I632" s="124">
        <f t="shared" si="27"/>
        <v>108198.38</v>
      </c>
      <c r="J632" s="21"/>
      <c r="K632" s="24"/>
    </row>
    <row r="633" spans="1:11" ht="15.75" customHeight="1" x14ac:dyDescent="0.25">
      <c r="A633" s="25" t="s">
        <v>915</v>
      </c>
      <c r="B633" s="26" t="s">
        <v>870</v>
      </c>
      <c r="C633" s="3"/>
      <c r="D633" s="21"/>
      <c r="E633" s="21" t="s">
        <v>810</v>
      </c>
      <c r="F633" s="3" t="s">
        <v>47</v>
      </c>
      <c r="G633" s="3">
        <v>1</v>
      </c>
      <c r="H633" s="23">
        <v>86303.3</v>
      </c>
      <c r="I633" s="124">
        <f t="shared" si="27"/>
        <v>86303.3</v>
      </c>
      <c r="J633" s="21"/>
      <c r="K633" s="24"/>
    </row>
    <row r="634" spans="1:11" ht="15.75" customHeight="1" x14ac:dyDescent="0.25">
      <c r="A634" s="25" t="s">
        <v>916</v>
      </c>
      <c r="B634" s="26" t="s">
        <v>917</v>
      </c>
      <c r="C634" s="3"/>
      <c r="D634" s="21"/>
      <c r="E634" s="21" t="s">
        <v>810</v>
      </c>
      <c r="F634" s="3" t="s">
        <v>47</v>
      </c>
      <c r="G634" s="3">
        <v>1</v>
      </c>
      <c r="H634" s="23">
        <v>162986.26999999999</v>
      </c>
      <c r="I634" s="124">
        <f t="shared" si="27"/>
        <v>162986.26999999999</v>
      </c>
      <c r="J634" s="21"/>
      <c r="K634" s="24"/>
    </row>
    <row r="635" spans="1:11" ht="15.75" customHeight="1" x14ac:dyDescent="0.25">
      <c r="A635" s="25" t="s">
        <v>918</v>
      </c>
      <c r="B635" s="26" t="s">
        <v>917</v>
      </c>
      <c r="C635" s="3"/>
      <c r="D635" s="21"/>
      <c r="E635" s="21" t="s">
        <v>810</v>
      </c>
      <c r="F635" s="3" t="s">
        <v>47</v>
      </c>
      <c r="G635" s="3">
        <v>1</v>
      </c>
      <c r="H635" s="23">
        <v>162986.26999999999</v>
      </c>
      <c r="I635" s="124">
        <f t="shared" si="27"/>
        <v>162986.26999999999</v>
      </c>
      <c r="J635" s="21"/>
      <c r="K635" s="24"/>
    </row>
    <row r="636" spans="1:11" ht="15.75" customHeight="1" x14ac:dyDescent="0.25">
      <c r="A636" s="25" t="s">
        <v>919</v>
      </c>
      <c r="B636" s="26" t="s">
        <v>870</v>
      </c>
      <c r="C636" s="3"/>
      <c r="D636" s="21"/>
      <c r="E636" s="21" t="s">
        <v>810</v>
      </c>
      <c r="F636" s="3" t="s">
        <v>47</v>
      </c>
      <c r="G636" s="3">
        <v>1</v>
      </c>
      <c r="H636" s="23">
        <v>86303.3</v>
      </c>
      <c r="I636" s="124">
        <f t="shared" si="27"/>
        <v>86303.3</v>
      </c>
      <c r="J636" s="21"/>
      <c r="K636" s="24"/>
    </row>
    <row r="637" spans="1:11" ht="15.75" customHeight="1" x14ac:dyDescent="0.25">
      <c r="A637" s="25" t="s">
        <v>920</v>
      </c>
      <c r="B637" s="26" t="s">
        <v>858</v>
      </c>
      <c r="C637" s="3"/>
      <c r="D637" s="21"/>
      <c r="E637" s="21" t="s">
        <v>810</v>
      </c>
      <c r="F637" s="3" t="s">
        <v>47</v>
      </c>
      <c r="G637" s="3">
        <v>1</v>
      </c>
      <c r="H637" s="23">
        <v>74578.899999999994</v>
      </c>
      <c r="I637" s="124">
        <f t="shared" si="27"/>
        <v>74578.899999999994</v>
      </c>
      <c r="J637" s="21"/>
      <c r="K637" s="24"/>
    </row>
    <row r="638" spans="1:11" ht="15.75" customHeight="1" x14ac:dyDescent="0.25">
      <c r="A638" s="25" t="s">
        <v>921</v>
      </c>
      <c r="B638" s="26" t="s">
        <v>870</v>
      </c>
      <c r="C638" s="3"/>
      <c r="D638" s="21"/>
      <c r="E638" s="21" t="s">
        <v>810</v>
      </c>
      <c r="F638" s="3" t="s">
        <v>47</v>
      </c>
      <c r="G638" s="3">
        <v>1</v>
      </c>
      <c r="H638" s="23">
        <v>86303.3</v>
      </c>
      <c r="I638" s="124">
        <f t="shared" si="27"/>
        <v>86303.3</v>
      </c>
      <c r="J638" s="21"/>
      <c r="K638" s="24"/>
    </row>
    <row r="639" spans="1:11" ht="15.75" customHeight="1" x14ac:dyDescent="0.25">
      <c r="A639" s="25" t="s">
        <v>922</v>
      </c>
      <c r="B639" s="26" t="s">
        <v>858</v>
      </c>
      <c r="C639" s="3"/>
      <c r="D639" s="21"/>
      <c r="E639" s="21" t="s">
        <v>810</v>
      </c>
      <c r="F639" s="3" t="s">
        <v>47</v>
      </c>
      <c r="G639" s="3">
        <v>1</v>
      </c>
      <c r="H639" s="23">
        <v>74578.899999999994</v>
      </c>
      <c r="I639" s="124">
        <f t="shared" si="27"/>
        <v>74578.899999999994</v>
      </c>
      <c r="J639" s="21"/>
      <c r="K639" s="24"/>
    </row>
    <row r="640" spans="1:11" ht="15.75" customHeight="1" x14ac:dyDescent="0.25">
      <c r="A640" s="25" t="s">
        <v>923</v>
      </c>
      <c r="B640" s="26" t="s">
        <v>858</v>
      </c>
      <c r="C640" s="3"/>
      <c r="D640" s="21"/>
      <c r="E640" s="21" t="s">
        <v>810</v>
      </c>
      <c r="F640" s="3" t="s">
        <v>47</v>
      </c>
      <c r="G640" s="3">
        <v>1</v>
      </c>
      <c r="H640" s="23">
        <v>74578.899999999994</v>
      </c>
      <c r="I640" s="124">
        <f t="shared" si="27"/>
        <v>74578.899999999994</v>
      </c>
      <c r="J640" s="21"/>
      <c r="K640" s="24"/>
    </row>
    <row r="641" spans="1:11" ht="15.75" customHeight="1" x14ac:dyDescent="0.25">
      <c r="A641" s="25" t="s">
        <v>924</v>
      </c>
      <c r="B641" s="26" t="s">
        <v>866</v>
      </c>
      <c r="C641" s="3"/>
      <c r="D641" s="21"/>
      <c r="E641" s="21" t="s">
        <v>810</v>
      </c>
      <c r="F641" s="3" t="s">
        <v>47</v>
      </c>
      <c r="G641" s="3">
        <v>1</v>
      </c>
      <c r="H641" s="23">
        <v>181594.81</v>
      </c>
      <c r="I641" s="124">
        <f t="shared" si="27"/>
        <v>181594.81</v>
      </c>
      <c r="J641" s="21"/>
      <c r="K641" s="24"/>
    </row>
    <row r="642" spans="1:11" ht="15.75" customHeight="1" x14ac:dyDescent="0.25">
      <c r="A642" s="25" t="s">
        <v>925</v>
      </c>
      <c r="B642" s="26" t="s">
        <v>868</v>
      </c>
      <c r="C642" s="3"/>
      <c r="D642" s="21"/>
      <c r="E642" s="21" t="s">
        <v>810</v>
      </c>
      <c r="F642" s="3" t="s">
        <v>47</v>
      </c>
      <c r="G642" s="3">
        <v>1</v>
      </c>
      <c r="H642" s="23">
        <v>122924.11</v>
      </c>
      <c r="I642" s="124">
        <f t="shared" si="27"/>
        <v>122924.11</v>
      </c>
      <c r="J642" s="21"/>
      <c r="K642" s="24"/>
    </row>
    <row r="643" spans="1:11" ht="34.5" customHeight="1" x14ac:dyDescent="0.25">
      <c r="A643" s="25" t="s">
        <v>926</v>
      </c>
      <c r="B643" s="26" t="s">
        <v>927</v>
      </c>
      <c r="C643" s="3" t="s">
        <v>928</v>
      </c>
      <c r="D643" s="21"/>
      <c r="E643" s="21" t="s">
        <v>929</v>
      </c>
      <c r="F643" s="3" t="s">
        <v>78</v>
      </c>
      <c r="G643" s="3">
        <v>8</v>
      </c>
      <c r="H643" s="23"/>
      <c r="I643" s="124">
        <f t="shared" si="27"/>
        <v>0</v>
      </c>
      <c r="J643" s="21"/>
      <c r="K643" s="24"/>
    </row>
    <row r="644" spans="1:11" ht="34.5" customHeight="1" x14ac:dyDescent="0.25">
      <c r="A644" s="25" t="s">
        <v>930</v>
      </c>
      <c r="B644" s="26" t="s">
        <v>931</v>
      </c>
      <c r="C644" s="3"/>
      <c r="D644" s="21"/>
      <c r="E644" s="21" t="s">
        <v>810</v>
      </c>
      <c r="F644" s="3" t="s">
        <v>47</v>
      </c>
      <c r="G644" s="3">
        <v>1</v>
      </c>
      <c r="H644" s="23">
        <v>469999.14</v>
      </c>
      <c r="I644" s="124">
        <f t="shared" si="27"/>
        <v>469999.14</v>
      </c>
      <c r="J644" s="21"/>
      <c r="K644" s="24"/>
    </row>
    <row r="645" spans="1:11" ht="34.5" customHeight="1" x14ac:dyDescent="0.25">
      <c r="A645" s="25" t="s">
        <v>932</v>
      </c>
      <c r="B645" s="26" t="s">
        <v>933</v>
      </c>
      <c r="C645" s="3"/>
      <c r="D645" s="21"/>
      <c r="E645" s="21" t="s">
        <v>810</v>
      </c>
      <c r="F645" s="3" t="s">
        <v>47</v>
      </c>
      <c r="G645" s="3">
        <v>1</v>
      </c>
      <c r="H645" s="23">
        <v>625824.65</v>
      </c>
      <c r="I645" s="124">
        <f t="shared" si="27"/>
        <v>625824.65</v>
      </c>
      <c r="J645" s="21"/>
      <c r="K645" s="24"/>
    </row>
    <row r="646" spans="1:11" ht="45" customHeight="1" x14ac:dyDescent="0.25">
      <c r="A646" s="25" t="s">
        <v>934</v>
      </c>
      <c r="B646" s="26" t="s">
        <v>935</v>
      </c>
      <c r="C646" s="3"/>
      <c r="D646" s="21"/>
      <c r="E646" s="21" t="s">
        <v>810</v>
      </c>
      <c r="F646" s="3" t="s">
        <v>47</v>
      </c>
      <c r="G646" s="3">
        <v>1</v>
      </c>
      <c r="H646" s="23">
        <v>360010.56</v>
      </c>
      <c r="I646" s="124">
        <f t="shared" si="27"/>
        <v>360010.56</v>
      </c>
      <c r="J646" s="21"/>
      <c r="K646" s="24"/>
    </row>
    <row r="647" spans="1:11" ht="45" customHeight="1" x14ac:dyDescent="0.25">
      <c r="A647" s="25" t="s">
        <v>936</v>
      </c>
      <c r="B647" s="26" t="s">
        <v>937</v>
      </c>
      <c r="C647" s="3"/>
      <c r="D647" s="21"/>
      <c r="E647" s="21" t="s">
        <v>810</v>
      </c>
      <c r="F647" s="3" t="s">
        <v>47</v>
      </c>
      <c r="G647" s="3">
        <v>1</v>
      </c>
      <c r="H647" s="23">
        <v>625824.65</v>
      </c>
      <c r="I647" s="124">
        <f t="shared" si="27"/>
        <v>625824.65</v>
      </c>
      <c r="J647" s="21"/>
      <c r="K647" s="24"/>
    </row>
    <row r="648" spans="1:11" ht="45" customHeight="1" x14ac:dyDescent="0.25">
      <c r="A648" s="25" t="s">
        <v>938</v>
      </c>
      <c r="B648" s="26" t="s">
        <v>937</v>
      </c>
      <c r="C648" s="3"/>
      <c r="D648" s="21"/>
      <c r="E648" s="21" t="s">
        <v>810</v>
      </c>
      <c r="F648" s="3" t="s">
        <v>47</v>
      </c>
      <c r="G648" s="3">
        <v>1</v>
      </c>
      <c r="H648" s="23">
        <v>625824.65</v>
      </c>
      <c r="I648" s="124">
        <f t="shared" si="27"/>
        <v>625824.65</v>
      </c>
      <c r="J648" s="21"/>
      <c r="K648" s="24"/>
    </row>
    <row r="649" spans="1:11" ht="34.5" customHeight="1" x14ac:dyDescent="0.25">
      <c r="A649" s="25" t="s">
        <v>939</v>
      </c>
      <c r="B649" s="26" t="s">
        <v>940</v>
      </c>
      <c r="C649" s="3"/>
      <c r="D649" s="21"/>
      <c r="E649" s="21" t="s">
        <v>810</v>
      </c>
      <c r="F649" s="3" t="s">
        <v>47</v>
      </c>
      <c r="G649" s="3">
        <v>1</v>
      </c>
      <c r="H649" s="23">
        <v>249933.12</v>
      </c>
      <c r="I649" s="124">
        <f t="shared" si="27"/>
        <v>249933.12</v>
      </c>
      <c r="J649" s="21"/>
      <c r="K649" s="24"/>
    </row>
    <row r="650" spans="1:11" ht="34.5" customHeight="1" x14ac:dyDescent="0.25">
      <c r="A650" s="25" t="s">
        <v>941</v>
      </c>
      <c r="B650" s="26" t="s">
        <v>940</v>
      </c>
      <c r="C650" s="3"/>
      <c r="D650" s="21"/>
      <c r="E650" s="21" t="s">
        <v>810</v>
      </c>
      <c r="F650" s="3" t="s">
        <v>47</v>
      </c>
      <c r="G650" s="3">
        <v>1</v>
      </c>
      <c r="H650" s="23">
        <v>249933.12</v>
      </c>
      <c r="I650" s="124">
        <f t="shared" si="27"/>
        <v>249933.12</v>
      </c>
      <c r="J650" s="21"/>
      <c r="K650" s="24"/>
    </row>
    <row r="651" spans="1:11" ht="34.5" customHeight="1" x14ac:dyDescent="0.25">
      <c r="A651" s="25" t="s">
        <v>942</v>
      </c>
      <c r="B651" s="26" t="s">
        <v>943</v>
      </c>
      <c r="C651" s="3"/>
      <c r="D651" s="21"/>
      <c r="E651" s="21" t="s">
        <v>810</v>
      </c>
      <c r="F651" s="3" t="s">
        <v>47</v>
      </c>
      <c r="G651" s="3">
        <v>1</v>
      </c>
      <c r="H651" s="23">
        <v>224011.89</v>
      </c>
      <c r="I651" s="124">
        <f t="shared" si="27"/>
        <v>224011.89</v>
      </c>
      <c r="J651" s="21"/>
      <c r="K651" s="24"/>
    </row>
    <row r="652" spans="1:11" ht="34.5" customHeight="1" x14ac:dyDescent="0.25">
      <c r="A652" s="25" t="s">
        <v>944</v>
      </c>
      <c r="B652" s="26" t="s">
        <v>940</v>
      </c>
      <c r="C652" s="3"/>
      <c r="D652" s="21"/>
      <c r="E652" s="21" t="s">
        <v>810</v>
      </c>
      <c r="F652" s="3" t="s">
        <v>47</v>
      </c>
      <c r="G652" s="3">
        <v>1</v>
      </c>
      <c r="H652" s="23">
        <v>249933.12</v>
      </c>
      <c r="I652" s="124">
        <f t="shared" si="27"/>
        <v>249933.12</v>
      </c>
      <c r="J652" s="21"/>
      <c r="K652" s="24"/>
    </row>
    <row r="653" spans="1:11" ht="34.5" customHeight="1" x14ac:dyDescent="0.25">
      <c r="A653" s="25" t="s">
        <v>945</v>
      </c>
      <c r="B653" s="26" t="s">
        <v>940</v>
      </c>
      <c r="C653" s="3"/>
      <c r="D653" s="21"/>
      <c r="E653" s="21" t="s">
        <v>810</v>
      </c>
      <c r="F653" s="3" t="s">
        <v>47</v>
      </c>
      <c r="G653" s="3">
        <v>1</v>
      </c>
      <c r="H653" s="23">
        <v>249933.12</v>
      </c>
      <c r="I653" s="124">
        <f t="shared" si="27"/>
        <v>249933.12</v>
      </c>
      <c r="J653" s="21"/>
      <c r="K653" s="24"/>
    </row>
    <row r="654" spans="1:11" ht="34.5" customHeight="1" x14ac:dyDescent="0.25">
      <c r="A654" s="25" t="s">
        <v>946</v>
      </c>
      <c r="B654" s="26" t="s">
        <v>940</v>
      </c>
      <c r="C654" s="3"/>
      <c r="D654" s="21"/>
      <c r="E654" s="21" t="s">
        <v>810</v>
      </c>
      <c r="F654" s="3" t="s">
        <v>47</v>
      </c>
      <c r="G654" s="3">
        <v>1</v>
      </c>
      <c r="H654" s="23">
        <v>333617.78000000003</v>
      </c>
      <c r="I654" s="124">
        <f t="shared" si="27"/>
        <v>333617.78000000003</v>
      </c>
      <c r="J654" s="21"/>
      <c r="K654" s="24"/>
    </row>
    <row r="655" spans="1:11" ht="34.5" customHeight="1" x14ac:dyDescent="0.25">
      <c r="A655" s="25" t="s">
        <v>947</v>
      </c>
      <c r="B655" s="26" t="s">
        <v>948</v>
      </c>
      <c r="C655" s="3"/>
      <c r="D655" s="21"/>
      <c r="E655" s="21" t="s">
        <v>810</v>
      </c>
      <c r="F655" s="3" t="s">
        <v>47</v>
      </c>
      <c r="G655" s="3">
        <v>1</v>
      </c>
      <c r="H655" s="23">
        <v>229263.5</v>
      </c>
      <c r="I655" s="124">
        <f t="shared" si="27"/>
        <v>229263.5</v>
      </c>
      <c r="J655" s="21"/>
      <c r="K655" s="24"/>
    </row>
    <row r="656" spans="1:11" ht="34.5" customHeight="1" x14ac:dyDescent="0.25">
      <c r="A656" s="25" t="s">
        <v>949</v>
      </c>
      <c r="B656" s="26" t="s">
        <v>950</v>
      </c>
      <c r="C656" s="3"/>
      <c r="D656" s="21"/>
      <c r="E656" s="21" t="s">
        <v>810</v>
      </c>
      <c r="F656" s="3" t="s">
        <v>47</v>
      </c>
      <c r="G656" s="3">
        <v>1</v>
      </c>
      <c r="H656" s="23">
        <v>150817.66</v>
      </c>
      <c r="I656" s="124">
        <f t="shared" si="27"/>
        <v>150817.66</v>
      </c>
      <c r="J656" s="21"/>
      <c r="K656" s="24"/>
    </row>
    <row r="657" spans="1:11" ht="34.5" customHeight="1" x14ac:dyDescent="0.25">
      <c r="A657" s="19" t="s">
        <v>375</v>
      </c>
      <c r="B657" s="20" t="s">
        <v>951</v>
      </c>
      <c r="C657" s="21"/>
      <c r="D657" s="21"/>
      <c r="E657" s="21"/>
      <c r="F657" s="22"/>
      <c r="G657" s="21"/>
      <c r="H657" s="23"/>
      <c r="I657" s="124"/>
      <c r="J657" s="21"/>
      <c r="K657" s="24"/>
    </row>
    <row r="658" spans="1:11" ht="15" customHeight="1" x14ac:dyDescent="0.25">
      <c r="A658" s="25"/>
      <c r="B658" s="26" t="s">
        <v>952</v>
      </c>
      <c r="C658" s="3" t="s">
        <v>953</v>
      </c>
      <c r="D658" s="21"/>
      <c r="E658" s="21" t="s">
        <v>954</v>
      </c>
      <c r="F658" s="3" t="s">
        <v>78</v>
      </c>
      <c r="G658" s="3">
        <v>2</v>
      </c>
      <c r="H658" s="23">
        <v>5624.3</v>
      </c>
      <c r="I658" s="124">
        <f t="shared" ref="I658:I721" si="28">H658*G658</f>
        <v>11248.6</v>
      </c>
      <c r="J658" s="21"/>
      <c r="K658" s="24"/>
    </row>
    <row r="659" spans="1:11" ht="15.75" customHeight="1" x14ac:dyDescent="0.25">
      <c r="A659" s="25"/>
      <c r="B659" s="26" t="s">
        <v>952</v>
      </c>
      <c r="C659" s="3" t="s">
        <v>953</v>
      </c>
      <c r="D659" s="21"/>
      <c r="E659" s="21" t="s">
        <v>954</v>
      </c>
      <c r="F659" s="3" t="s">
        <v>78</v>
      </c>
      <c r="G659" s="3">
        <v>57</v>
      </c>
      <c r="H659" s="23">
        <v>7861.15</v>
      </c>
      <c r="I659" s="124">
        <f t="shared" si="28"/>
        <v>448085.55</v>
      </c>
      <c r="J659" s="21"/>
      <c r="K659" s="24"/>
    </row>
    <row r="660" spans="1:11" ht="15.75" customHeight="1" x14ac:dyDescent="0.25">
      <c r="A660" s="25"/>
      <c r="B660" s="26" t="s">
        <v>955</v>
      </c>
      <c r="C660" s="3" t="s">
        <v>956</v>
      </c>
      <c r="D660" s="21"/>
      <c r="E660" s="21" t="s">
        <v>954</v>
      </c>
      <c r="F660" s="3" t="s">
        <v>78</v>
      </c>
      <c r="G660" s="3">
        <v>1</v>
      </c>
      <c r="H660" s="23">
        <v>292.2</v>
      </c>
      <c r="I660" s="124">
        <f>H660*G660</f>
        <v>292.2</v>
      </c>
      <c r="J660" s="21"/>
      <c r="K660" s="24"/>
    </row>
    <row r="661" spans="1:11" ht="15.75" customHeight="1" x14ac:dyDescent="0.25">
      <c r="A661" s="25"/>
      <c r="B661" s="26" t="s">
        <v>955</v>
      </c>
      <c r="C661" s="3" t="s">
        <v>956</v>
      </c>
      <c r="D661" s="21"/>
      <c r="E661" s="21" t="s">
        <v>954</v>
      </c>
      <c r="F661" s="3" t="s">
        <v>78</v>
      </c>
      <c r="G661" s="3">
        <v>2</v>
      </c>
      <c r="H661" s="23">
        <v>292.2</v>
      </c>
      <c r="I661" s="124">
        <f>H661*G661</f>
        <v>584.4</v>
      </c>
      <c r="J661" s="21"/>
      <c r="K661" s="24"/>
    </row>
    <row r="662" spans="1:11" ht="15.75" customHeight="1" x14ac:dyDescent="0.25">
      <c r="A662" s="25"/>
      <c r="B662" s="26" t="s">
        <v>955</v>
      </c>
      <c r="C662" s="3" t="s">
        <v>956</v>
      </c>
      <c r="D662" s="21"/>
      <c r="E662" s="21" t="s">
        <v>954</v>
      </c>
      <c r="F662" s="3" t="s">
        <v>78</v>
      </c>
      <c r="G662" s="3">
        <v>1</v>
      </c>
      <c r="H662" s="23">
        <v>292.2</v>
      </c>
      <c r="I662" s="124">
        <f t="shared" si="28"/>
        <v>292.2</v>
      </c>
      <c r="J662" s="21"/>
      <c r="K662" s="24"/>
    </row>
    <row r="663" spans="1:11" ht="15.75" customHeight="1" x14ac:dyDescent="0.25">
      <c r="A663" s="25"/>
      <c r="B663" s="26" t="s">
        <v>955</v>
      </c>
      <c r="C663" s="3" t="s">
        <v>956</v>
      </c>
      <c r="D663" s="21"/>
      <c r="E663" s="21" t="s">
        <v>954</v>
      </c>
      <c r="F663" s="3" t="s">
        <v>78</v>
      </c>
      <c r="G663" s="3">
        <v>1</v>
      </c>
      <c r="H663" s="23">
        <v>292.2</v>
      </c>
      <c r="I663" s="124">
        <f t="shared" si="28"/>
        <v>292.2</v>
      </c>
      <c r="J663" s="21"/>
      <c r="K663" s="24"/>
    </row>
    <row r="664" spans="1:11" ht="15.75" customHeight="1" x14ac:dyDescent="0.25">
      <c r="A664" s="25"/>
      <c r="B664" s="26" t="s">
        <v>955</v>
      </c>
      <c r="C664" s="3" t="s">
        <v>956</v>
      </c>
      <c r="D664" s="21"/>
      <c r="E664" s="21" t="s">
        <v>954</v>
      </c>
      <c r="F664" s="3" t="s">
        <v>78</v>
      </c>
      <c r="G664" s="3">
        <v>1</v>
      </c>
      <c r="H664" s="23">
        <v>292.2</v>
      </c>
      <c r="I664" s="124">
        <f t="shared" si="28"/>
        <v>292.2</v>
      </c>
      <c r="J664" s="21"/>
      <c r="K664" s="24"/>
    </row>
    <row r="665" spans="1:11" ht="15.75" customHeight="1" x14ac:dyDescent="0.25">
      <c r="A665" s="25"/>
      <c r="B665" s="26" t="s">
        <v>955</v>
      </c>
      <c r="C665" s="3" t="s">
        <v>956</v>
      </c>
      <c r="D665" s="21"/>
      <c r="E665" s="21" t="s">
        <v>954</v>
      </c>
      <c r="F665" s="3" t="s">
        <v>78</v>
      </c>
      <c r="G665" s="3">
        <v>1</v>
      </c>
      <c r="H665" s="23">
        <v>292.2</v>
      </c>
      <c r="I665" s="124">
        <f t="shared" si="28"/>
        <v>292.2</v>
      </c>
      <c r="J665" s="21"/>
      <c r="K665" s="24"/>
    </row>
    <row r="666" spans="1:11" ht="15.75" customHeight="1" x14ac:dyDescent="0.25">
      <c r="A666" s="25"/>
      <c r="B666" s="26" t="s">
        <v>955</v>
      </c>
      <c r="C666" s="3" t="s">
        <v>956</v>
      </c>
      <c r="D666" s="21"/>
      <c r="E666" s="21" t="s">
        <v>954</v>
      </c>
      <c r="F666" s="3" t="s">
        <v>78</v>
      </c>
      <c r="G666" s="3">
        <v>1</v>
      </c>
      <c r="H666" s="23">
        <v>292.2</v>
      </c>
      <c r="I666" s="124">
        <f t="shared" si="28"/>
        <v>292.2</v>
      </c>
      <c r="J666" s="21"/>
      <c r="K666" s="24"/>
    </row>
    <row r="667" spans="1:11" ht="15.75" customHeight="1" x14ac:dyDescent="0.25">
      <c r="A667" s="25"/>
      <c r="B667" s="26" t="s">
        <v>955</v>
      </c>
      <c r="C667" s="3" t="s">
        <v>956</v>
      </c>
      <c r="D667" s="21"/>
      <c r="E667" s="21" t="s">
        <v>954</v>
      </c>
      <c r="F667" s="3" t="s">
        <v>78</v>
      </c>
      <c r="G667" s="3">
        <v>1</v>
      </c>
      <c r="H667" s="23">
        <v>292.2</v>
      </c>
      <c r="I667" s="124">
        <f t="shared" si="28"/>
        <v>292.2</v>
      </c>
      <c r="J667" s="21"/>
      <c r="K667" s="24"/>
    </row>
    <row r="668" spans="1:11" ht="15.75" customHeight="1" x14ac:dyDescent="0.25">
      <c r="A668" s="25"/>
      <c r="B668" s="26" t="s">
        <v>955</v>
      </c>
      <c r="C668" s="3" t="s">
        <v>956</v>
      </c>
      <c r="D668" s="21"/>
      <c r="E668" s="21" t="s">
        <v>954</v>
      </c>
      <c r="F668" s="3" t="s">
        <v>78</v>
      </c>
      <c r="G668" s="3">
        <v>2</v>
      </c>
      <c r="H668" s="23">
        <v>292.2</v>
      </c>
      <c r="I668" s="124">
        <f t="shared" si="28"/>
        <v>584.4</v>
      </c>
      <c r="J668" s="21"/>
      <c r="K668" s="24"/>
    </row>
    <row r="669" spans="1:11" ht="15.75" customHeight="1" x14ac:dyDescent="0.25">
      <c r="A669" s="25"/>
      <c r="B669" s="26" t="s">
        <v>955</v>
      </c>
      <c r="C669" s="3" t="s">
        <v>956</v>
      </c>
      <c r="D669" s="21"/>
      <c r="E669" s="21" t="s">
        <v>954</v>
      </c>
      <c r="F669" s="3" t="s">
        <v>78</v>
      </c>
      <c r="G669" s="3">
        <v>1</v>
      </c>
      <c r="H669" s="23">
        <v>292.2</v>
      </c>
      <c r="I669" s="124">
        <f t="shared" si="28"/>
        <v>292.2</v>
      </c>
      <c r="J669" s="21"/>
      <c r="K669" s="24"/>
    </row>
    <row r="670" spans="1:11" ht="15.75" customHeight="1" x14ac:dyDescent="0.25">
      <c r="A670" s="25"/>
      <c r="B670" s="26" t="s">
        <v>955</v>
      </c>
      <c r="C670" s="3" t="s">
        <v>956</v>
      </c>
      <c r="D670" s="21"/>
      <c r="E670" s="21" t="s">
        <v>954</v>
      </c>
      <c r="F670" s="3" t="s">
        <v>78</v>
      </c>
      <c r="G670" s="3">
        <v>1</v>
      </c>
      <c r="H670" s="23">
        <v>292.2</v>
      </c>
      <c r="I670" s="124">
        <f t="shared" si="28"/>
        <v>292.2</v>
      </c>
      <c r="J670" s="21"/>
      <c r="K670" s="24"/>
    </row>
    <row r="671" spans="1:11" ht="15.75" customHeight="1" x14ac:dyDescent="0.25">
      <c r="A671" s="25"/>
      <c r="B671" s="26" t="s">
        <v>957</v>
      </c>
      <c r="C671" s="3" t="s">
        <v>958</v>
      </c>
      <c r="D671" s="21"/>
      <c r="E671" s="21" t="s">
        <v>954</v>
      </c>
      <c r="F671" s="3" t="s">
        <v>78</v>
      </c>
      <c r="G671" s="3">
        <v>15</v>
      </c>
      <c r="H671" s="23">
        <v>952.6</v>
      </c>
      <c r="I671" s="124">
        <f t="shared" si="28"/>
        <v>14289</v>
      </c>
      <c r="J671" s="21"/>
      <c r="K671" s="24"/>
    </row>
    <row r="672" spans="1:11" ht="15.75" customHeight="1" x14ac:dyDescent="0.25">
      <c r="A672" s="25"/>
      <c r="B672" s="26" t="s">
        <v>957</v>
      </c>
      <c r="C672" s="3" t="s">
        <v>958</v>
      </c>
      <c r="D672" s="21"/>
      <c r="E672" s="21" t="s">
        <v>954</v>
      </c>
      <c r="F672" s="3" t="s">
        <v>78</v>
      </c>
      <c r="G672" s="3">
        <v>4</v>
      </c>
      <c r="H672" s="23">
        <v>1213.8499999999999</v>
      </c>
      <c r="I672" s="124">
        <f t="shared" si="28"/>
        <v>4855.3999999999996</v>
      </c>
      <c r="J672" s="21"/>
      <c r="K672" s="24"/>
    </row>
    <row r="673" spans="1:11" ht="15.75" customHeight="1" x14ac:dyDescent="0.25">
      <c r="A673" s="25"/>
      <c r="B673" s="26" t="s">
        <v>957</v>
      </c>
      <c r="C673" s="3" t="s">
        <v>958</v>
      </c>
      <c r="D673" s="21"/>
      <c r="E673" s="21" t="s">
        <v>954</v>
      </c>
      <c r="F673" s="3" t="s">
        <v>78</v>
      </c>
      <c r="G673" s="3">
        <v>29</v>
      </c>
      <c r="H673" s="23">
        <v>1390.4</v>
      </c>
      <c r="I673" s="124">
        <f t="shared" si="28"/>
        <v>40321.600000000006</v>
      </c>
      <c r="J673" s="21"/>
      <c r="K673" s="24"/>
    </row>
    <row r="674" spans="1:11" ht="15.75" customHeight="1" x14ac:dyDescent="0.25">
      <c r="A674" s="25"/>
      <c r="B674" s="26" t="s">
        <v>957</v>
      </c>
      <c r="C674" s="3" t="s">
        <v>958</v>
      </c>
      <c r="D674" s="21"/>
      <c r="E674" s="21" t="s">
        <v>954</v>
      </c>
      <c r="F674" s="3" t="s">
        <v>78</v>
      </c>
      <c r="G674" s="3">
        <v>5</v>
      </c>
      <c r="H674" s="23">
        <v>952.6</v>
      </c>
      <c r="I674" s="124">
        <f t="shared" si="28"/>
        <v>4763</v>
      </c>
      <c r="J674" s="21"/>
      <c r="K674" s="24"/>
    </row>
    <row r="675" spans="1:11" ht="15.75" customHeight="1" x14ac:dyDescent="0.25">
      <c r="A675" s="25"/>
      <c r="B675" s="26" t="s">
        <v>957</v>
      </c>
      <c r="C675" s="3" t="s">
        <v>958</v>
      </c>
      <c r="D675" s="21"/>
      <c r="E675" s="21" t="s">
        <v>954</v>
      </c>
      <c r="F675" s="3" t="s">
        <v>78</v>
      </c>
      <c r="G675" s="3">
        <v>10</v>
      </c>
      <c r="H675" s="23">
        <v>1592.8</v>
      </c>
      <c r="I675" s="124">
        <f t="shared" si="28"/>
        <v>15928</v>
      </c>
      <c r="J675" s="21"/>
      <c r="K675" s="24"/>
    </row>
    <row r="676" spans="1:11" ht="15.75" customHeight="1" x14ac:dyDescent="0.25">
      <c r="A676" s="25"/>
      <c r="B676" s="26" t="s">
        <v>957</v>
      </c>
      <c r="C676" s="3" t="s">
        <v>958</v>
      </c>
      <c r="D676" s="21"/>
      <c r="E676" s="21" t="s">
        <v>954</v>
      </c>
      <c r="F676" s="3" t="s">
        <v>78</v>
      </c>
      <c r="G676" s="3">
        <v>11</v>
      </c>
      <c r="H676" s="23">
        <v>1949.75</v>
      </c>
      <c r="I676" s="124">
        <f t="shared" si="28"/>
        <v>21447.25</v>
      </c>
      <c r="J676" s="21"/>
      <c r="K676" s="24"/>
    </row>
    <row r="677" spans="1:11" ht="15.75" customHeight="1" x14ac:dyDescent="0.25">
      <c r="A677" s="25"/>
      <c r="B677" s="26" t="s">
        <v>957</v>
      </c>
      <c r="C677" s="3" t="s">
        <v>958</v>
      </c>
      <c r="D677" s="21"/>
      <c r="E677" s="21" t="s">
        <v>954</v>
      </c>
      <c r="F677" s="3" t="s">
        <v>78</v>
      </c>
      <c r="G677" s="3">
        <v>2</v>
      </c>
      <c r="H677" s="23">
        <v>2457.4</v>
      </c>
      <c r="I677" s="124">
        <f t="shared" si="28"/>
        <v>4914.8</v>
      </c>
      <c r="J677" s="21"/>
      <c r="K677" s="24"/>
    </row>
    <row r="678" spans="1:11" ht="15.75" customHeight="1" x14ac:dyDescent="0.25">
      <c r="A678" s="25"/>
      <c r="B678" s="26" t="s">
        <v>957</v>
      </c>
      <c r="C678" s="3" t="s">
        <v>958</v>
      </c>
      <c r="D678" s="21"/>
      <c r="E678" s="21" t="s">
        <v>954</v>
      </c>
      <c r="F678" s="3" t="s">
        <v>78</v>
      </c>
      <c r="G678" s="3">
        <v>14</v>
      </c>
      <c r="H678" s="23">
        <v>3641.55</v>
      </c>
      <c r="I678" s="124">
        <f t="shared" si="28"/>
        <v>50981.700000000004</v>
      </c>
      <c r="J678" s="21"/>
      <c r="K678" s="24"/>
    </row>
    <row r="679" spans="1:11" ht="15.75" customHeight="1" x14ac:dyDescent="0.25">
      <c r="A679" s="25"/>
      <c r="B679" s="26" t="s">
        <v>957</v>
      </c>
      <c r="C679" s="3" t="s">
        <v>958</v>
      </c>
      <c r="D679" s="21"/>
      <c r="E679" s="21" t="s">
        <v>954</v>
      </c>
      <c r="F679" s="3" t="s">
        <v>78</v>
      </c>
      <c r="G679" s="3">
        <v>20</v>
      </c>
      <c r="H679" s="23">
        <v>4103</v>
      </c>
      <c r="I679" s="124">
        <f t="shared" si="28"/>
        <v>82060</v>
      </c>
      <c r="J679" s="21"/>
      <c r="K679" s="24"/>
    </row>
    <row r="680" spans="1:11" ht="15.75" customHeight="1" x14ac:dyDescent="0.25">
      <c r="A680" s="25"/>
      <c r="B680" s="26" t="s">
        <v>957</v>
      </c>
      <c r="C680" s="3" t="s">
        <v>958</v>
      </c>
      <c r="D680" s="21"/>
      <c r="E680" s="21" t="s">
        <v>954</v>
      </c>
      <c r="F680" s="3" t="s">
        <v>78</v>
      </c>
      <c r="G680" s="3">
        <v>10</v>
      </c>
      <c r="H680" s="23">
        <v>4605.7</v>
      </c>
      <c r="I680" s="124">
        <f t="shared" si="28"/>
        <v>46057</v>
      </c>
      <c r="J680" s="21"/>
      <c r="K680" s="24"/>
    </row>
    <row r="681" spans="1:11" ht="15.75" customHeight="1" x14ac:dyDescent="0.25">
      <c r="A681" s="25"/>
      <c r="B681" s="26" t="s">
        <v>959</v>
      </c>
      <c r="C681" s="3" t="s">
        <v>960</v>
      </c>
      <c r="D681" s="21"/>
      <c r="E681" s="21" t="s">
        <v>954</v>
      </c>
      <c r="F681" s="3" t="s">
        <v>78</v>
      </c>
      <c r="G681" s="3">
        <v>14</v>
      </c>
      <c r="H681" s="23">
        <v>9805.4</v>
      </c>
      <c r="I681" s="124">
        <f t="shared" si="28"/>
        <v>137275.6</v>
      </c>
      <c r="J681" s="21"/>
      <c r="K681" s="24"/>
    </row>
    <row r="682" spans="1:11" ht="15.75" customHeight="1" x14ac:dyDescent="0.25">
      <c r="A682" s="25"/>
      <c r="B682" s="26" t="s">
        <v>961</v>
      </c>
      <c r="C682" s="3" t="s">
        <v>962</v>
      </c>
      <c r="D682" s="21"/>
      <c r="E682" s="21" t="s">
        <v>954</v>
      </c>
      <c r="F682" s="3" t="s">
        <v>78</v>
      </c>
      <c r="G682" s="3">
        <v>17</v>
      </c>
      <c r="H682" s="23">
        <v>280.2</v>
      </c>
      <c r="I682" s="124">
        <f t="shared" si="28"/>
        <v>4763.3999999999996</v>
      </c>
      <c r="J682" s="21"/>
      <c r="K682" s="24"/>
    </row>
    <row r="683" spans="1:11" ht="15.75" customHeight="1" x14ac:dyDescent="0.25">
      <c r="A683" s="25"/>
      <c r="B683" s="26" t="s">
        <v>961</v>
      </c>
      <c r="C683" s="3" t="s">
        <v>962</v>
      </c>
      <c r="D683" s="21"/>
      <c r="E683" s="21" t="s">
        <v>954</v>
      </c>
      <c r="F683" s="3" t="s">
        <v>78</v>
      </c>
      <c r="G683" s="3">
        <v>95</v>
      </c>
      <c r="H683" s="23">
        <v>323.39999999999998</v>
      </c>
      <c r="I683" s="124">
        <f t="shared" si="28"/>
        <v>30722.999999999996</v>
      </c>
      <c r="J683" s="21"/>
      <c r="K683" s="24"/>
    </row>
    <row r="684" spans="1:11" ht="15.75" customHeight="1" x14ac:dyDescent="0.25">
      <c r="A684" s="25"/>
      <c r="B684" s="26" t="s">
        <v>961</v>
      </c>
      <c r="C684" s="3" t="s">
        <v>962</v>
      </c>
      <c r="D684" s="21"/>
      <c r="E684" s="21" t="s">
        <v>954</v>
      </c>
      <c r="F684" s="3" t="s">
        <v>78</v>
      </c>
      <c r="G684" s="3">
        <v>112</v>
      </c>
      <c r="H684" s="23">
        <v>454.8</v>
      </c>
      <c r="I684" s="124">
        <f t="shared" si="28"/>
        <v>50937.599999999999</v>
      </c>
      <c r="J684" s="21"/>
      <c r="K684" s="24"/>
    </row>
    <row r="685" spans="1:11" ht="15.75" customHeight="1" x14ac:dyDescent="0.25">
      <c r="A685" s="25"/>
      <c r="B685" s="26" t="s">
        <v>961</v>
      </c>
      <c r="C685" s="3" t="s">
        <v>962</v>
      </c>
      <c r="D685" s="21"/>
      <c r="E685" s="21" t="s">
        <v>954</v>
      </c>
      <c r="F685" s="3" t="s">
        <v>78</v>
      </c>
      <c r="G685" s="3">
        <v>114</v>
      </c>
      <c r="H685" s="23">
        <v>528.6</v>
      </c>
      <c r="I685" s="124">
        <f t="shared" si="28"/>
        <v>60260.4</v>
      </c>
      <c r="J685" s="21"/>
      <c r="K685" s="24"/>
    </row>
    <row r="686" spans="1:11" ht="15.75" customHeight="1" x14ac:dyDescent="0.25">
      <c r="A686" s="25"/>
      <c r="B686" s="26" t="s">
        <v>957</v>
      </c>
      <c r="C686" s="3" t="s">
        <v>958</v>
      </c>
      <c r="D686" s="21"/>
      <c r="E686" s="21" t="s">
        <v>954</v>
      </c>
      <c r="F686" s="3" t="s">
        <v>78</v>
      </c>
      <c r="G686" s="3">
        <v>7</v>
      </c>
      <c r="H686" s="23">
        <v>2320.4499999999998</v>
      </c>
      <c r="I686" s="124">
        <f t="shared" si="28"/>
        <v>16243.149999999998</v>
      </c>
      <c r="J686" s="21"/>
      <c r="K686" s="24"/>
    </row>
    <row r="687" spans="1:11" ht="15.75" customHeight="1" x14ac:dyDescent="0.25">
      <c r="A687" s="25"/>
      <c r="B687" s="26" t="s">
        <v>957</v>
      </c>
      <c r="C687" s="3" t="s">
        <v>958</v>
      </c>
      <c r="D687" s="21"/>
      <c r="E687" s="21" t="s">
        <v>954</v>
      </c>
      <c r="F687" s="3" t="s">
        <v>78</v>
      </c>
      <c r="G687" s="3">
        <v>10</v>
      </c>
      <c r="H687" s="23">
        <v>4605.7</v>
      </c>
      <c r="I687" s="124">
        <f t="shared" si="28"/>
        <v>46057</v>
      </c>
      <c r="J687" s="21"/>
      <c r="K687" s="24"/>
    </row>
    <row r="688" spans="1:11" ht="15.75" customHeight="1" x14ac:dyDescent="0.25">
      <c r="A688" s="25"/>
      <c r="B688" s="26" t="s">
        <v>957</v>
      </c>
      <c r="C688" s="3" t="s">
        <v>958</v>
      </c>
      <c r="D688" s="21"/>
      <c r="E688" s="21" t="s">
        <v>954</v>
      </c>
      <c r="F688" s="3" t="s">
        <v>78</v>
      </c>
      <c r="G688" s="3">
        <v>7</v>
      </c>
      <c r="H688" s="23">
        <v>2320.4499999999998</v>
      </c>
      <c r="I688" s="124">
        <f t="shared" si="28"/>
        <v>16243.149999999998</v>
      </c>
      <c r="J688" s="21"/>
      <c r="K688" s="24"/>
    </row>
    <row r="689" spans="1:11" ht="15.75" customHeight="1" x14ac:dyDescent="0.25">
      <c r="A689" s="25"/>
      <c r="B689" s="26" t="s">
        <v>957</v>
      </c>
      <c r="C689" s="3" t="s">
        <v>958</v>
      </c>
      <c r="D689" s="21"/>
      <c r="E689" s="21" t="s">
        <v>954</v>
      </c>
      <c r="F689" s="3" t="s">
        <v>78</v>
      </c>
      <c r="G689" s="3">
        <v>2</v>
      </c>
      <c r="H689" s="23">
        <v>2934.8</v>
      </c>
      <c r="I689" s="124">
        <f t="shared" si="28"/>
        <v>5869.6</v>
      </c>
      <c r="J689" s="21"/>
      <c r="K689" s="24"/>
    </row>
    <row r="690" spans="1:11" ht="15.75" customHeight="1" x14ac:dyDescent="0.25">
      <c r="A690" s="25"/>
      <c r="B690" s="26" t="s">
        <v>963</v>
      </c>
      <c r="C690" s="3" t="s">
        <v>964</v>
      </c>
      <c r="D690" s="21"/>
      <c r="E690" s="21" t="s">
        <v>954</v>
      </c>
      <c r="F690" s="3" t="s">
        <v>78</v>
      </c>
      <c r="G690" s="3">
        <v>105</v>
      </c>
      <c r="H690" s="23">
        <v>842.5</v>
      </c>
      <c r="I690" s="124">
        <f t="shared" si="28"/>
        <v>88462.5</v>
      </c>
      <c r="J690" s="21"/>
      <c r="K690" s="24"/>
    </row>
    <row r="691" spans="1:11" ht="15.75" customHeight="1" x14ac:dyDescent="0.25">
      <c r="A691" s="25"/>
      <c r="B691" s="26" t="s">
        <v>965</v>
      </c>
      <c r="C691" s="3" t="s">
        <v>966</v>
      </c>
      <c r="D691" s="21"/>
      <c r="E691" s="21" t="s">
        <v>954</v>
      </c>
      <c r="F691" s="3" t="s">
        <v>78</v>
      </c>
      <c r="G691" s="3">
        <v>110</v>
      </c>
      <c r="H691" s="23">
        <v>863</v>
      </c>
      <c r="I691" s="124">
        <f t="shared" si="28"/>
        <v>94930</v>
      </c>
      <c r="J691" s="21"/>
      <c r="K691" s="24"/>
    </row>
    <row r="692" spans="1:11" ht="15.75" customHeight="1" x14ac:dyDescent="0.25">
      <c r="A692" s="25"/>
      <c r="B692" s="26" t="s">
        <v>967</v>
      </c>
      <c r="C692" s="3" t="s">
        <v>968</v>
      </c>
      <c r="D692" s="21"/>
      <c r="E692" s="21" t="s">
        <v>954</v>
      </c>
      <c r="F692" s="3" t="s">
        <v>78</v>
      </c>
      <c r="G692" s="3">
        <v>109</v>
      </c>
      <c r="H692" s="23">
        <v>935</v>
      </c>
      <c r="I692" s="124">
        <f t="shared" si="28"/>
        <v>101915</v>
      </c>
      <c r="J692" s="21"/>
      <c r="K692" s="24"/>
    </row>
    <row r="693" spans="1:11" ht="15.75" customHeight="1" x14ac:dyDescent="0.25">
      <c r="A693" s="25"/>
      <c r="B693" s="26" t="s">
        <v>969</v>
      </c>
      <c r="C693" s="3" t="s">
        <v>970</v>
      </c>
      <c r="D693" s="21"/>
      <c r="E693" s="21" t="s">
        <v>954</v>
      </c>
      <c r="F693" s="3" t="s">
        <v>78</v>
      </c>
      <c r="G693" s="3">
        <v>29</v>
      </c>
      <c r="H693" s="23">
        <v>1015</v>
      </c>
      <c r="I693" s="124">
        <f t="shared" si="28"/>
        <v>29435</v>
      </c>
      <c r="J693" s="21"/>
      <c r="K693" s="24"/>
    </row>
    <row r="694" spans="1:11" ht="15.75" customHeight="1" x14ac:dyDescent="0.25">
      <c r="A694" s="25"/>
      <c r="B694" s="26" t="s">
        <v>971</v>
      </c>
      <c r="C694" s="3" t="s">
        <v>972</v>
      </c>
      <c r="D694" s="21"/>
      <c r="E694" s="21" t="s">
        <v>954</v>
      </c>
      <c r="F694" s="3" t="s">
        <v>78</v>
      </c>
      <c r="G694" s="3">
        <v>21</v>
      </c>
      <c r="H694" s="23">
        <v>1271.5</v>
      </c>
      <c r="I694" s="124">
        <f t="shared" si="28"/>
        <v>26701.5</v>
      </c>
      <c r="J694" s="21"/>
      <c r="K694" s="24"/>
    </row>
    <row r="695" spans="1:11" ht="15.75" customHeight="1" x14ac:dyDescent="0.25">
      <c r="A695" s="25"/>
      <c r="B695" s="26" t="s">
        <v>973</v>
      </c>
      <c r="C695" s="3" t="s">
        <v>974</v>
      </c>
      <c r="D695" s="21"/>
      <c r="E695" s="21" t="s">
        <v>954</v>
      </c>
      <c r="F695" s="3" t="s">
        <v>78</v>
      </c>
      <c r="G695" s="3">
        <v>4</v>
      </c>
      <c r="H695" s="23">
        <v>1443</v>
      </c>
      <c r="I695" s="124">
        <f t="shared" si="28"/>
        <v>5772</v>
      </c>
      <c r="J695" s="21"/>
      <c r="K695" s="24"/>
    </row>
    <row r="696" spans="1:11" ht="15.75" customHeight="1" x14ac:dyDescent="0.25">
      <c r="A696" s="25"/>
      <c r="B696" s="26" t="s">
        <v>975</v>
      </c>
      <c r="C696" s="3" t="s">
        <v>976</v>
      </c>
      <c r="D696" s="21"/>
      <c r="E696" s="21" t="s">
        <v>954</v>
      </c>
      <c r="F696" s="3" t="s">
        <v>78</v>
      </c>
      <c r="G696" s="3">
        <v>2</v>
      </c>
      <c r="H696" s="23">
        <v>1715</v>
      </c>
      <c r="I696" s="124">
        <f t="shared" si="28"/>
        <v>3430</v>
      </c>
      <c r="J696" s="21"/>
      <c r="K696" s="24"/>
    </row>
    <row r="697" spans="1:11" ht="15.75" customHeight="1" x14ac:dyDescent="0.25">
      <c r="A697" s="25"/>
      <c r="B697" s="26" t="s">
        <v>977</v>
      </c>
      <c r="C697" s="3" t="s">
        <v>978</v>
      </c>
      <c r="D697" s="21"/>
      <c r="E697" s="21" t="s">
        <v>954</v>
      </c>
      <c r="F697" s="3" t="s">
        <v>78</v>
      </c>
      <c r="G697" s="3">
        <v>1</v>
      </c>
      <c r="H697" s="23">
        <v>5187</v>
      </c>
      <c r="I697" s="124">
        <f t="shared" si="28"/>
        <v>5187</v>
      </c>
      <c r="J697" s="21"/>
      <c r="K697" s="24"/>
    </row>
    <row r="698" spans="1:11" ht="15.75" customHeight="1" x14ac:dyDescent="0.25">
      <c r="A698" s="25"/>
      <c r="B698" s="26" t="s">
        <v>979</v>
      </c>
      <c r="C698" s="3" t="s">
        <v>980</v>
      </c>
      <c r="D698" s="21"/>
      <c r="E698" s="21" t="s">
        <v>954</v>
      </c>
      <c r="F698" s="3" t="s">
        <v>78</v>
      </c>
      <c r="G698" s="3">
        <v>4</v>
      </c>
      <c r="H698" s="23">
        <v>6104</v>
      </c>
      <c r="I698" s="124">
        <f t="shared" si="28"/>
        <v>24416</v>
      </c>
      <c r="J698" s="21"/>
      <c r="K698" s="24"/>
    </row>
    <row r="699" spans="1:11" ht="15.75" customHeight="1" x14ac:dyDescent="0.25">
      <c r="A699" s="25"/>
      <c r="B699" s="26" t="s">
        <v>981</v>
      </c>
      <c r="C699" s="3" t="s">
        <v>982</v>
      </c>
      <c r="D699" s="21"/>
      <c r="E699" s="21" t="s">
        <v>954</v>
      </c>
      <c r="F699" s="3" t="s">
        <v>78</v>
      </c>
      <c r="G699" s="3">
        <v>11</v>
      </c>
      <c r="H699" s="23">
        <v>4118.5</v>
      </c>
      <c r="I699" s="124">
        <f t="shared" si="28"/>
        <v>45303.5</v>
      </c>
      <c r="J699" s="21"/>
      <c r="K699" s="24"/>
    </row>
    <row r="700" spans="1:11" ht="15.75" customHeight="1" x14ac:dyDescent="0.25">
      <c r="A700" s="25"/>
      <c r="B700" s="26" t="s">
        <v>983</v>
      </c>
      <c r="C700" s="3" t="s">
        <v>984</v>
      </c>
      <c r="D700" s="21"/>
      <c r="E700" s="21" t="s">
        <v>954</v>
      </c>
      <c r="F700" s="3" t="s">
        <v>78</v>
      </c>
      <c r="G700" s="3">
        <v>3</v>
      </c>
      <c r="H700" s="23">
        <v>5224</v>
      </c>
      <c r="I700" s="124">
        <f t="shared" si="28"/>
        <v>15672</v>
      </c>
      <c r="J700" s="21"/>
      <c r="K700" s="24"/>
    </row>
    <row r="701" spans="1:11" ht="15.75" customHeight="1" x14ac:dyDescent="0.25">
      <c r="A701" s="25"/>
      <c r="B701" s="26" t="s">
        <v>985</v>
      </c>
      <c r="C701" s="3" t="s">
        <v>986</v>
      </c>
      <c r="D701" s="21"/>
      <c r="E701" s="21" t="s">
        <v>954</v>
      </c>
      <c r="F701" s="3" t="s">
        <v>78</v>
      </c>
      <c r="G701" s="3">
        <v>1</v>
      </c>
      <c r="H701" s="23">
        <v>9375</v>
      </c>
      <c r="I701" s="124">
        <f t="shared" si="28"/>
        <v>9375</v>
      </c>
      <c r="J701" s="21"/>
      <c r="K701" s="24"/>
    </row>
    <row r="702" spans="1:11" ht="45" customHeight="1" x14ac:dyDescent="0.25">
      <c r="A702" s="25"/>
      <c r="B702" s="26" t="s">
        <v>987</v>
      </c>
      <c r="C702" s="3" t="s">
        <v>988</v>
      </c>
      <c r="D702" s="21"/>
      <c r="E702" s="21" t="s">
        <v>810</v>
      </c>
      <c r="F702" s="3" t="s">
        <v>78</v>
      </c>
      <c r="G702" s="3">
        <v>38</v>
      </c>
      <c r="H702" s="23">
        <v>16067.29</v>
      </c>
      <c r="I702" s="124">
        <f t="shared" si="28"/>
        <v>610557.02</v>
      </c>
      <c r="J702" s="21"/>
      <c r="K702" s="24"/>
    </row>
    <row r="703" spans="1:11" ht="45" customHeight="1" x14ac:dyDescent="0.25">
      <c r="A703" s="25"/>
      <c r="B703" s="26" t="s">
        <v>989</v>
      </c>
      <c r="C703" s="3" t="s">
        <v>988</v>
      </c>
      <c r="D703" s="21"/>
      <c r="E703" s="21" t="s">
        <v>810</v>
      </c>
      <c r="F703" s="3" t="s">
        <v>78</v>
      </c>
      <c r="G703" s="3">
        <v>18</v>
      </c>
      <c r="H703" s="23">
        <v>16296.62</v>
      </c>
      <c r="I703" s="124">
        <f t="shared" si="28"/>
        <v>293339.16000000003</v>
      </c>
      <c r="J703" s="21"/>
      <c r="K703" s="24"/>
    </row>
    <row r="704" spans="1:11" ht="45" customHeight="1" x14ac:dyDescent="0.25">
      <c r="A704" s="25"/>
      <c r="B704" s="26" t="s">
        <v>990</v>
      </c>
      <c r="C704" s="3" t="s">
        <v>988</v>
      </c>
      <c r="D704" s="21"/>
      <c r="E704" s="21" t="s">
        <v>810</v>
      </c>
      <c r="F704" s="3" t="s">
        <v>78</v>
      </c>
      <c r="G704" s="3">
        <v>17</v>
      </c>
      <c r="H704" s="23">
        <v>16411.29</v>
      </c>
      <c r="I704" s="124">
        <f t="shared" si="28"/>
        <v>278991.93</v>
      </c>
      <c r="J704" s="21"/>
      <c r="K704" s="24"/>
    </row>
    <row r="705" spans="1:11" ht="45" customHeight="1" x14ac:dyDescent="0.25">
      <c r="A705" s="25"/>
      <c r="B705" s="26" t="s">
        <v>991</v>
      </c>
      <c r="C705" s="3" t="s">
        <v>988</v>
      </c>
      <c r="D705" s="21"/>
      <c r="E705" s="21" t="s">
        <v>810</v>
      </c>
      <c r="F705" s="3" t="s">
        <v>78</v>
      </c>
      <c r="G705" s="3">
        <v>14</v>
      </c>
      <c r="H705" s="23">
        <v>17299.93</v>
      </c>
      <c r="I705" s="124">
        <f t="shared" si="28"/>
        <v>242199.02000000002</v>
      </c>
      <c r="J705" s="21"/>
      <c r="K705" s="24"/>
    </row>
    <row r="706" spans="1:11" ht="45" customHeight="1" x14ac:dyDescent="0.25">
      <c r="A706" s="25"/>
      <c r="B706" s="26" t="s">
        <v>992</v>
      </c>
      <c r="C706" s="3" t="s">
        <v>988</v>
      </c>
      <c r="D706" s="21"/>
      <c r="E706" s="21" t="s">
        <v>810</v>
      </c>
      <c r="F706" s="3" t="s">
        <v>78</v>
      </c>
      <c r="G706" s="3">
        <v>3</v>
      </c>
      <c r="H706" s="23">
        <v>18389.240000000002</v>
      </c>
      <c r="I706" s="124">
        <f t="shared" si="28"/>
        <v>55167.72</v>
      </c>
      <c r="J706" s="21"/>
      <c r="K706" s="24"/>
    </row>
    <row r="707" spans="1:11" ht="45" customHeight="1" x14ac:dyDescent="0.25">
      <c r="A707" s="25"/>
      <c r="B707" s="26" t="s">
        <v>993</v>
      </c>
      <c r="C707" s="3" t="s">
        <v>988</v>
      </c>
      <c r="D707" s="21"/>
      <c r="E707" s="21" t="s">
        <v>810</v>
      </c>
      <c r="F707" s="3" t="s">
        <v>78</v>
      </c>
      <c r="G707" s="3">
        <v>3</v>
      </c>
      <c r="H707" s="23">
        <v>18632.900000000001</v>
      </c>
      <c r="I707" s="124">
        <f t="shared" si="28"/>
        <v>55898.700000000004</v>
      </c>
      <c r="J707" s="21"/>
      <c r="K707" s="24"/>
    </row>
    <row r="708" spans="1:11" ht="45" customHeight="1" x14ac:dyDescent="0.25">
      <c r="A708" s="25"/>
      <c r="B708" s="26" t="s">
        <v>994</v>
      </c>
      <c r="C708" s="3" t="s">
        <v>988</v>
      </c>
      <c r="D708" s="21"/>
      <c r="E708" s="21" t="s">
        <v>810</v>
      </c>
      <c r="F708" s="3" t="s">
        <v>78</v>
      </c>
      <c r="G708" s="3">
        <v>2</v>
      </c>
      <c r="H708" s="23">
        <v>18804.900000000001</v>
      </c>
      <c r="I708" s="124">
        <f t="shared" si="28"/>
        <v>37609.800000000003</v>
      </c>
      <c r="J708" s="21"/>
      <c r="K708" s="24"/>
    </row>
    <row r="709" spans="1:11" ht="45" customHeight="1" x14ac:dyDescent="0.25">
      <c r="A709" s="25"/>
      <c r="B709" s="26" t="s">
        <v>995</v>
      </c>
      <c r="C709" s="3" t="s">
        <v>988</v>
      </c>
      <c r="D709" s="21"/>
      <c r="E709" s="21" t="s">
        <v>810</v>
      </c>
      <c r="F709" s="3" t="s">
        <v>78</v>
      </c>
      <c r="G709" s="3">
        <v>11</v>
      </c>
      <c r="H709" s="23">
        <v>19464.21</v>
      </c>
      <c r="I709" s="124">
        <f t="shared" si="28"/>
        <v>214106.31</v>
      </c>
      <c r="J709" s="21"/>
      <c r="K709" s="24"/>
    </row>
    <row r="710" spans="1:11" ht="45" customHeight="1" x14ac:dyDescent="0.25">
      <c r="A710" s="25"/>
      <c r="B710" s="26" t="s">
        <v>996</v>
      </c>
      <c r="C710" s="3" t="s">
        <v>988</v>
      </c>
      <c r="D710" s="21"/>
      <c r="E710" s="21" t="s">
        <v>810</v>
      </c>
      <c r="F710" s="3" t="s">
        <v>78</v>
      </c>
      <c r="G710" s="3">
        <v>2</v>
      </c>
      <c r="H710" s="23">
        <v>19793.87</v>
      </c>
      <c r="I710" s="124">
        <f t="shared" si="28"/>
        <v>39587.74</v>
      </c>
      <c r="J710" s="21"/>
      <c r="K710" s="24"/>
    </row>
    <row r="711" spans="1:11" ht="45" customHeight="1" x14ac:dyDescent="0.25">
      <c r="A711" s="25"/>
      <c r="B711" s="26" t="s">
        <v>997</v>
      </c>
      <c r="C711" s="3" t="s">
        <v>988</v>
      </c>
      <c r="D711" s="21"/>
      <c r="E711" s="21" t="s">
        <v>810</v>
      </c>
      <c r="F711" s="3" t="s">
        <v>78</v>
      </c>
      <c r="G711" s="3">
        <v>1</v>
      </c>
      <c r="H711" s="23">
        <v>20954.849999999999</v>
      </c>
      <c r="I711" s="124">
        <f t="shared" si="28"/>
        <v>20954.849999999999</v>
      </c>
      <c r="J711" s="21"/>
      <c r="K711" s="24"/>
    </row>
    <row r="712" spans="1:11" ht="45" customHeight="1" x14ac:dyDescent="0.25">
      <c r="A712" s="25"/>
      <c r="B712" s="26" t="s">
        <v>998</v>
      </c>
      <c r="C712" s="3" t="s">
        <v>988</v>
      </c>
      <c r="D712" s="21"/>
      <c r="E712" s="21" t="s">
        <v>810</v>
      </c>
      <c r="F712" s="3" t="s">
        <v>78</v>
      </c>
      <c r="G712" s="3">
        <v>4</v>
      </c>
      <c r="H712" s="23">
        <v>20410.189999999999</v>
      </c>
      <c r="I712" s="124">
        <f t="shared" si="28"/>
        <v>81640.759999999995</v>
      </c>
      <c r="J712" s="21"/>
      <c r="K712" s="24"/>
    </row>
    <row r="713" spans="1:11" ht="45" customHeight="1" x14ac:dyDescent="0.25">
      <c r="A713" s="25"/>
      <c r="B713" s="26" t="s">
        <v>999</v>
      </c>
      <c r="C713" s="3" t="s">
        <v>988</v>
      </c>
      <c r="D713" s="21"/>
      <c r="E713" s="21" t="s">
        <v>810</v>
      </c>
      <c r="F713" s="3" t="s">
        <v>78</v>
      </c>
      <c r="G713" s="3">
        <v>2</v>
      </c>
      <c r="H713" s="23">
        <v>20782.849999999999</v>
      </c>
      <c r="I713" s="124">
        <f t="shared" si="28"/>
        <v>41565.699999999997</v>
      </c>
      <c r="J713" s="21"/>
      <c r="K713" s="24"/>
    </row>
    <row r="714" spans="1:11" ht="45" customHeight="1" x14ac:dyDescent="0.25">
      <c r="A714" s="25"/>
      <c r="B714" s="26" t="s">
        <v>1000</v>
      </c>
      <c r="C714" s="3" t="s">
        <v>988</v>
      </c>
      <c r="D714" s="21"/>
      <c r="E714" s="21" t="s">
        <v>810</v>
      </c>
      <c r="F714" s="3" t="s">
        <v>78</v>
      </c>
      <c r="G714" s="3">
        <v>4</v>
      </c>
      <c r="H714" s="23">
        <v>21771.83</v>
      </c>
      <c r="I714" s="124">
        <f t="shared" si="28"/>
        <v>87087.32</v>
      </c>
      <c r="J714" s="21"/>
      <c r="K714" s="24"/>
    </row>
    <row r="715" spans="1:11" ht="45" customHeight="1" x14ac:dyDescent="0.25">
      <c r="A715" s="25"/>
      <c r="B715" s="26" t="s">
        <v>1001</v>
      </c>
      <c r="C715" s="3" t="s">
        <v>988</v>
      </c>
      <c r="D715" s="21"/>
      <c r="E715" s="21" t="s">
        <v>810</v>
      </c>
      <c r="F715" s="3" t="s">
        <v>78</v>
      </c>
      <c r="G715" s="3">
        <v>6</v>
      </c>
      <c r="H715" s="23">
        <v>21513.83</v>
      </c>
      <c r="I715" s="124">
        <f t="shared" si="28"/>
        <v>129082.98000000001</v>
      </c>
      <c r="J715" s="21"/>
      <c r="K715" s="24"/>
    </row>
    <row r="716" spans="1:11" ht="45" customHeight="1" x14ac:dyDescent="0.25">
      <c r="A716" s="25"/>
      <c r="B716" s="26" t="s">
        <v>1002</v>
      </c>
      <c r="C716" s="3" t="s">
        <v>988</v>
      </c>
      <c r="D716" s="21"/>
      <c r="E716" s="21" t="s">
        <v>810</v>
      </c>
      <c r="F716" s="3" t="s">
        <v>78</v>
      </c>
      <c r="G716" s="3">
        <v>1</v>
      </c>
      <c r="H716" s="23">
        <v>22603.14</v>
      </c>
      <c r="I716" s="124">
        <f t="shared" si="28"/>
        <v>22603.14</v>
      </c>
      <c r="J716" s="21"/>
      <c r="K716" s="24"/>
    </row>
    <row r="717" spans="1:11" ht="45" customHeight="1" x14ac:dyDescent="0.25">
      <c r="A717" s="25"/>
      <c r="B717" s="26" t="s">
        <v>1003</v>
      </c>
      <c r="C717" s="3" t="s">
        <v>988</v>
      </c>
      <c r="D717" s="21"/>
      <c r="E717" s="21" t="s">
        <v>810</v>
      </c>
      <c r="F717" s="3" t="s">
        <v>78</v>
      </c>
      <c r="G717" s="3">
        <v>1</v>
      </c>
      <c r="H717" s="23">
        <v>23420.12</v>
      </c>
      <c r="I717" s="124">
        <f t="shared" si="28"/>
        <v>23420.12</v>
      </c>
      <c r="J717" s="21"/>
      <c r="K717" s="24"/>
    </row>
    <row r="718" spans="1:11" ht="45" customHeight="1" x14ac:dyDescent="0.25">
      <c r="A718" s="25"/>
      <c r="B718" s="26" t="s">
        <v>1004</v>
      </c>
      <c r="C718" s="3" t="s">
        <v>988</v>
      </c>
      <c r="D718" s="21"/>
      <c r="E718" s="21" t="s">
        <v>810</v>
      </c>
      <c r="F718" s="3" t="s">
        <v>78</v>
      </c>
      <c r="G718" s="3">
        <v>1</v>
      </c>
      <c r="H718" s="23">
        <v>24251.439999999999</v>
      </c>
      <c r="I718" s="124">
        <f t="shared" si="28"/>
        <v>24251.439999999999</v>
      </c>
      <c r="J718" s="21"/>
      <c r="K718" s="24"/>
    </row>
    <row r="719" spans="1:11" ht="45" customHeight="1" x14ac:dyDescent="0.25">
      <c r="A719" s="25"/>
      <c r="B719" s="26" t="s">
        <v>1005</v>
      </c>
      <c r="C719" s="3" t="s">
        <v>988</v>
      </c>
      <c r="D719" s="21"/>
      <c r="E719" s="21" t="s">
        <v>810</v>
      </c>
      <c r="F719" s="3" t="s">
        <v>78</v>
      </c>
      <c r="G719" s="3">
        <v>1</v>
      </c>
      <c r="H719" s="23">
        <v>25054.080000000002</v>
      </c>
      <c r="I719" s="124">
        <f t="shared" si="28"/>
        <v>25054.080000000002</v>
      </c>
      <c r="J719" s="21"/>
      <c r="K719" s="24"/>
    </row>
    <row r="720" spans="1:11" ht="45" customHeight="1" x14ac:dyDescent="0.25">
      <c r="A720" s="25"/>
      <c r="B720" s="26" t="s">
        <v>1006</v>
      </c>
      <c r="C720" s="3" t="s">
        <v>988</v>
      </c>
      <c r="D720" s="21"/>
      <c r="E720" s="21" t="s">
        <v>810</v>
      </c>
      <c r="F720" s="3" t="s">
        <v>78</v>
      </c>
      <c r="G720" s="3">
        <v>1</v>
      </c>
      <c r="H720" s="23">
        <v>31159.94</v>
      </c>
      <c r="I720" s="124">
        <f t="shared" si="28"/>
        <v>31159.94</v>
      </c>
      <c r="J720" s="21"/>
      <c r="K720" s="24"/>
    </row>
    <row r="721" spans="1:11" ht="45" customHeight="1" x14ac:dyDescent="0.25">
      <c r="A721" s="25"/>
      <c r="B721" s="26" t="s">
        <v>1007</v>
      </c>
      <c r="C721" s="3" t="s">
        <v>988</v>
      </c>
      <c r="D721" s="21"/>
      <c r="E721" s="21" t="s">
        <v>810</v>
      </c>
      <c r="F721" s="3" t="s">
        <v>78</v>
      </c>
      <c r="G721" s="3">
        <v>1</v>
      </c>
      <c r="H721" s="23">
        <v>28135.68</v>
      </c>
      <c r="I721" s="124">
        <f t="shared" si="28"/>
        <v>28135.68</v>
      </c>
      <c r="J721" s="21"/>
      <c r="K721" s="24"/>
    </row>
    <row r="722" spans="1:11" ht="45" customHeight="1" x14ac:dyDescent="0.25">
      <c r="A722" s="25"/>
      <c r="B722" s="26" t="s">
        <v>1008</v>
      </c>
      <c r="C722" s="3" t="s">
        <v>988</v>
      </c>
      <c r="D722" s="21"/>
      <c r="E722" s="21" t="s">
        <v>810</v>
      </c>
      <c r="F722" s="3" t="s">
        <v>78</v>
      </c>
      <c r="G722" s="3">
        <v>1</v>
      </c>
      <c r="H722" s="23">
        <v>28221.68</v>
      </c>
      <c r="I722" s="124">
        <f t="shared" ref="I722:I785" si="29">H722*G722</f>
        <v>28221.68</v>
      </c>
      <c r="J722" s="21"/>
      <c r="K722" s="24"/>
    </row>
    <row r="723" spans="1:11" ht="45" customHeight="1" x14ac:dyDescent="0.25">
      <c r="A723" s="25"/>
      <c r="B723" s="26" t="s">
        <v>1009</v>
      </c>
      <c r="C723" s="3" t="s">
        <v>988</v>
      </c>
      <c r="D723" s="21"/>
      <c r="E723" s="21" t="s">
        <v>810</v>
      </c>
      <c r="F723" s="3" t="s">
        <v>78</v>
      </c>
      <c r="G723" s="3">
        <v>3</v>
      </c>
      <c r="H723" s="23">
        <v>29482.98</v>
      </c>
      <c r="I723" s="124">
        <f t="shared" si="29"/>
        <v>88448.94</v>
      </c>
      <c r="J723" s="21"/>
      <c r="K723" s="24"/>
    </row>
    <row r="724" spans="1:11" ht="45" customHeight="1" x14ac:dyDescent="0.25">
      <c r="A724" s="25"/>
      <c r="B724" s="26" t="s">
        <v>1010</v>
      </c>
      <c r="C724" s="3" t="s">
        <v>988</v>
      </c>
      <c r="D724" s="21"/>
      <c r="E724" s="21" t="s">
        <v>810</v>
      </c>
      <c r="F724" s="3" t="s">
        <v>78</v>
      </c>
      <c r="G724" s="3">
        <v>2</v>
      </c>
      <c r="H724" s="23">
        <v>34083.870000000003</v>
      </c>
      <c r="I724" s="124">
        <f t="shared" si="29"/>
        <v>68167.740000000005</v>
      </c>
      <c r="J724" s="21"/>
      <c r="K724" s="24"/>
    </row>
    <row r="725" spans="1:11" ht="45" customHeight="1" x14ac:dyDescent="0.25">
      <c r="A725" s="25"/>
      <c r="B725" s="26" t="s">
        <v>996</v>
      </c>
      <c r="C725" s="3" t="s">
        <v>988</v>
      </c>
      <c r="D725" s="21"/>
      <c r="E725" s="21" t="s">
        <v>810</v>
      </c>
      <c r="F725" s="3" t="s">
        <v>78</v>
      </c>
      <c r="G725" s="3">
        <v>1</v>
      </c>
      <c r="H725" s="23">
        <v>19793.87</v>
      </c>
      <c r="I725" s="124">
        <f t="shared" si="29"/>
        <v>19793.87</v>
      </c>
      <c r="J725" s="21"/>
      <c r="K725" s="24"/>
    </row>
    <row r="726" spans="1:11" ht="45" customHeight="1" x14ac:dyDescent="0.25">
      <c r="A726" s="25"/>
      <c r="B726" s="26" t="s">
        <v>1011</v>
      </c>
      <c r="C726" s="3" t="s">
        <v>988</v>
      </c>
      <c r="D726" s="21"/>
      <c r="E726" s="21" t="s">
        <v>810</v>
      </c>
      <c r="F726" s="3" t="s">
        <v>78</v>
      </c>
      <c r="G726" s="3">
        <v>1</v>
      </c>
      <c r="H726" s="23">
        <v>33453.22</v>
      </c>
      <c r="I726" s="124">
        <f t="shared" si="29"/>
        <v>33453.22</v>
      </c>
      <c r="J726" s="21"/>
      <c r="K726" s="24"/>
    </row>
    <row r="727" spans="1:11" ht="45" customHeight="1" x14ac:dyDescent="0.25">
      <c r="A727" s="25"/>
      <c r="B727" s="26" t="s">
        <v>1012</v>
      </c>
      <c r="C727" s="3" t="s">
        <v>988</v>
      </c>
      <c r="D727" s="21"/>
      <c r="E727" s="21" t="s">
        <v>810</v>
      </c>
      <c r="F727" s="3" t="s">
        <v>78</v>
      </c>
      <c r="G727" s="3">
        <v>4</v>
      </c>
      <c r="H727" s="23">
        <v>28092.68</v>
      </c>
      <c r="I727" s="124">
        <f t="shared" si="29"/>
        <v>112370.72</v>
      </c>
      <c r="J727" s="21"/>
      <c r="K727" s="24"/>
    </row>
    <row r="728" spans="1:11" ht="45" customHeight="1" x14ac:dyDescent="0.25">
      <c r="A728" s="25"/>
      <c r="B728" s="26" t="s">
        <v>1013</v>
      </c>
      <c r="C728" s="3" t="s">
        <v>988</v>
      </c>
      <c r="D728" s="21"/>
      <c r="E728" s="21" t="s">
        <v>810</v>
      </c>
      <c r="F728" s="3" t="s">
        <v>78</v>
      </c>
      <c r="G728" s="3">
        <v>1</v>
      </c>
      <c r="H728" s="23">
        <v>62821.54</v>
      </c>
      <c r="I728" s="124">
        <f t="shared" si="29"/>
        <v>62821.54</v>
      </c>
      <c r="J728" s="21"/>
      <c r="K728" s="24"/>
    </row>
    <row r="729" spans="1:11" ht="45" customHeight="1" x14ac:dyDescent="0.25">
      <c r="A729" s="25"/>
      <c r="B729" s="26" t="s">
        <v>1014</v>
      </c>
      <c r="C729" s="3" t="s">
        <v>988</v>
      </c>
      <c r="D729" s="21"/>
      <c r="E729" s="21" t="s">
        <v>810</v>
      </c>
      <c r="F729" s="3" t="s">
        <v>78</v>
      </c>
      <c r="G729" s="3">
        <v>2</v>
      </c>
      <c r="H729" s="23">
        <v>66275.789999999994</v>
      </c>
      <c r="I729" s="124">
        <f t="shared" si="29"/>
        <v>132551.57999999999</v>
      </c>
      <c r="J729" s="21"/>
      <c r="K729" s="24"/>
    </row>
    <row r="730" spans="1:11" ht="45" customHeight="1" x14ac:dyDescent="0.25">
      <c r="A730" s="25"/>
      <c r="B730" s="26" t="s">
        <v>1015</v>
      </c>
      <c r="C730" s="3" t="s">
        <v>988</v>
      </c>
      <c r="D730" s="21"/>
      <c r="E730" s="21" t="s">
        <v>810</v>
      </c>
      <c r="F730" s="3" t="s">
        <v>78</v>
      </c>
      <c r="G730" s="3">
        <v>16</v>
      </c>
      <c r="H730" s="23">
        <v>16726.61</v>
      </c>
      <c r="I730" s="124">
        <f t="shared" si="29"/>
        <v>267625.76</v>
      </c>
      <c r="J730" s="21"/>
      <c r="K730" s="24"/>
    </row>
    <row r="731" spans="1:11" ht="34.5" customHeight="1" x14ac:dyDescent="0.25">
      <c r="A731" s="25"/>
      <c r="B731" s="26" t="s">
        <v>1016</v>
      </c>
      <c r="C731" s="3"/>
      <c r="D731" s="21"/>
      <c r="E731" s="21"/>
      <c r="F731" s="3" t="s">
        <v>89</v>
      </c>
      <c r="G731" s="3">
        <v>381.92</v>
      </c>
      <c r="H731" s="23"/>
      <c r="I731" s="124">
        <f t="shared" si="29"/>
        <v>0</v>
      </c>
      <c r="J731" s="21"/>
      <c r="K731" s="24" t="s">
        <v>1017</v>
      </c>
    </row>
    <row r="732" spans="1:11" ht="34.5" customHeight="1" x14ac:dyDescent="0.25">
      <c r="A732" s="25"/>
      <c r="B732" s="26" t="s">
        <v>1018</v>
      </c>
      <c r="C732" s="3"/>
      <c r="D732" s="21"/>
      <c r="E732" s="21"/>
      <c r="F732" s="3" t="s">
        <v>89</v>
      </c>
      <c r="G732" s="3">
        <v>419.18</v>
      </c>
      <c r="H732" s="23"/>
      <c r="I732" s="124">
        <f t="shared" si="29"/>
        <v>0</v>
      </c>
      <c r="J732" s="21"/>
      <c r="K732" s="24" t="s">
        <v>1019</v>
      </c>
    </row>
    <row r="733" spans="1:11" ht="34.5" customHeight="1" x14ac:dyDescent="0.25">
      <c r="A733" s="25"/>
      <c r="B733" s="26" t="s">
        <v>1020</v>
      </c>
      <c r="C733" s="3"/>
      <c r="D733" s="21"/>
      <c r="E733" s="21"/>
      <c r="F733" s="3" t="s">
        <v>89</v>
      </c>
      <c r="G733" s="3">
        <v>472.19</v>
      </c>
      <c r="H733" s="23"/>
      <c r="I733" s="124">
        <f t="shared" si="29"/>
        <v>0</v>
      </c>
      <c r="J733" s="21"/>
      <c r="K733" s="24" t="s">
        <v>1021</v>
      </c>
    </row>
    <row r="734" spans="1:11" ht="34.5" customHeight="1" x14ac:dyDescent="0.25">
      <c r="A734" s="25"/>
      <c r="B734" s="26" t="s">
        <v>1022</v>
      </c>
      <c r="C734" s="3"/>
      <c r="D734" s="21"/>
      <c r="E734" s="21"/>
      <c r="F734" s="3" t="s">
        <v>89</v>
      </c>
      <c r="G734" s="3">
        <v>406.53</v>
      </c>
      <c r="H734" s="23"/>
      <c r="I734" s="124">
        <f t="shared" si="29"/>
        <v>0</v>
      </c>
      <c r="J734" s="21"/>
      <c r="K734" s="24" t="s">
        <v>1023</v>
      </c>
    </row>
    <row r="735" spans="1:11" ht="34.5" customHeight="1" x14ac:dyDescent="0.25">
      <c r="A735" s="25"/>
      <c r="B735" s="26" t="s">
        <v>1024</v>
      </c>
      <c r="C735" s="3"/>
      <c r="D735" s="21"/>
      <c r="E735" s="21"/>
      <c r="F735" s="3" t="s">
        <v>89</v>
      </c>
      <c r="G735" s="3">
        <v>551.08000000000004</v>
      </c>
      <c r="H735" s="23"/>
      <c r="I735" s="124">
        <f t="shared" si="29"/>
        <v>0</v>
      </c>
      <c r="J735" s="21"/>
      <c r="K735" s="24" t="s">
        <v>1025</v>
      </c>
    </row>
    <row r="736" spans="1:11" ht="34.5" customHeight="1" x14ac:dyDescent="0.25">
      <c r="A736" s="25"/>
      <c r="B736" s="26" t="s">
        <v>1026</v>
      </c>
      <c r="C736" s="3"/>
      <c r="D736" s="21"/>
      <c r="E736" s="21"/>
      <c r="F736" s="3" t="s">
        <v>89</v>
      </c>
      <c r="G736" s="3">
        <v>150.08000000000001</v>
      </c>
      <c r="H736" s="23"/>
      <c r="I736" s="124">
        <f t="shared" si="29"/>
        <v>0</v>
      </c>
      <c r="J736" s="21"/>
      <c r="K736" s="24" t="s">
        <v>1027</v>
      </c>
    </row>
    <row r="737" spans="1:11" ht="34.5" customHeight="1" x14ac:dyDescent="0.25">
      <c r="A737" s="25"/>
      <c r="B737" s="26" t="s">
        <v>1028</v>
      </c>
      <c r="C737" s="3"/>
      <c r="D737" s="21"/>
      <c r="E737" s="21"/>
      <c r="F737" s="3" t="s">
        <v>89</v>
      </c>
      <c r="G737" s="3">
        <v>41.06</v>
      </c>
      <c r="H737" s="23"/>
      <c r="I737" s="124">
        <f t="shared" si="29"/>
        <v>0</v>
      </c>
      <c r="J737" s="21"/>
      <c r="K737" s="24" t="s">
        <v>1029</v>
      </c>
    </row>
    <row r="738" spans="1:11" ht="34.5" customHeight="1" x14ac:dyDescent="0.25">
      <c r="A738" s="25"/>
      <c r="B738" s="26" t="s">
        <v>1030</v>
      </c>
      <c r="C738" s="3"/>
      <c r="D738" s="21"/>
      <c r="E738" s="21"/>
      <c r="F738" s="3" t="s">
        <v>89</v>
      </c>
      <c r="G738" s="3">
        <v>60.15</v>
      </c>
      <c r="H738" s="23"/>
      <c r="I738" s="124">
        <f t="shared" si="29"/>
        <v>0</v>
      </c>
      <c r="J738" s="21"/>
      <c r="K738" s="24" t="s">
        <v>1031</v>
      </c>
    </row>
    <row r="739" spans="1:11" ht="34.5" customHeight="1" x14ac:dyDescent="0.25">
      <c r="A739" s="25"/>
      <c r="B739" s="26" t="s">
        <v>1032</v>
      </c>
      <c r="C739" s="3"/>
      <c r="D739" s="21"/>
      <c r="E739" s="21"/>
      <c r="F739" s="3" t="s">
        <v>89</v>
      </c>
      <c r="G739" s="3">
        <v>183.66</v>
      </c>
      <c r="H739" s="23"/>
      <c r="I739" s="124">
        <f t="shared" si="29"/>
        <v>0</v>
      </c>
      <c r="J739" s="21"/>
      <c r="K739" s="24" t="s">
        <v>1033</v>
      </c>
    </row>
    <row r="740" spans="1:11" ht="34.5" customHeight="1" x14ac:dyDescent="0.25">
      <c r="A740" s="25"/>
      <c r="B740" s="26" t="s">
        <v>1034</v>
      </c>
      <c r="C740" s="3"/>
      <c r="D740" s="21"/>
      <c r="E740" s="21"/>
      <c r="F740" s="3" t="s">
        <v>89</v>
      </c>
      <c r="G740" s="3">
        <v>13.8</v>
      </c>
      <c r="H740" s="23"/>
      <c r="I740" s="124">
        <f t="shared" si="29"/>
        <v>0</v>
      </c>
      <c r="J740" s="21"/>
      <c r="K740" s="24" t="s">
        <v>1035</v>
      </c>
    </row>
    <row r="741" spans="1:11" ht="34.5" customHeight="1" x14ac:dyDescent="0.25">
      <c r="A741" s="25"/>
      <c r="B741" s="26" t="s">
        <v>1036</v>
      </c>
      <c r="C741" s="3"/>
      <c r="D741" s="21"/>
      <c r="E741" s="21"/>
      <c r="F741" s="3" t="s">
        <v>89</v>
      </c>
      <c r="G741" s="3">
        <v>1.38</v>
      </c>
      <c r="H741" s="23"/>
      <c r="I741" s="124">
        <f t="shared" si="29"/>
        <v>0</v>
      </c>
      <c r="J741" s="21"/>
      <c r="K741" s="24" t="s">
        <v>1037</v>
      </c>
    </row>
    <row r="742" spans="1:11" ht="34.5" customHeight="1" x14ac:dyDescent="0.25">
      <c r="A742" s="25"/>
      <c r="B742" s="26" t="s">
        <v>1038</v>
      </c>
      <c r="C742" s="3"/>
      <c r="D742" s="21"/>
      <c r="E742" s="21"/>
      <c r="F742" s="3" t="s">
        <v>89</v>
      </c>
      <c r="G742" s="3">
        <v>28.41</v>
      </c>
      <c r="H742" s="23"/>
      <c r="I742" s="124">
        <f t="shared" si="29"/>
        <v>0</v>
      </c>
      <c r="J742" s="21"/>
      <c r="K742" s="24" t="s">
        <v>1039</v>
      </c>
    </row>
    <row r="743" spans="1:11" ht="34.5" customHeight="1" x14ac:dyDescent="0.25">
      <c r="A743" s="25"/>
      <c r="B743" s="26" t="s">
        <v>1040</v>
      </c>
      <c r="C743" s="3"/>
      <c r="D743" s="21"/>
      <c r="E743" s="21"/>
      <c r="F743" s="3" t="s">
        <v>89</v>
      </c>
      <c r="G743" s="3">
        <v>1.27</v>
      </c>
      <c r="H743" s="23"/>
      <c r="I743" s="124">
        <f t="shared" si="29"/>
        <v>0</v>
      </c>
      <c r="J743" s="21"/>
      <c r="K743" s="24" t="s">
        <v>1041</v>
      </c>
    </row>
    <row r="744" spans="1:11" ht="34.5" customHeight="1" x14ac:dyDescent="0.25">
      <c r="A744" s="25"/>
      <c r="B744" s="26" t="s">
        <v>1042</v>
      </c>
      <c r="C744" s="3"/>
      <c r="D744" s="21"/>
      <c r="E744" s="21"/>
      <c r="F744" s="3" t="s">
        <v>89</v>
      </c>
      <c r="G744" s="3">
        <v>3.68</v>
      </c>
      <c r="H744" s="23"/>
      <c r="I744" s="124">
        <f t="shared" si="29"/>
        <v>0</v>
      </c>
      <c r="J744" s="21"/>
      <c r="K744" s="24" t="s">
        <v>1043</v>
      </c>
    </row>
    <row r="745" spans="1:11" ht="34.5" customHeight="1" x14ac:dyDescent="0.25">
      <c r="A745" s="25"/>
      <c r="B745" s="26" t="s">
        <v>1044</v>
      </c>
      <c r="C745" s="3"/>
      <c r="D745" s="21"/>
      <c r="E745" s="21"/>
      <c r="F745" s="3" t="s">
        <v>89</v>
      </c>
      <c r="G745" s="3">
        <v>0.23</v>
      </c>
      <c r="H745" s="23"/>
      <c r="I745" s="124">
        <f t="shared" si="29"/>
        <v>0</v>
      </c>
      <c r="J745" s="21"/>
      <c r="K745" s="24" t="s">
        <v>1045</v>
      </c>
    </row>
    <row r="746" spans="1:11" ht="34.5" customHeight="1" x14ac:dyDescent="0.25">
      <c r="A746" s="25"/>
      <c r="B746" s="26" t="s">
        <v>1046</v>
      </c>
      <c r="C746" s="3"/>
      <c r="D746" s="21"/>
      <c r="E746" s="21"/>
      <c r="F746" s="3" t="s">
        <v>89</v>
      </c>
      <c r="G746" s="3">
        <v>1.04</v>
      </c>
      <c r="H746" s="23"/>
      <c r="I746" s="124">
        <f t="shared" si="29"/>
        <v>0</v>
      </c>
      <c r="J746" s="21"/>
      <c r="K746" s="24" t="s">
        <v>1047</v>
      </c>
    </row>
    <row r="747" spans="1:11" ht="34.5" customHeight="1" x14ac:dyDescent="0.25">
      <c r="A747" s="25"/>
      <c r="B747" s="26" t="s">
        <v>1048</v>
      </c>
      <c r="C747" s="3"/>
      <c r="D747" s="21"/>
      <c r="E747" s="21"/>
      <c r="F747" s="3" t="s">
        <v>89</v>
      </c>
      <c r="G747" s="3">
        <v>13</v>
      </c>
      <c r="H747" s="23"/>
      <c r="I747" s="124">
        <f t="shared" si="29"/>
        <v>0</v>
      </c>
      <c r="J747" s="21"/>
      <c r="K747" s="24" t="s">
        <v>1049</v>
      </c>
    </row>
    <row r="748" spans="1:11" ht="34.5" customHeight="1" x14ac:dyDescent="0.25">
      <c r="A748" s="25"/>
      <c r="B748" s="26" t="s">
        <v>1050</v>
      </c>
      <c r="C748" s="3"/>
      <c r="D748" s="21"/>
      <c r="E748" s="21"/>
      <c r="F748" s="3" t="s">
        <v>89</v>
      </c>
      <c r="G748" s="3">
        <v>112.59</v>
      </c>
      <c r="H748" s="23"/>
      <c r="I748" s="124">
        <f t="shared" si="29"/>
        <v>0</v>
      </c>
      <c r="J748" s="21"/>
      <c r="K748" s="24" t="s">
        <v>1051</v>
      </c>
    </row>
    <row r="749" spans="1:11" ht="34.5" customHeight="1" x14ac:dyDescent="0.25">
      <c r="A749" s="25"/>
      <c r="B749" s="26" t="s">
        <v>1052</v>
      </c>
      <c r="C749" s="3"/>
      <c r="D749" s="21"/>
      <c r="E749" s="21"/>
      <c r="F749" s="3" t="s">
        <v>89</v>
      </c>
      <c r="G749" s="3">
        <v>15.07</v>
      </c>
      <c r="H749" s="23"/>
      <c r="I749" s="124">
        <f t="shared" si="29"/>
        <v>0</v>
      </c>
      <c r="J749" s="21"/>
      <c r="K749" s="24" t="s">
        <v>1053</v>
      </c>
    </row>
    <row r="750" spans="1:11" ht="34.5" customHeight="1" x14ac:dyDescent="0.25">
      <c r="A750" s="25"/>
      <c r="B750" s="26" t="s">
        <v>1054</v>
      </c>
      <c r="C750" s="3"/>
      <c r="D750" s="21"/>
      <c r="E750" s="21"/>
      <c r="F750" s="3" t="s">
        <v>89</v>
      </c>
      <c r="G750" s="3">
        <v>198.26</v>
      </c>
      <c r="H750" s="23"/>
      <c r="I750" s="124">
        <f t="shared" si="29"/>
        <v>0</v>
      </c>
      <c r="J750" s="21"/>
      <c r="K750" s="24" t="s">
        <v>1055</v>
      </c>
    </row>
    <row r="751" spans="1:11" ht="34.5" customHeight="1" x14ac:dyDescent="0.25">
      <c r="A751" s="25"/>
      <c r="B751" s="26" t="s">
        <v>1056</v>
      </c>
      <c r="C751" s="3"/>
      <c r="D751" s="21"/>
      <c r="E751" s="21"/>
      <c r="F751" s="3" t="s">
        <v>89</v>
      </c>
      <c r="G751" s="3">
        <v>54.17</v>
      </c>
      <c r="H751" s="23"/>
      <c r="I751" s="124">
        <f t="shared" si="29"/>
        <v>0</v>
      </c>
      <c r="J751" s="21"/>
      <c r="K751" s="24" t="s">
        <v>1057</v>
      </c>
    </row>
    <row r="752" spans="1:11" ht="34.5" customHeight="1" x14ac:dyDescent="0.25">
      <c r="A752" s="25"/>
      <c r="B752" s="26" t="s">
        <v>1058</v>
      </c>
      <c r="C752" s="3"/>
      <c r="D752" s="21"/>
      <c r="E752" s="21"/>
      <c r="F752" s="3" t="s">
        <v>89</v>
      </c>
      <c r="G752" s="3">
        <v>13.23</v>
      </c>
      <c r="H752" s="23"/>
      <c r="I752" s="124">
        <f t="shared" si="29"/>
        <v>0</v>
      </c>
      <c r="J752" s="21"/>
      <c r="K752" s="24" t="s">
        <v>1059</v>
      </c>
    </row>
    <row r="753" spans="1:11" ht="34.5" customHeight="1" x14ac:dyDescent="0.25">
      <c r="A753" s="25"/>
      <c r="B753" s="26" t="s">
        <v>1060</v>
      </c>
      <c r="C753" s="3"/>
      <c r="D753" s="21"/>
      <c r="E753" s="21"/>
      <c r="F753" s="3" t="s">
        <v>89</v>
      </c>
      <c r="G753" s="3">
        <v>1.73</v>
      </c>
      <c r="H753" s="23"/>
      <c r="I753" s="124">
        <f t="shared" si="29"/>
        <v>0</v>
      </c>
      <c r="J753" s="21"/>
      <c r="K753" s="24" t="s">
        <v>1061</v>
      </c>
    </row>
    <row r="754" spans="1:11" ht="34.5" customHeight="1" x14ac:dyDescent="0.25">
      <c r="A754" s="25"/>
      <c r="B754" s="26" t="s">
        <v>1062</v>
      </c>
      <c r="C754" s="3"/>
      <c r="D754" s="21"/>
      <c r="E754" s="21"/>
      <c r="F754" s="3" t="s">
        <v>89</v>
      </c>
      <c r="G754" s="3">
        <v>71.53</v>
      </c>
      <c r="H754" s="23"/>
      <c r="I754" s="124">
        <f t="shared" si="29"/>
        <v>0</v>
      </c>
      <c r="J754" s="21"/>
      <c r="K754" s="24" t="s">
        <v>1063</v>
      </c>
    </row>
    <row r="755" spans="1:11" ht="34.5" customHeight="1" x14ac:dyDescent="0.25">
      <c r="A755" s="25"/>
      <c r="B755" s="26" t="s">
        <v>1064</v>
      </c>
      <c r="C755" s="3"/>
      <c r="D755" s="21"/>
      <c r="E755" s="21"/>
      <c r="F755" s="3" t="s">
        <v>89</v>
      </c>
      <c r="G755" s="3">
        <v>77.05</v>
      </c>
      <c r="H755" s="23"/>
      <c r="I755" s="124">
        <f t="shared" si="29"/>
        <v>0</v>
      </c>
      <c r="J755" s="21"/>
      <c r="K755" s="24" t="s">
        <v>1065</v>
      </c>
    </row>
    <row r="756" spans="1:11" ht="34.5" customHeight="1" x14ac:dyDescent="0.25">
      <c r="A756" s="25"/>
      <c r="B756" s="26" t="s">
        <v>1066</v>
      </c>
      <c r="C756" s="3"/>
      <c r="D756" s="21"/>
      <c r="E756" s="21"/>
      <c r="F756" s="3" t="s">
        <v>89</v>
      </c>
      <c r="G756" s="3">
        <v>151.69</v>
      </c>
      <c r="H756" s="23"/>
      <c r="I756" s="124">
        <f t="shared" si="29"/>
        <v>0</v>
      </c>
      <c r="J756" s="21"/>
      <c r="K756" s="24" t="s">
        <v>1067</v>
      </c>
    </row>
    <row r="757" spans="1:11" ht="34.5" customHeight="1" x14ac:dyDescent="0.25">
      <c r="A757" s="25"/>
      <c r="B757" s="26" t="s">
        <v>1068</v>
      </c>
      <c r="C757" s="3"/>
      <c r="D757" s="21"/>
      <c r="E757" s="21"/>
      <c r="F757" s="3" t="s">
        <v>89</v>
      </c>
      <c r="G757" s="3">
        <v>140.99</v>
      </c>
      <c r="H757" s="23"/>
      <c r="I757" s="124">
        <f t="shared" si="29"/>
        <v>0</v>
      </c>
      <c r="J757" s="21"/>
      <c r="K757" s="24" t="s">
        <v>1069</v>
      </c>
    </row>
    <row r="758" spans="1:11" ht="34.5" customHeight="1" x14ac:dyDescent="0.25">
      <c r="A758" s="25"/>
      <c r="B758" s="26" t="s">
        <v>1070</v>
      </c>
      <c r="C758" s="3"/>
      <c r="D758" s="21"/>
      <c r="E758" s="21"/>
      <c r="F758" s="3" t="s">
        <v>89</v>
      </c>
      <c r="G758" s="3">
        <v>1.73</v>
      </c>
      <c r="H758" s="23"/>
      <c r="I758" s="124">
        <f t="shared" si="29"/>
        <v>0</v>
      </c>
      <c r="J758" s="21"/>
      <c r="K758" s="24" t="s">
        <v>1071</v>
      </c>
    </row>
    <row r="759" spans="1:11" ht="34.5" customHeight="1" x14ac:dyDescent="0.25">
      <c r="A759" s="25"/>
      <c r="B759" s="26" t="s">
        <v>1072</v>
      </c>
      <c r="C759" s="3"/>
      <c r="D759" s="21"/>
      <c r="E759" s="21"/>
      <c r="F759" s="3" t="s">
        <v>89</v>
      </c>
      <c r="G759" s="3">
        <v>58.08</v>
      </c>
      <c r="H759" s="23"/>
      <c r="I759" s="124">
        <f t="shared" si="29"/>
        <v>0</v>
      </c>
      <c r="J759" s="21"/>
      <c r="K759" s="24" t="s">
        <v>1073</v>
      </c>
    </row>
    <row r="760" spans="1:11" ht="34.5" customHeight="1" x14ac:dyDescent="0.25">
      <c r="A760" s="25"/>
      <c r="B760" s="26" t="s">
        <v>1074</v>
      </c>
      <c r="C760" s="3"/>
      <c r="D760" s="21"/>
      <c r="E760" s="21"/>
      <c r="F760" s="3" t="s">
        <v>89</v>
      </c>
      <c r="G760" s="3">
        <v>4.5999999999999996</v>
      </c>
      <c r="H760" s="23"/>
      <c r="I760" s="124">
        <f t="shared" si="29"/>
        <v>0</v>
      </c>
      <c r="J760" s="21"/>
      <c r="K760" s="24" t="s">
        <v>1075</v>
      </c>
    </row>
    <row r="761" spans="1:11" ht="34.5" customHeight="1" x14ac:dyDescent="0.25">
      <c r="A761" s="25"/>
      <c r="B761" s="26" t="s">
        <v>1076</v>
      </c>
      <c r="C761" s="3"/>
      <c r="D761" s="21"/>
      <c r="E761" s="21"/>
      <c r="F761" s="3" t="s">
        <v>89</v>
      </c>
      <c r="G761" s="3">
        <v>0.12</v>
      </c>
      <c r="H761" s="23"/>
      <c r="I761" s="124">
        <f t="shared" si="29"/>
        <v>0</v>
      </c>
      <c r="J761" s="21"/>
      <c r="K761" s="24" t="s">
        <v>1077</v>
      </c>
    </row>
    <row r="762" spans="1:11" ht="34.5" customHeight="1" x14ac:dyDescent="0.25">
      <c r="A762" s="25"/>
      <c r="B762" s="26" t="s">
        <v>1078</v>
      </c>
      <c r="C762" s="3"/>
      <c r="D762" s="21"/>
      <c r="E762" s="21"/>
      <c r="F762" s="3" t="s">
        <v>89</v>
      </c>
      <c r="G762" s="3">
        <v>3.91</v>
      </c>
      <c r="H762" s="23"/>
      <c r="I762" s="124">
        <f t="shared" si="29"/>
        <v>0</v>
      </c>
      <c r="J762" s="21"/>
      <c r="K762" s="24" t="s">
        <v>1079</v>
      </c>
    </row>
    <row r="763" spans="1:11" ht="34.5" customHeight="1" x14ac:dyDescent="0.25">
      <c r="A763" s="25"/>
      <c r="B763" s="26" t="s">
        <v>1080</v>
      </c>
      <c r="C763" s="3"/>
      <c r="D763" s="21"/>
      <c r="E763" s="21"/>
      <c r="F763" s="3" t="s">
        <v>89</v>
      </c>
      <c r="G763" s="3">
        <v>2.65</v>
      </c>
      <c r="H763" s="23"/>
      <c r="I763" s="124">
        <f t="shared" si="29"/>
        <v>0</v>
      </c>
      <c r="J763" s="21"/>
      <c r="K763" s="24" t="s">
        <v>1081</v>
      </c>
    </row>
    <row r="764" spans="1:11" ht="34.5" customHeight="1" x14ac:dyDescent="0.25">
      <c r="A764" s="25"/>
      <c r="B764" s="26" t="s">
        <v>1082</v>
      </c>
      <c r="C764" s="3"/>
      <c r="D764" s="21"/>
      <c r="E764" s="21"/>
      <c r="F764" s="3" t="s">
        <v>89</v>
      </c>
      <c r="G764" s="3">
        <v>9.43</v>
      </c>
      <c r="H764" s="23"/>
      <c r="I764" s="124">
        <f t="shared" si="29"/>
        <v>0</v>
      </c>
      <c r="J764" s="21"/>
      <c r="K764" s="24" t="s">
        <v>1083</v>
      </c>
    </row>
    <row r="765" spans="1:11" ht="34.5" customHeight="1" x14ac:dyDescent="0.25">
      <c r="A765" s="25"/>
      <c r="B765" s="26" t="s">
        <v>1084</v>
      </c>
      <c r="C765" s="3"/>
      <c r="D765" s="21"/>
      <c r="E765" s="21"/>
      <c r="F765" s="3" t="s">
        <v>89</v>
      </c>
      <c r="G765" s="3">
        <v>22.31</v>
      </c>
      <c r="H765" s="23"/>
      <c r="I765" s="124">
        <f t="shared" si="29"/>
        <v>0</v>
      </c>
      <c r="J765" s="21"/>
      <c r="K765" s="24" t="s">
        <v>1085</v>
      </c>
    </row>
    <row r="766" spans="1:11" ht="34.5" customHeight="1" x14ac:dyDescent="0.25">
      <c r="A766" s="25"/>
      <c r="B766" s="26" t="s">
        <v>1086</v>
      </c>
      <c r="C766" s="3"/>
      <c r="D766" s="21"/>
      <c r="E766" s="21"/>
      <c r="F766" s="3" t="s">
        <v>89</v>
      </c>
      <c r="G766" s="3">
        <v>26.11</v>
      </c>
      <c r="H766" s="23"/>
      <c r="I766" s="124">
        <f t="shared" si="29"/>
        <v>0</v>
      </c>
      <c r="J766" s="21"/>
      <c r="K766" s="24" t="s">
        <v>1087</v>
      </c>
    </row>
    <row r="767" spans="1:11" ht="34.5" customHeight="1" x14ac:dyDescent="0.25">
      <c r="A767" s="25"/>
      <c r="B767" s="26" t="s">
        <v>1088</v>
      </c>
      <c r="C767" s="3"/>
      <c r="D767" s="21"/>
      <c r="E767" s="21"/>
      <c r="F767" s="3" t="s">
        <v>89</v>
      </c>
      <c r="G767" s="3">
        <v>2.2999999999999998</v>
      </c>
      <c r="H767" s="23"/>
      <c r="I767" s="124">
        <f t="shared" si="29"/>
        <v>0</v>
      </c>
      <c r="J767" s="21"/>
      <c r="K767" s="24" t="s">
        <v>1089</v>
      </c>
    </row>
    <row r="768" spans="1:11" ht="34.5" customHeight="1" x14ac:dyDescent="0.25">
      <c r="A768" s="25"/>
      <c r="B768" s="26" t="s">
        <v>1090</v>
      </c>
      <c r="C768" s="3"/>
      <c r="D768" s="21"/>
      <c r="E768" s="21"/>
      <c r="F768" s="3" t="s">
        <v>89</v>
      </c>
      <c r="G768" s="3">
        <v>5.29</v>
      </c>
      <c r="H768" s="23"/>
      <c r="I768" s="124">
        <f t="shared" si="29"/>
        <v>0</v>
      </c>
      <c r="J768" s="21"/>
      <c r="K768" s="24" t="s">
        <v>1091</v>
      </c>
    </row>
    <row r="769" spans="1:11" ht="34.5" customHeight="1" x14ac:dyDescent="0.25">
      <c r="A769" s="25"/>
      <c r="B769" s="26" t="s">
        <v>1092</v>
      </c>
      <c r="C769" s="3"/>
      <c r="D769" s="21"/>
      <c r="E769" s="21"/>
      <c r="F769" s="3" t="s">
        <v>89</v>
      </c>
      <c r="G769" s="3">
        <v>24.38</v>
      </c>
      <c r="H769" s="23"/>
      <c r="I769" s="124">
        <f t="shared" si="29"/>
        <v>0</v>
      </c>
      <c r="J769" s="21"/>
      <c r="K769" s="24" t="s">
        <v>1093</v>
      </c>
    </row>
    <row r="770" spans="1:11" ht="34.5" customHeight="1" x14ac:dyDescent="0.25">
      <c r="A770" s="25"/>
      <c r="B770" s="26" t="s">
        <v>1094</v>
      </c>
      <c r="C770" s="3"/>
      <c r="D770" s="21"/>
      <c r="E770" s="21"/>
      <c r="F770" s="3" t="s">
        <v>89</v>
      </c>
      <c r="G770" s="3">
        <v>15.99</v>
      </c>
      <c r="H770" s="23"/>
      <c r="I770" s="124">
        <f t="shared" si="29"/>
        <v>0</v>
      </c>
      <c r="J770" s="21"/>
      <c r="K770" s="24" t="s">
        <v>1095</v>
      </c>
    </row>
    <row r="771" spans="1:11" ht="34.5" customHeight="1" x14ac:dyDescent="0.25">
      <c r="A771" s="25"/>
      <c r="B771" s="26" t="s">
        <v>1096</v>
      </c>
      <c r="C771" s="3"/>
      <c r="D771" s="21"/>
      <c r="E771" s="21"/>
      <c r="F771" s="3" t="s">
        <v>89</v>
      </c>
      <c r="G771" s="3">
        <v>19.55</v>
      </c>
      <c r="H771" s="23"/>
      <c r="I771" s="124">
        <f t="shared" si="29"/>
        <v>0</v>
      </c>
      <c r="J771" s="21"/>
      <c r="K771" s="24" t="s">
        <v>1097</v>
      </c>
    </row>
    <row r="772" spans="1:11" ht="34.5" customHeight="1" x14ac:dyDescent="0.25">
      <c r="A772" s="25"/>
      <c r="B772" s="26" t="s">
        <v>1098</v>
      </c>
      <c r="C772" s="3"/>
      <c r="D772" s="21"/>
      <c r="E772" s="21"/>
      <c r="F772" s="3" t="s">
        <v>89</v>
      </c>
      <c r="G772" s="3">
        <v>0.57999999999999996</v>
      </c>
      <c r="H772" s="23"/>
      <c r="I772" s="124">
        <f t="shared" si="29"/>
        <v>0</v>
      </c>
      <c r="J772" s="21"/>
      <c r="K772" s="24" t="s">
        <v>1099</v>
      </c>
    </row>
    <row r="773" spans="1:11" ht="34.5" customHeight="1" x14ac:dyDescent="0.25">
      <c r="A773" s="25"/>
      <c r="B773" s="26" t="s">
        <v>1100</v>
      </c>
      <c r="C773" s="3"/>
      <c r="D773" s="21"/>
      <c r="E773" s="21"/>
      <c r="F773" s="3" t="s">
        <v>89</v>
      </c>
      <c r="G773" s="3">
        <v>171.12</v>
      </c>
      <c r="H773" s="23"/>
      <c r="I773" s="124">
        <f t="shared" si="29"/>
        <v>0</v>
      </c>
      <c r="J773" s="21"/>
      <c r="K773" s="24" t="s">
        <v>1101</v>
      </c>
    </row>
    <row r="774" spans="1:11" ht="34.5" customHeight="1" x14ac:dyDescent="0.25">
      <c r="A774" s="25"/>
      <c r="B774" s="26" t="s">
        <v>1102</v>
      </c>
      <c r="C774" s="3"/>
      <c r="D774" s="21"/>
      <c r="E774" s="21"/>
      <c r="F774" s="3" t="s">
        <v>89</v>
      </c>
      <c r="G774" s="3">
        <v>0.81</v>
      </c>
      <c r="H774" s="23"/>
      <c r="I774" s="124">
        <f t="shared" si="29"/>
        <v>0</v>
      </c>
      <c r="J774" s="21"/>
      <c r="K774" s="24" t="s">
        <v>1103</v>
      </c>
    </row>
    <row r="775" spans="1:11" ht="34.5" customHeight="1" x14ac:dyDescent="0.25">
      <c r="A775" s="25"/>
      <c r="B775" s="26" t="s">
        <v>1104</v>
      </c>
      <c r="C775" s="3"/>
      <c r="D775" s="21"/>
      <c r="E775" s="21"/>
      <c r="F775" s="3" t="s">
        <v>89</v>
      </c>
      <c r="G775" s="3">
        <v>18.63</v>
      </c>
      <c r="H775" s="23"/>
      <c r="I775" s="124">
        <f t="shared" si="29"/>
        <v>0</v>
      </c>
      <c r="J775" s="21"/>
      <c r="K775" s="24" t="s">
        <v>1105</v>
      </c>
    </row>
    <row r="776" spans="1:11" ht="34.5" customHeight="1" x14ac:dyDescent="0.25">
      <c r="A776" s="25"/>
      <c r="B776" s="26" t="s">
        <v>1106</v>
      </c>
      <c r="C776" s="3"/>
      <c r="D776" s="21"/>
      <c r="E776" s="21"/>
      <c r="F776" s="3" t="s">
        <v>89</v>
      </c>
      <c r="G776" s="3">
        <v>4.37</v>
      </c>
      <c r="H776" s="23"/>
      <c r="I776" s="124">
        <f t="shared" si="29"/>
        <v>0</v>
      </c>
      <c r="J776" s="21"/>
      <c r="K776" s="24" t="s">
        <v>1107</v>
      </c>
    </row>
    <row r="777" spans="1:11" ht="34.5" customHeight="1" x14ac:dyDescent="0.25">
      <c r="A777" s="25"/>
      <c r="B777" s="26" t="s">
        <v>1108</v>
      </c>
      <c r="C777" s="3"/>
      <c r="D777" s="21"/>
      <c r="E777" s="21"/>
      <c r="F777" s="3" t="s">
        <v>89</v>
      </c>
      <c r="G777" s="3">
        <v>3.34</v>
      </c>
      <c r="H777" s="23"/>
      <c r="I777" s="124">
        <f t="shared" si="29"/>
        <v>0</v>
      </c>
      <c r="J777" s="21"/>
      <c r="K777" s="24" t="s">
        <v>1109</v>
      </c>
    </row>
    <row r="778" spans="1:11" ht="34.5" customHeight="1" x14ac:dyDescent="0.25">
      <c r="A778" s="25"/>
      <c r="B778" s="26" t="s">
        <v>1110</v>
      </c>
      <c r="C778" s="3"/>
      <c r="D778" s="21"/>
      <c r="E778" s="21"/>
      <c r="F778" s="3" t="s">
        <v>89</v>
      </c>
      <c r="G778" s="3">
        <v>102.7</v>
      </c>
      <c r="H778" s="23"/>
      <c r="I778" s="124">
        <f t="shared" si="29"/>
        <v>0</v>
      </c>
      <c r="J778" s="21"/>
      <c r="K778" s="24" t="s">
        <v>1111</v>
      </c>
    </row>
    <row r="779" spans="1:11" ht="15.75" customHeight="1" x14ac:dyDescent="0.25">
      <c r="A779" s="25"/>
      <c r="B779" s="26" t="s">
        <v>1112</v>
      </c>
      <c r="C779" s="3" t="s">
        <v>1113</v>
      </c>
      <c r="D779" s="21"/>
      <c r="E779" s="21" t="s">
        <v>954</v>
      </c>
      <c r="F779" s="3" t="s">
        <v>89</v>
      </c>
      <c r="G779" s="3">
        <v>9</v>
      </c>
      <c r="H779" s="23">
        <f>1521.6/9</f>
        <v>169.06666666666666</v>
      </c>
      <c r="I779" s="124">
        <f t="shared" si="29"/>
        <v>1521.6</v>
      </c>
      <c r="J779" s="21"/>
      <c r="K779" s="24"/>
    </row>
    <row r="780" spans="1:11" ht="15.75" customHeight="1" x14ac:dyDescent="0.25">
      <c r="A780" s="25"/>
      <c r="B780" s="26" t="s">
        <v>1114</v>
      </c>
      <c r="C780" s="3" t="s">
        <v>1113</v>
      </c>
      <c r="D780" s="21"/>
      <c r="E780" s="21" t="s">
        <v>954</v>
      </c>
      <c r="F780" s="3" t="s">
        <v>89</v>
      </c>
      <c r="G780" s="3">
        <v>58.4</v>
      </c>
      <c r="H780" s="23">
        <f>10828.8/58.4</f>
        <v>185.42465753424656</v>
      </c>
      <c r="I780" s="124">
        <f t="shared" si="29"/>
        <v>10828.8</v>
      </c>
      <c r="J780" s="21"/>
      <c r="K780" s="24"/>
    </row>
    <row r="781" spans="1:11" ht="15.75" customHeight="1" x14ac:dyDescent="0.25">
      <c r="A781" s="25"/>
      <c r="B781" s="26" t="s">
        <v>1115</v>
      </c>
      <c r="C781" s="3" t="s">
        <v>1113</v>
      </c>
      <c r="D781" s="21"/>
      <c r="E781" s="21" t="s">
        <v>954</v>
      </c>
      <c r="F781" s="3" t="s">
        <v>89</v>
      </c>
      <c r="G781" s="3">
        <v>78.599999999999994</v>
      </c>
      <c r="H781" s="23">
        <f>19723.2/78.6</f>
        <v>250.93129770992368</v>
      </c>
      <c r="I781" s="124">
        <f t="shared" si="29"/>
        <v>19723.2</v>
      </c>
      <c r="J781" s="21"/>
      <c r="K781" s="24"/>
    </row>
    <row r="782" spans="1:11" ht="15.75" customHeight="1" x14ac:dyDescent="0.25">
      <c r="A782" s="25"/>
      <c r="B782" s="26" t="s">
        <v>1116</v>
      </c>
      <c r="C782" s="3" t="s">
        <v>1113</v>
      </c>
      <c r="D782" s="21"/>
      <c r="E782" s="21" t="s">
        <v>954</v>
      </c>
      <c r="F782" s="3" t="s">
        <v>89</v>
      </c>
      <c r="G782" s="3">
        <v>76.2</v>
      </c>
      <c r="H782" s="23">
        <f>25886.4/76.2</f>
        <v>339.71653543307087</v>
      </c>
      <c r="I782" s="124">
        <f t="shared" si="29"/>
        <v>25886.400000000001</v>
      </c>
      <c r="J782" s="21"/>
      <c r="K782" s="24"/>
    </row>
    <row r="783" spans="1:11" ht="15.75" customHeight="1" x14ac:dyDescent="0.25">
      <c r="A783" s="25"/>
      <c r="B783" s="26" t="s">
        <v>1117</v>
      </c>
      <c r="C783" s="3" t="s">
        <v>1113</v>
      </c>
      <c r="D783" s="21"/>
      <c r="E783" s="21" t="s">
        <v>954</v>
      </c>
      <c r="F783" s="3" t="s">
        <v>89</v>
      </c>
      <c r="G783" s="3">
        <v>7.1</v>
      </c>
      <c r="H783" s="23">
        <f>4339.8/7.1</f>
        <v>611.23943661971839</v>
      </c>
      <c r="I783" s="124">
        <f t="shared" si="29"/>
        <v>4339.8</v>
      </c>
      <c r="J783" s="21"/>
      <c r="K783" s="24"/>
    </row>
    <row r="784" spans="1:11" ht="34.5" customHeight="1" x14ac:dyDescent="0.25">
      <c r="A784" s="25"/>
      <c r="B784" s="26" t="s">
        <v>1118</v>
      </c>
      <c r="C784" s="3"/>
      <c r="D784" s="21"/>
      <c r="E784" s="21"/>
      <c r="F784" s="3" t="s">
        <v>78</v>
      </c>
      <c r="G784" s="3">
        <v>23</v>
      </c>
      <c r="H784" s="23"/>
      <c r="I784" s="124">
        <f t="shared" si="29"/>
        <v>0</v>
      </c>
      <c r="J784" s="21"/>
      <c r="K784" s="24" t="s">
        <v>1119</v>
      </c>
    </row>
    <row r="785" spans="1:11" ht="34.5" customHeight="1" x14ac:dyDescent="0.25">
      <c r="A785" s="25"/>
      <c r="B785" s="26" t="s">
        <v>1120</v>
      </c>
      <c r="C785" s="3"/>
      <c r="D785" s="21"/>
      <c r="E785" s="21"/>
      <c r="F785" s="3" t="s">
        <v>78</v>
      </c>
      <c r="G785" s="3">
        <v>11</v>
      </c>
      <c r="H785" s="23"/>
      <c r="I785" s="124">
        <f t="shared" si="29"/>
        <v>0</v>
      </c>
      <c r="J785" s="21"/>
      <c r="K785" s="24" t="s">
        <v>1121</v>
      </c>
    </row>
    <row r="786" spans="1:11" ht="34.5" customHeight="1" x14ac:dyDescent="0.25">
      <c r="A786" s="25"/>
      <c r="B786" s="26" t="s">
        <v>1122</v>
      </c>
      <c r="C786" s="3"/>
      <c r="D786" s="21"/>
      <c r="E786" s="21"/>
      <c r="F786" s="3" t="s">
        <v>78</v>
      </c>
      <c r="G786" s="3">
        <v>14</v>
      </c>
      <c r="H786" s="23"/>
      <c r="I786" s="124">
        <f t="shared" ref="I786:I849" si="30">H786*G786</f>
        <v>0</v>
      </c>
      <c r="J786" s="21"/>
      <c r="K786" s="24" t="s">
        <v>1123</v>
      </c>
    </row>
    <row r="787" spans="1:11" ht="34.5" customHeight="1" x14ac:dyDescent="0.25">
      <c r="A787" s="25"/>
      <c r="B787" s="26" t="s">
        <v>1124</v>
      </c>
      <c r="C787" s="3"/>
      <c r="D787" s="21"/>
      <c r="E787" s="21"/>
      <c r="F787" s="3" t="s">
        <v>78</v>
      </c>
      <c r="G787" s="3">
        <v>8</v>
      </c>
      <c r="H787" s="23"/>
      <c r="I787" s="124">
        <f t="shared" si="30"/>
        <v>0</v>
      </c>
      <c r="J787" s="21"/>
      <c r="K787" s="24" t="s">
        <v>1125</v>
      </c>
    </row>
    <row r="788" spans="1:11" ht="34.5" customHeight="1" x14ac:dyDescent="0.25">
      <c r="A788" s="25"/>
      <c r="B788" s="26" t="s">
        <v>1126</v>
      </c>
      <c r="C788" s="3"/>
      <c r="D788" s="21"/>
      <c r="E788" s="21"/>
      <c r="F788" s="3" t="s">
        <v>78</v>
      </c>
      <c r="G788" s="3">
        <v>4</v>
      </c>
      <c r="H788" s="23"/>
      <c r="I788" s="124">
        <f t="shared" si="30"/>
        <v>0</v>
      </c>
      <c r="J788" s="21"/>
      <c r="K788" s="24" t="s">
        <v>1127</v>
      </c>
    </row>
    <row r="789" spans="1:11" ht="34.5" customHeight="1" x14ac:dyDescent="0.25">
      <c r="A789" s="25"/>
      <c r="B789" s="26" t="s">
        <v>1128</v>
      </c>
      <c r="C789" s="3"/>
      <c r="D789" s="21"/>
      <c r="E789" s="21"/>
      <c r="F789" s="3" t="s">
        <v>78</v>
      </c>
      <c r="G789" s="3">
        <v>1</v>
      </c>
      <c r="H789" s="23"/>
      <c r="I789" s="124">
        <f t="shared" si="30"/>
        <v>0</v>
      </c>
      <c r="J789" s="21"/>
      <c r="K789" s="24" t="s">
        <v>1129</v>
      </c>
    </row>
    <row r="790" spans="1:11" ht="34.5" customHeight="1" x14ac:dyDescent="0.25">
      <c r="A790" s="25"/>
      <c r="B790" s="26" t="s">
        <v>1130</v>
      </c>
      <c r="C790" s="3"/>
      <c r="D790" s="21"/>
      <c r="E790" s="21"/>
      <c r="F790" s="3" t="s">
        <v>78</v>
      </c>
      <c r="G790" s="3">
        <v>24</v>
      </c>
      <c r="H790" s="23"/>
      <c r="I790" s="124">
        <f t="shared" si="30"/>
        <v>0</v>
      </c>
      <c r="J790" s="21"/>
      <c r="K790" s="24" t="s">
        <v>1131</v>
      </c>
    </row>
    <row r="791" spans="1:11" ht="34.5" customHeight="1" x14ac:dyDescent="0.25">
      <c r="A791" s="25"/>
      <c r="B791" s="26" t="s">
        <v>1132</v>
      </c>
      <c r="C791" s="3"/>
      <c r="D791" s="21"/>
      <c r="E791" s="21"/>
      <c r="F791" s="3" t="s">
        <v>78</v>
      </c>
      <c r="G791" s="3">
        <v>36</v>
      </c>
      <c r="H791" s="23"/>
      <c r="I791" s="124">
        <f t="shared" si="30"/>
        <v>0</v>
      </c>
      <c r="J791" s="21"/>
      <c r="K791" s="24" t="s">
        <v>1133</v>
      </c>
    </row>
    <row r="792" spans="1:11" ht="34.5" customHeight="1" x14ac:dyDescent="0.25">
      <c r="A792" s="25"/>
      <c r="B792" s="26" t="s">
        <v>1134</v>
      </c>
      <c r="C792" s="3"/>
      <c r="D792" s="21"/>
      <c r="E792" s="21"/>
      <c r="F792" s="3" t="s">
        <v>78</v>
      </c>
      <c r="G792" s="3">
        <v>10</v>
      </c>
      <c r="H792" s="23"/>
      <c r="I792" s="124">
        <f t="shared" si="30"/>
        <v>0</v>
      </c>
      <c r="J792" s="21"/>
      <c r="K792" s="24" t="s">
        <v>1135</v>
      </c>
    </row>
    <row r="793" spans="1:11" ht="34.5" customHeight="1" x14ac:dyDescent="0.25">
      <c r="A793" s="25"/>
      <c r="B793" s="26" t="s">
        <v>1136</v>
      </c>
      <c r="C793" s="3"/>
      <c r="D793" s="21"/>
      <c r="E793" s="21"/>
      <c r="F793" s="3" t="s">
        <v>78</v>
      </c>
      <c r="G793" s="3">
        <v>1</v>
      </c>
      <c r="H793" s="23"/>
      <c r="I793" s="124">
        <f t="shared" si="30"/>
        <v>0</v>
      </c>
      <c r="J793" s="21"/>
      <c r="K793" s="24" t="s">
        <v>1137</v>
      </c>
    </row>
    <row r="794" spans="1:11" ht="34.5" customHeight="1" x14ac:dyDescent="0.25">
      <c r="A794" s="25"/>
      <c r="B794" s="26" t="s">
        <v>1138</v>
      </c>
      <c r="C794" s="3"/>
      <c r="D794" s="21"/>
      <c r="E794" s="21"/>
      <c r="F794" s="3" t="s">
        <v>78</v>
      </c>
      <c r="G794" s="3">
        <v>9</v>
      </c>
      <c r="H794" s="23"/>
      <c r="I794" s="124">
        <f t="shared" si="30"/>
        <v>0</v>
      </c>
      <c r="J794" s="21"/>
      <c r="K794" s="24" t="s">
        <v>1139</v>
      </c>
    </row>
    <row r="795" spans="1:11" ht="34.5" customHeight="1" x14ac:dyDescent="0.25">
      <c r="A795" s="25"/>
      <c r="B795" s="26" t="s">
        <v>1140</v>
      </c>
      <c r="C795" s="3"/>
      <c r="D795" s="21"/>
      <c r="E795" s="21"/>
      <c r="F795" s="3" t="s">
        <v>78</v>
      </c>
      <c r="G795" s="3">
        <v>11</v>
      </c>
      <c r="H795" s="23"/>
      <c r="I795" s="124">
        <f t="shared" si="30"/>
        <v>0</v>
      </c>
      <c r="J795" s="21"/>
      <c r="K795" s="24" t="s">
        <v>1141</v>
      </c>
    </row>
    <row r="796" spans="1:11" ht="34.5" customHeight="1" x14ac:dyDescent="0.25">
      <c r="A796" s="25"/>
      <c r="B796" s="26" t="s">
        <v>1142</v>
      </c>
      <c r="C796" s="3"/>
      <c r="D796" s="21"/>
      <c r="E796" s="21"/>
      <c r="F796" s="3" t="s">
        <v>78</v>
      </c>
      <c r="G796" s="3">
        <v>27</v>
      </c>
      <c r="H796" s="23"/>
      <c r="I796" s="124">
        <f t="shared" si="30"/>
        <v>0</v>
      </c>
      <c r="J796" s="21"/>
      <c r="K796" s="24" t="s">
        <v>1143</v>
      </c>
    </row>
    <row r="797" spans="1:11" ht="34.5" customHeight="1" x14ac:dyDescent="0.25">
      <c r="A797" s="25"/>
      <c r="B797" s="26" t="s">
        <v>1144</v>
      </c>
      <c r="C797" s="3"/>
      <c r="D797" s="21"/>
      <c r="E797" s="21"/>
      <c r="F797" s="3" t="s">
        <v>78</v>
      </c>
      <c r="G797" s="3">
        <v>31</v>
      </c>
      <c r="H797" s="23"/>
      <c r="I797" s="124">
        <f t="shared" si="30"/>
        <v>0</v>
      </c>
      <c r="J797" s="21"/>
      <c r="K797" s="24" t="s">
        <v>1145</v>
      </c>
    </row>
    <row r="798" spans="1:11" ht="34.5" customHeight="1" x14ac:dyDescent="0.25">
      <c r="A798" s="25"/>
      <c r="B798" s="26" t="s">
        <v>1146</v>
      </c>
      <c r="C798" s="3"/>
      <c r="D798" s="21"/>
      <c r="E798" s="21"/>
      <c r="F798" s="3" t="s">
        <v>78</v>
      </c>
      <c r="G798" s="3">
        <v>9</v>
      </c>
      <c r="H798" s="23"/>
      <c r="I798" s="124">
        <f t="shared" si="30"/>
        <v>0</v>
      </c>
      <c r="J798" s="21"/>
      <c r="K798" s="24" t="s">
        <v>1147</v>
      </c>
    </row>
    <row r="799" spans="1:11" ht="34.5" customHeight="1" x14ac:dyDescent="0.25">
      <c r="A799" s="25"/>
      <c r="B799" s="26" t="s">
        <v>1148</v>
      </c>
      <c r="C799" s="3"/>
      <c r="D799" s="21"/>
      <c r="E799" s="21"/>
      <c r="F799" s="3" t="s">
        <v>78</v>
      </c>
      <c r="G799" s="3">
        <v>1</v>
      </c>
      <c r="H799" s="23"/>
      <c r="I799" s="124">
        <f t="shared" si="30"/>
        <v>0</v>
      </c>
      <c r="J799" s="21"/>
      <c r="K799" s="24" t="s">
        <v>1149</v>
      </c>
    </row>
    <row r="800" spans="1:11" ht="34.5" customHeight="1" x14ac:dyDescent="0.25">
      <c r="A800" s="25"/>
      <c r="B800" s="26" t="s">
        <v>1150</v>
      </c>
      <c r="C800" s="3"/>
      <c r="D800" s="21"/>
      <c r="E800" s="21"/>
      <c r="F800" s="3" t="s">
        <v>78</v>
      </c>
      <c r="G800" s="3">
        <v>11</v>
      </c>
      <c r="H800" s="23"/>
      <c r="I800" s="124">
        <f t="shared" si="30"/>
        <v>0</v>
      </c>
      <c r="J800" s="21"/>
      <c r="K800" s="24" t="s">
        <v>1151</v>
      </c>
    </row>
    <row r="801" spans="1:11" ht="34.5" customHeight="1" x14ac:dyDescent="0.25">
      <c r="A801" s="25"/>
      <c r="B801" s="26" t="s">
        <v>1152</v>
      </c>
      <c r="C801" s="3"/>
      <c r="D801" s="21"/>
      <c r="E801" s="21"/>
      <c r="F801" s="3" t="s">
        <v>78</v>
      </c>
      <c r="G801" s="3">
        <v>3</v>
      </c>
      <c r="H801" s="23"/>
      <c r="I801" s="124">
        <f t="shared" si="30"/>
        <v>0</v>
      </c>
      <c r="J801" s="21"/>
      <c r="K801" s="24" t="s">
        <v>1153</v>
      </c>
    </row>
    <row r="802" spans="1:11" ht="34.5" customHeight="1" x14ac:dyDescent="0.25">
      <c r="A802" s="25"/>
      <c r="B802" s="26" t="s">
        <v>1154</v>
      </c>
      <c r="C802" s="3"/>
      <c r="D802" s="21"/>
      <c r="E802" s="21"/>
      <c r="F802" s="3" t="s">
        <v>78</v>
      </c>
      <c r="G802" s="3">
        <v>2</v>
      </c>
      <c r="H802" s="23"/>
      <c r="I802" s="124">
        <f t="shared" si="30"/>
        <v>0</v>
      </c>
      <c r="J802" s="21"/>
      <c r="K802" s="24" t="s">
        <v>1155</v>
      </c>
    </row>
    <row r="803" spans="1:11" ht="34.5" customHeight="1" x14ac:dyDescent="0.25">
      <c r="A803" s="25"/>
      <c r="B803" s="26" t="s">
        <v>1156</v>
      </c>
      <c r="C803" s="3"/>
      <c r="D803" s="21"/>
      <c r="E803" s="21"/>
      <c r="F803" s="3" t="s">
        <v>78</v>
      </c>
      <c r="G803" s="3">
        <v>14</v>
      </c>
      <c r="H803" s="23"/>
      <c r="I803" s="124">
        <f t="shared" si="30"/>
        <v>0</v>
      </c>
      <c r="J803" s="21"/>
      <c r="K803" s="24" t="s">
        <v>1157</v>
      </c>
    </row>
    <row r="804" spans="1:11" ht="34.5" customHeight="1" x14ac:dyDescent="0.25">
      <c r="A804" s="25"/>
      <c r="B804" s="26" t="s">
        <v>1158</v>
      </c>
      <c r="C804" s="3"/>
      <c r="D804" s="21"/>
      <c r="E804" s="21"/>
      <c r="F804" s="3" t="s">
        <v>78</v>
      </c>
      <c r="G804" s="3">
        <v>38</v>
      </c>
      <c r="H804" s="23"/>
      <c r="I804" s="124">
        <f t="shared" si="30"/>
        <v>0</v>
      </c>
      <c r="J804" s="21"/>
      <c r="K804" s="24" t="s">
        <v>1159</v>
      </c>
    </row>
    <row r="805" spans="1:11" ht="34.5" customHeight="1" x14ac:dyDescent="0.25">
      <c r="A805" s="25"/>
      <c r="B805" s="26" t="s">
        <v>1160</v>
      </c>
      <c r="C805" s="3"/>
      <c r="D805" s="21"/>
      <c r="E805" s="21"/>
      <c r="F805" s="3" t="s">
        <v>78</v>
      </c>
      <c r="G805" s="3">
        <v>3</v>
      </c>
      <c r="H805" s="23"/>
      <c r="I805" s="124">
        <f t="shared" si="30"/>
        <v>0</v>
      </c>
      <c r="J805" s="21"/>
      <c r="K805" s="24" t="s">
        <v>1161</v>
      </c>
    </row>
    <row r="806" spans="1:11" ht="34.5" customHeight="1" x14ac:dyDescent="0.25">
      <c r="A806" s="25"/>
      <c r="B806" s="26" t="s">
        <v>1162</v>
      </c>
      <c r="C806" s="3"/>
      <c r="D806" s="21"/>
      <c r="E806" s="21"/>
      <c r="F806" s="3" t="s">
        <v>78</v>
      </c>
      <c r="G806" s="3">
        <v>12</v>
      </c>
      <c r="H806" s="23"/>
      <c r="I806" s="124">
        <f t="shared" si="30"/>
        <v>0</v>
      </c>
      <c r="J806" s="21"/>
      <c r="K806" s="24" t="s">
        <v>1163</v>
      </c>
    </row>
    <row r="807" spans="1:11" ht="34.5" customHeight="1" x14ac:dyDescent="0.25">
      <c r="A807" s="25"/>
      <c r="B807" s="26" t="s">
        <v>1164</v>
      </c>
      <c r="C807" s="3"/>
      <c r="D807" s="21"/>
      <c r="E807" s="21"/>
      <c r="F807" s="3" t="s">
        <v>78</v>
      </c>
      <c r="G807" s="3">
        <v>1</v>
      </c>
      <c r="H807" s="23"/>
      <c r="I807" s="124">
        <f t="shared" si="30"/>
        <v>0</v>
      </c>
      <c r="J807" s="21"/>
      <c r="K807" s="24" t="s">
        <v>1165</v>
      </c>
    </row>
    <row r="808" spans="1:11" ht="34.5" customHeight="1" x14ac:dyDescent="0.25">
      <c r="A808" s="25"/>
      <c r="B808" s="26" t="s">
        <v>1166</v>
      </c>
      <c r="C808" s="3"/>
      <c r="D808" s="21"/>
      <c r="E808" s="21"/>
      <c r="F808" s="3" t="s">
        <v>78</v>
      </c>
      <c r="G808" s="3">
        <v>4</v>
      </c>
      <c r="H808" s="23"/>
      <c r="I808" s="124">
        <f t="shared" si="30"/>
        <v>0</v>
      </c>
      <c r="J808" s="21"/>
      <c r="K808" s="24" t="s">
        <v>1167</v>
      </c>
    </row>
    <row r="809" spans="1:11" ht="34.5" customHeight="1" x14ac:dyDescent="0.25">
      <c r="A809" s="25"/>
      <c r="B809" s="26" t="s">
        <v>1168</v>
      </c>
      <c r="C809" s="3"/>
      <c r="D809" s="21"/>
      <c r="E809" s="21"/>
      <c r="F809" s="3" t="s">
        <v>78</v>
      </c>
      <c r="G809" s="3">
        <v>4</v>
      </c>
      <c r="H809" s="23"/>
      <c r="I809" s="124">
        <f t="shared" si="30"/>
        <v>0</v>
      </c>
      <c r="J809" s="21"/>
      <c r="K809" s="24" t="s">
        <v>1169</v>
      </c>
    </row>
    <row r="810" spans="1:11" ht="34.5" customHeight="1" x14ac:dyDescent="0.25">
      <c r="A810" s="25"/>
      <c r="B810" s="26" t="s">
        <v>1170</v>
      </c>
      <c r="C810" s="3"/>
      <c r="D810" s="21"/>
      <c r="E810" s="21"/>
      <c r="F810" s="3" t="s">
        <v>78</v>
      </c>
      <c r="G810" s="3">
        <v>1</v>
      </c>
      <c r="H810" s="23"/>
      <c r="I810" s="124">
        <f t="shared" si="30"/>
        <v>0</v>
      </c>
      <c r="J810" s="21"/>
      <c r="K810" s="24" t="s">
        <v>1171</v>
      </c>
    </row>
    <row r="811" spans="1:11" ht="34.5" customHeight="1" x14ac:dyDescent="0.25">
      <c r="A811" s="25"/>
      <c r="B811" s="26" t="s">
        <v>1172</v>
      </c>
      <c r="C811" s="3"/>
      <c r="D811" s="21"/>
      <c r="E811" s="21"/>
      <c r="F811" s="3" t="s">
        <v>78</v>
      </c>
      <c r="G811" s="3">
        <v>2</v>
      </c>
      <c r="H811" s="23"/>
      <c r="I811" s="124">
        <f t="shared" si="30"/>
        <v>0</v>
      </c>
      <c r="J811" s="21"/>
      <c r="K811" s="24" t="s">
        <v>1173</v>
      </c>
    </row>
    <row r="812" spans="1:11" ht="34.5" customHeight="1" x14ac:dyDescent="0.25">
      <c r="A812" s="25"/>
      <c r="B812" s="26" t="s">
        <v>1174</v>
      </c>
      <c r="C812" s="3"/>
      <c r="D812" s="21"/>
      <c r="E812" s="21"/>
      <c r="F812" s="3" t="s">
        <v>78</v>
      </c>
      <c r="G812" s="3">
        <v>3</v>
      </c>
      <c r="H812" s="23"/>
      <c r="I812" s="124">
        <f t="shared" si="30"/>
        <v>0</v>
      </c>
      <c r="J812" s="21"/>
      <c r="K812" s="24" t="s">
        <v>1175</v>
      </c>
    </row>
    <row r="813" spans="1:11" ht="34.5" customHeight="1" x14ac:dyDescent="0.25">
      <c r="A813" s="25"/>
      <c r="B813" s="26" t="s">
        <v>1176</v>
      </c>
      <c r="C813" s="3"/>
      <c r="D813" s="21"/>
      <c r="E813" s="21"/>
      <c r="F813" s="3" t="s">
        <v>78</v>
      </c>
      <c r="G813" s="3">
        <v>2</v>
      </c>
      <c r="H813" s="23"/>
      <c r="I813" s="124">
        <f t="shared" si="30"/>
        <v>0</v>
      </c>
      <c r="J813" s="21"/>
      <c r="K813" s="24" t="s">
        <v>1177</v>
      </c>
    </row>
    <row r="814" spans="1:11" ht="34.5" customHeight="1" x14ac:dyDescent="0.25">
      <c r="A814" s="25"/>
      <c r="B814" s="26" t="s">
        <v>1178</v>
      </c>
      <c r="C814" s="3"/>
      <c r="D814" s="21"/>
      <c r="E814" s="21"/>
      <c r="F814" s="3" t="s">
        <v>78</v>
      </c>
      <c r="G814" s="3">
        <v>4</v>
      </c>
      <c r="H814" s="23"/>
      <c r="I814" s="124">
        <f t="shared" si="30"/>
        <v>0</v>
      </c>
      <c r="J814" s="21"/>
      <c r="K814" s="24" t="s">
        <v>1179</v>
      </c>
    </row>
    <row r="815" spans="1:11" ht="34.5" customHeight="1" x14ac:dyDescent="0.25">
      <c r="A815" s="25"/>
      <c r="B815" s="26" t="s">
        <v>1180</v>
      </c>
      <c r="C815" s="3"/>
      <c r="D815" s="21"/>
      <c r="E815" s="21"/>
      <c r="F815" s="3" t="s">
        <v>78</v>
      </c>
      <c r="G815" s="3">
        <v>3</v>
      </c>
      <c r="H815" s="23"/>
      <c r="I815" s="124">
        <f t="shared" si="30"/>
        <v>0</v>
      </c>
      <c r="J815" s="21"/>
      <c r="K815" s="24" t="s">
        <v>1181</v>
      </c>
    </row>
    <row r="816" spans="1:11" ht="34.5" customHeight="1" x14ac:dyDescent="0.25">
      <c r="A816" s="25"/>
      <c r="B816" s="26" t="s">
        <v>1182</v>
      </c>
      <c r="C816" s="3"/>
      <c r="D816" s="21"/>
      <c r="E816" s="21"/>
      <c r="F816" s="3" t="s">
        <v>78</v>
      </c>
      <c r="G816" s="3">
        <v>1</v>
      </c>
      <c r="H816" s="23"/>
      <c r="I816" s="124">
        <f t="shared" si="30"/>
        <v>0</v>
      </c>
      <c r="J816" s="21"/>
      <c r="K816" s="24" t="s">
        <v>1183</v>
      </c>
    </row>
    <row r="817" spans="1:11" ht="34.5" customHeight="1" x14ac:dyDescent="0.25">
      <c r="A817" s="25"/>
      <c r="B817" s="26" t="s">
        <v>1184</v>
      </c>
      <c r="C817" s="3"/>
      <c r="D817" s="21"/>
      <c r="E817" s="21"/>
      <c r="F817" s="3" t="s">
        <v>78</v>
      </c>
      <c r="G817" s="3">
        <v>2</v>
      </c>
      <c r="H817" s="23"/>
      <c r="I817" s="124">
        <f t="shared" si="30"/>
        <v>0</v>
      </c>
      <c r="J817" s="21"/>
      <c r="K817" s="24" t="s">
        <v>1185</v>
      </c>
    </row>
    <row r="818" spans="1:11" ht="34.5" customHeight="1" x14ac:dyDescent="0.25">
      <c r="A818" s="25"/>
      <c r="B818" s="26" t="s">
        <v>1186</v>
      </c>
      <c r="C818" s="3"/>
      <c r="D818" s="21"/>
      <c r="E818" s="21"/>
      <c r="F818" s="3" t="s">
        <v>78</v>
      </c>
      <c r="G818" s="3">
        <v>2</v>
      </c>
      <c r="H818" s="23"/>
      <c r="I818" s="124">
        <f t="shared" si="30"/>
        <v>0</v>
      </c>
      <c r="J818" s="21"/>
      <c r="K818" s="24" t="s">
        <v>1187</v>
      </c>
    </row>
    <row r="819" spans="1:11" ht="34.5" customHeight="1" x14ac:dyDescent="0.25">
      <c r="A819" s="25"/>
      <c r="B819" s="26" t="s">
        <v>1188</v>
      </c>
      <c r="C819" s="3"/>
      <c r="D819" s="21"/>
      <c r="E819" s="21"/>
      <c r="F819" s="3" t="s">
        <v>78</v>
      </c>
      <c r="G819" s="3">
        <v>4</v>
      </c>
      <c r="H819" s="23"/>
      <c r="I819" s="124">
        <f t="shared" si="30"/>
        <v>0</v>
      </c>
      <c r="J819" s="21"/>
      <c r="K819" s="24" t="s">
        <v>1189</v>
      </c>
    </row>
    <row r="820" spans="1:11" ht="34.5" customHeight="1" x14ac:dyDescent="0.25">
      <c r="A820" s="25"/>
      <c r="B820" s="26" t="s">
        <v>1190</v>
      </c>
      <c r="C820" s="3"/>
      <c r="D820" s="21"/>
      <c r="E820" s="21"/>
      <c r="F820" s="3" t="s">
        <v>78</v>
      </c>
      <c r="G820" s="3">
        <v>1</v>
      </c>
      <c r="H820" s="23"/>
      <c r="I820" s="124">
        <f t="shared" si="30"/>
        <v>0</v>
      </c>
      <c r="J820" s="21"/>
      <c r="K820" s="24" t="s">
        <v>1191</v>
      </c>
    </row>
    <row r="821" spans="1:11" ht="34.5" customHeight="1" x14ac:dyDescent="0.25">
      <c r="A821" s="25"/>
      <c r="B821" s="26" t="s">
        <v>1192</v>
      </c>
      <c r="C821" s="3"/>
      <c r="D821" s="21"/>
      <c r="E821" s="21"/>
      <c r="F821" s="3" t="s">
        <v>78</v>
      </c>
      <c r="G821" s="3">
        <v>1</v>
      </c>
      <c r="H821" s="23"/>
      <c r="I821" s="124">
        <f t="shared" si="30"/>
        <v>0</v>
      </c>
      <c r="J821" s="21"/>
      <c r="K821" s="24" t="s">
        <v>1193</v>
      </c>
    </row>
    <row r="822" spans="1:11" ht="34.5" customHeight="1" x14ac:dyDescent="0.25">
      <c r="A822" s="25"/>
      <c r="B822" s="26" t="s">
        <v>1194</v>
      </c>
      <c r="C822" s="3"/>
      <c r="D822" s="21"/>
      <c r="E822" s="21"/>
      <c r="F822" s="3" t="s">
        <v>78</v>
      </c>
      <c r="G822" s="3">
        <v>4</v>
      </c>
      <c r="H822" s="23"/>
      <c r="I822" s="124">
        <f t="shared" si="30"/>
        <v>0</v>
      </c>
      <c r="J822" s="21"/>
      <c r="K822" s="24" t="s">
        <v>1195</v>
      </c>
    </row>
    <row r="823" spans="1:11" ht="34.5" customHeight="1" x14ac:dyDescent="0.25">
      <c r="A823" s="25"/>
      <c r="B823" s="26" t="s">
        <v>1196</v>
      </c>
      <c r="C823" s="3"/>
      <c r="D823" s="21"/>
      <c r="E823" s="21"/>
      <c r="F823" s="3" t="s">
        <v>78</v>
      </c>
      <c r="G823" s="3">
        <v>2</v>
      </c>
      <c r="H823" s="23"/>
      <c r="I823" s="124">
        <f t="shared" si="30"/>
        <v>0</v>
      </c>
      <c r="J823" s="21"/>
      <c r="K823" s="24" t="s">
        <v>1197</v>
      </c>
    </row>
    <row r="824" spans="1:11" ht="34.5" customHeight="1" x14ac:dyDescent="0.25">
      <c r="A824" s="25"/>
      <c r="B824" s="26" t="s">
        <v>1198</v>
      </c>
      <c r="C824" s="3"/>
      <c r="D824" s="21"/>
      <c r="E824" s="21"/>
      <c r="F824" s="3" t="s">
        <v>78</v>
      </c>
      <c r="G824" s="3">
        <v>1</v>
      </c>
      <c r="H824" s="23"/>
      <c r="I824" s="124">
        <f t="shared" si="30"/>
        <v>0</v>
      </c>
      <c r="J824" s="21"/>
      <c r="K824" s="24" t="s">
        <v>1127</v>
      </c>
    </row>
    <row r="825" spans="1:11" ht="34.5" customHeight="1" x14ac:dyDescent="0.25">
      <c r="A825" s="25"/>
      <c r="B825" s="26" t="s">
        <v>1199</v>
      </c>
      <c r="C825" s="3"/>
      <c r="D825" s="21"/>
      <c r="E825" s="21"/>
      <c r="F825" s="3" t="s">
        <v>78</v>
      </c>
      <c r="G825" s="3">
        <v>7</v>
      </c>
      <c r="H825" s="23"/>
      <c r="I825" s="124">
        <f t="shared" si="30"/>
        <v>0</v>
      </c>
      <c r="J825" s="21"/>
      <c r="K825" s="24" t="s">
        <v>1200</v>
      </c>
    </row>
    <row r="826" spans="1:11" ht="34.5" customHeight="1" x14ac:dyDescent="0.25">
      <c r="A826" s="25"/>
      <c r="B826" s="26" t="s">
        <v>1201</v>
      </c>
      <c r="C826" s="3"/>
      <c r="D826" s="21"/>
      <c r="E826" s="21"/>
      <c r="F826" s="3" t="s">
        <v>78</v>
      </c>
      <c r="G826" s="3">
        <v>2</v>
      </c>
      <c r="H826" s="23"/>
      <c r="I826" s="124">
        <f t="shared" si="30"/>
        <v>0</v>
      </c>
      <c r="J826" s="21"/>
      <c r="K826" s="24" t="s">
        <v>1202</v>
      </c>
    </row>
    <row r="827" spans="1:11" ht="34.5" customHeight="1" x14ac:dyDescent="0.25">
      <c r="A827" s="25"/>
      <c r="B827" s="26" t="s">
        <v>1203</v>
      </c>
      <c r="C827" s="3"/>
      <c r="D827" s="21"/>
      <c r="E827" s="21"/>
      <c r="F827" s="3" t="s">
        <v>78</v>
      </c>
      <c r="G827" s="3">
        <v>3</v>
      </c>
      <c r="H827" s="23"/>
      <c r="I827" s="124">
        <f t="shared" si="30"/>
        <v>0</v>
      </c>
      <c r="J827" s="21"/>
      <c r="K827" s="24" t="s">
        <v>1204</v>
      </c>
    </row>
    <row r="828" spans="1:11" ht="34.5" customHeight="1" x14ac:dyDescent="0.25">
      <c r="A828" s="25"/>
      <c r="B828" s="26" t="s">
        <v>1205</v>
      </c>
      <c r="C828" s="3"/>
      <c r="D828" s="21"/>
      <c r="E828" s="21"/>
      <c r="F828" s="3" t="s">
        <v>78</v>
      </c>
      <c r="G828" s="3">
        <v>4</v>
      </c>
      <c r="H828" s="23"/>
      <c r="I828" s="124">
        <f t="shared" si="30"/>
        <v>0</v>
      </c>
      <c r="J828" s="21"/>
      <c r="K828" s="24" t="s">
        <v>1206</v>
      </c>
    </row>
    <row r="829" spans="1:11" ht="34.5" customHeight="1" x14ac:dyDescent="0.25">
      <c r="A829" s="25"/>
      <c r="B829" s="26" t="s">
        <v>1207</v>
      </c>
      <c r="C829" s="3"/>
      <c r="D829" s="21"/>
      <c r="E829" s="21"/>
      <c r="F829" s="3" t="s">
        <v>78</v>
      </c>
      <c r="G829" s="3">
        <v>2</v>
      </c>
      <c r="H829" s="23"/>
      <c r="I829" s="124">
        <f t="shared" si="30"/>
        <v>0</v>
      </c>
      <c r="J829" s="21"/>
      <c r="K829" s="24" t="s">
        <v>1208</v>
      </c>
    </row>
    <row r="830" spans="1:11" ht="34.5" customHeight="1" x14ac:dyDescent="0.25">
      <c r="A830" s="25"/>
      <c r="B830" s="26" t="s">
        <v>1209</v>
      </c>
      <c r="C830" s="3"/>
      <c r="D830" s="21"/>
      <c r="E830" s="21"/>
      <c r="F830" s="3" t="s">
        <v>78</v>
      </c>
      <c r="G830" s="3">
        <v>1</v>
      </c>
      <c r="H830" s="23"/>
      <c r="I830" s="124">
        <f t="shared" si="30"/>
        <v>0</v>
      </c>
      <c r="J830" s="21"/>
      <c r="K830" s="24" t="s">
        <v>1210</v>
      </c>
    </row>
    <row r="831" spans="1:11" ht="34.5" customHeight="1" x14ac:dyDescent="0.25">
      <c r="A831" s="25"/>
      <c r="B831" s="26" t="s">
        <v>1211</v>
      </c>
      <c r="C831" s="3"/>
      <c r="D831" s="21"/>
      <c r="E831" s="21"/>
      <c r="F831" s="3" t="s">
        <v>78</v>
      </c>
      <c r="G831" s="3">
        <v>1</v>
      </c>
      <c r="H831" s="23"/>
      <c r="I831" s="124">
        <f t="shared" si="30"/>
        <v>0</v>
      </c>
      <c r="J831" s="21"/>
      <c r="K831" s="24" t="s">
        <v>1212</v>
      </c>
    </row>
    <row r="832" spans="1:11" ht="34.5" customHeight="1" x14ac:dyDescent="0.25">
      <c r="A832" s="25"/>
      <c r="B832" s="26" t="s">
        <v>1213</v>
      </c>
      <c r="C832" s="3"/>
      <c r="D832" s="21"/>
      <c r="E832" s="21"/>
      <c r="F832" s="3" t="s">
        <v>78</v>
      </c>
      <c r="G832" s="3">
        <v>1</v>
      </c>
      <c r="H832" s="23"/>
      <c r="I832" s="124">
        <f t="shared" si="30"/>
        <v>0</v>
      </c>
      <c r="J832" s="21"/>
      <c r="K832" s="24" t="s">
        <v>1214</v>
      </c>
    </row>
    <row r="833" spans="1:11" ht="34.5" customHeight="1" x14ac:dyDescent="0.25">
      <c r="A833" s="25"/>
      <c r="B833" s="26" t="s">
        <v>1215</v>
      </c>
      <c r="C833" s="3"/>
      <c r="D833" s="21"/>
      <c r="E833" s="21"/>
      <c r="F833" s="3" t="s">
        <v>78</v>
      </c>
      <c r="G833" s="3">
        <v>1</v>
      </c>
      <c r="H833" s="23"/>
      <c r="I833" s="124">
        <f t="shared" si="30"/>
        <v>0</v>
      </c>
      <c r="J833" s="21"/>
      <c r="K833" s="24" t="s">
        <v>1216</v>
      </c>
    </row>
    <row r="834" spans="1:11" ht="15.75" customHeight="1" x14ac:dyDescent="0.25">
      <c r="A834" s="25"/>
      <c r="B834" s="26" t="s">
        <v>1217</v>
      </c>
      <c r="C834" s="3"/>
      <c r="D834" s="21"/>
      <c r="E834" s="21"/>
      <c r="F834" s="3" t="s">
        <v>78</v>
      </c>
      <c r="G834" s="3">
        <v>2</v>
      </c>
      <c r="H834" s="23"/>
      <c r="I834" s="124">
        <f t="shared" si="30"/>
        <v>0</v>
      </c>
      <c r="J834" s="21"/>
      <c r="K834" s="24" t="s">
        <v>1218</v>
      </c>
    </row>
    <row r="835" spans="1:11" ht="15.75" customHeight="1" x14ac:dyDescent="0.25">
      <c r="A835" s="25"/>
      <c r="B835" s="26" t="s">
        <v>1219</v>
      </c>
      <c r="C835" s="3"/>
      <c r="D835" s="21"/>
      <c r="E835" s="21"/>
      <c r="F835" s="3" t="s">
        <v>78</v>
      </c>
      <c r="G835" s="3">
        <v>6</v>
      </c>
      <c r="H835" s="23"/>
      <c r="I835" s="124">
        <f t="shared" si="30"/>
        <v>0</v>
      </c>
      <c r="J835" s="21"/>
      <c r="K835" s="24" t="s">
        <v>1220</v>
      </c>
    </row>
    <row r="836" spans="1:11" ht="15.75" customHeight="1" x14ac:dyDescent="0.25">
      <c r="A836" s="25"/>
      <c r="B836" s="26" t="s">
        <v>1221</v>
      </c>
      <c r="C836" s="3"/>
      <c r="D836" s="21"/>
      <c r="E836" s="21"/>
      <c r="F836" s="3" t="s">
        <v>78</v>
      </c>
      <c r="G836" s="3">
        <v>18</v>
      </c>
      <c r="H836" s="23"/>
      <c r="I836" s="124">
        <f t="shared" si="30"/>
        <v>0</v>
      </c>
      <c r="J836" s="21"/>
      <c r="K836" s="24" t="s">
        <v>1135</v>
      </c>
    </row>
    <row r="837" spans="1:11" ht="15.75" customHeight="1" x14ac:dyDescent="0.25">
      <c r="A837" s="25"/>
      <c r="B837" s="26" t="s">
        <v>1222</v>
      </c>
      <c r="C837" s="3"/>
      <c r="D837" s="21"/>
      <c r="E837" s="21"/>
      <c r="F837" s="3" t="s">
        <v>78</v>
      </c>
      <c r="G837" s="3">
        <v>17</v>
      </c>
      <c r="H837" s="23"/>
      <c r="I837" s="124">
        <f t="shared" si="30"/>
        <v>0</v>
      </c>
      <c r="J837" s="21"/>
      <c r="K837" s="24" t="s">
        <v>1223</v>
      </c>
    </row>
    <row r="838" spans="1:11" ht="15.75" customHeight="1" x14ac:dyDescent="0.25">
      <c r="A838" s="25"/>
      <c r="B838" s="26" t="s">
        <v>1224</v>
      </c>
      <c r="C838" s="3"/>
      <c r="D838" s="21"/>
      <c r="E838" s="21"/>
      <c r="F838" s="3" t="s">
        <v>78</v>
      </c>
      <c r="G838" s="3">
        <v>33</v>
      </c>
      <c r="H838" s="23"/>
      <c r="I838" s="124">
        <f t="shared" si="30"/>
        <v>0</v>
      </c>
      <c r="J838" s="21"/>
      <c r="K838" s="24" t="s">
        <v>1225</v>
      </c>
    </row>
    <row r="839" spans="1:11" ht="34.5" customHeight="1" x14ac:dyDescent="0.25">
      <c r="A839" s="25"/>
      <c r="B839" s="26" t="s">
        <v>1226</v>
      </c>
      <c r="C839" s="3"/>
      <c r="D839" s="21"/>
      <c r="E839" s="21"/>
      <c r="F839" s="3" t="s">
        <v>78</v>
      </c>
      <c r="G839" s="3">
        <v>4</v>
      </c>
      <c r="H839" s="23"/>
      <c r="I839" s="124">
        <f t="shared" si="30"/>
        <v>0</v>
      </c>
      <c r="J839" s="21"/>
      <c r="K839" s="24" t="s">
        <v>1227</v>
      </c>
    </row>
    <row r="840" spans="1:11" ht="34.5" customHeight="1" x14ac:dyDescent="0.25">
      <c r="A840" s="25"/>
      <c r="B840" s="26" t="s">
        <v>1228</v>
      </c>
      <c r="C840" s="3"/>
      <c r="D840" s="21"/>
      <c r="E840" s="21"/>
      <c r="F840" s="3" t="s">
        <v>78</v>
      </c>
      <c r="G840" s="3">
        <v>8</v>
      </c>
      <c r="H840" s="23"/>
      <c r="I840" s="124">
        <f t="shared" si="30"/>
        <v>0</v>
      </c>
      <c r="J840" s="21"/>
      <c r="K840" s="24" t="s">
        <v>1229</v>
      </c>
    </row>
    <row r="841" spans="1:11" ht="34.5" customHeight="1" x14ac:dyDescent="0.25">
      <c r="A841" s="25"/>
      <c r="B841" s="26" t="s">
        <v>1230</v>
      </c>
      <c r="C841" s="3"/>
      <c r="D841" s="21"/>
      <c r="E841" s="21"/>
      <c r="F841" s="3" t="s">
        <v>78</v>
      </c>
      <c r="G841" s="3">
        <v>8</v>
      </c>
      <c r="H841" s="23"/>
      <c r="I841" s="124">
        <f t="shared" si="30"/>
        <v>0</v>
      </c>
      <c r="J841" s="21"/>
      <c r="K841" s="24" t="s">
        <v>1231</v>
      </c>
    </row>
    <row r="842" spans="1:11" ht="15.75" customHeight="1" x14ac:dyDescent="0.25">
      <c r="A842" s="25"/>
      <c r="B842" s="26" t="s">
        <v>1232</v>
      </c>
      <c r="C842" s="3"/>
      <c r="D842" s="21"/>
      <c r="E842" s="21"/>
      <c r="F842" s="3" t="s">
        <v>78</v>
      </c>
      <c r="G842" s="3">
        <v>1</v>
      </c>
      <c r="H842" s="23"/>
      <c r="I842" s="124">
        <f t="shared" si="30"/>
        <v>0</v>
      </c>
      <c r="J842" s="21"/>
      <c r="K842" s="24" t="s">
        <v>1233</v>
      </c>
    </row>
    <row r="843" spans="1:11" ht="34.5" customHeight="1" x14ac:dyDescent="0.25">
      <c r="A843" s="25"/>
      <c r="B843" s="26" t="s">
        <v>1234</v>
      </c>
      <c r="C843" s="3"/>
      <c r="D843" s="21"/>
      <c r="E843" s="21"/>
      <c r="F843" s="3" t="s">
        <v>78</v>
      </c>
      <c r="G843" s="3">
        <v>10</v>
      </c>
      <c r="H843" s="23"/>
      <c r="I843" s="124">
        <f t="shared" si="30"/>
        <v>0</v>
      </c>
      <c r="J843" s="21"/>
      <c r="K843" s="24" t="s">
        <v>1235</v>
      </c>
    </row>
    <row r="844" spans="1:11" ht="34.5" customHeight="1" x14ac:dyDescent="0.25">
      <c r="A844" s="25"/>
      <c r="B844" s="26" t="s">
        <v>1236</v>
      </c>
      <c r="C844" s="3"/>
      <c r="D844" s="21"/>
      <c r="E844" s="21"/>
      <c r="F844" s="3" t="s">
        <v>78</v>
      </c>
      <c r="G844" s="3">
        <v>4</v>
      </c>
      <c r="H844" s="23"/>
      <c r="I844" s="124">
        <f t="shared" si="30"/>
        <v>0</v>
      </c>
      <c r="J844" s="21"/>
      <c r="K844" s="24" t="s">
        <v>1237</v>
      </c>
    </row>
    <row r="845" spans="1:11" ht="34.5" customHeight="1" x14ac:dyDescent="0.25">
      <c r="A845" s="25"/>
      <c r="B845" s="26" t="s">
        <v>1238</v>
      </c>
      <c r="C845" s="3"/>
      <c r="D845" s="21"/>
      <c r="E845" s="21"/>
      <c r="F845" s="3" t="s">
        <v>78</v>
      </c>
      <c r="G845" s="3">
        <v>3</v>
      </c>
      <c r="H845" s="23"/>
      <c r="I845" s="124">
        <f t="shared" si="30"/>
        <v>0</v>
      </c>
      <c r="J845" s="21"/>
      <c r="K845" s="24" t="s">
        <v>1173</v>
      </c>
    </row>
    <row r="846" spans="1:11" ht="34.5" customHeight="1" x14ac:dyDescent="0.25">
      <c r="A846" s="25"/>
      <c r="B846" s="26" t="s">
        <v>1239</v>
      </c>
      <c r="C846" s="3"/>
      <c r="D846" s="21"/>
      <c r="E846" s="21"/>
      <c r="F846" s="3" t="s">
        <v>78</v>
      </c>
      <c r="G846" s="3">
        <v>2</v>
      </c>
      <c r="H846" s="23"/>
      <c r="I846" s="124">
        <f t="shared" si="30"/>
        <v>0</v>
      </c>
      <c r="J846" s="21"/>
      <c r="K846" s="24" t="s">
        <v>1127</v>
      </c>
    </row>
    <row r="847" spans="1:11" ht="34.5" customHeight="1" x14ac:dyDescent="0.25">
      <c r="A847" s="25"/>
      <c r="B847" s="26" t="s">
        <v>1240</v>
      </c>
      <c r="C847" s="3"/>
      <c r="D847" s="21"/>
      <c r="E847" s="21"/>
      <c r="F847" s="3" t="s">
        <v>78</v>
      </c>
      <c r="G847" s="3">
        <v>3</v>
      </c>
      <c r="H847" s="23"/>
      <c r="I847" s="124">
        <f t="shared" si="30"/>
        <v>0</v>
      </c>
      <c r="J847" s="21"/>
      <c r="K847" s="24" t="s">
        <v>1241</v>
      </c>
    </row>
    <row r="848" spans="1:11" ht="34.5" customHeight="1" x14ac:dyDescent="0.25">
      <c r="A848" s="25"/>
      <c r="B848" s="26" t="s">
        <v>1242</v>
      </c>
      <c r="C848" s="3"/>
      <c r="D848" s="21"/>
      <c r="E848" s="21"/>
      <c r="F848" s="3" t="s">
        <v>78</v>
      </c>
      <c r="G848" s="3">
        <v>14</v>
      </c>
      <c r="H848" s="23"/>
      <c r="I848" s="124">
        <f t="shared" si="30"/>
        <v>0</v>
      </c>
      <c r="J848" s="21"/>
      <c r="K848" s="24" t="s">
        <v>1243</v>
      </c>
    </row>
    <row r="849" spans="1:11" ht="34.5" customHeight="1" x14ac:dyDescent="0.25">
      <c r="A849" s="25"/>
      <c r="B849" s="26" t="s">
        <v>1244</v>
      </c>
      <c r="C849" s="3"/>
      <c r="D849" s="21"/>
      <c r="E849" s="21"/>
      <c r="F849" s="3" t="s">
        <v>78</v>
      </c>
      <c r="G849" s="3">
        <v>1</v>
      </c>
      <c r="H849" s="23"/>
      <c r="I849" s="124">
        <f t="shared" si="30"/>
        <v>0</v>
      </c>
      <c r="J849" s="21"/>
      <c r="K849" s="24" t="s">
        <v>1245</v>
      </c>
    </row>
    <row r="850" spans="1:11" ht="34.5" customHeight="1" x14ac:dyDescent="0.25">
      <c r="A850" s="25"/>
      <c r="B850" s="26" t="s">
        <v>1246</v>
      </c>
      <c r="C850" s="3"/>
      <c r="D850" s="21"/>
      <c r="E850" s="21"/>
      <c r="F850" s="3" t="s">
        <v>78</v>
      </c>
      <c r="G850" s="3">
        <v>10</v>
      </c>
      <c r="H850" s="23"/>
      <c r="I850" s="124">
        <f t="shared" ref="I850:I913" si="31">H850*G850</f>
        <v>0</v>
      </c>
      <c r="J850" s="21"/>
      <c r="K850" s="24" t="s">
        <v>1247</v>
      </c>
    </row>
    <row r="851" spans="1:11" ht="34.5" customHeight="1" x14ac:dyDescent="0.25">
      <c r="A851" s="25"/>
      <c r="B851" s="26" t="s">
        <v>1248</v>
      </c>
      <c r="C851" s="3"/>
      <c r="D851" s="21"/>
      <c r="E851" s="21"/>
      <c r="F851" s="3" t="s">
        <v>78</v>
      </c>
      <c r="G851" s="3">
        <v>20</v>
      </c>
      <c r="H851" s="23"/>
      <c r="I851" s="124">
        <f t="shared" si="31"/>
        <v>0</v>
      </c>
      <c r="J851" s="21"/>
      <c r="K851" s="24" t="s">
        <v>1249</v>
      </c>
    </row>
    <row r="852" spans="1:11" ht="34.5" customHeight="1" x14ac:dyDescent="0.25">
      <c r="A852" s="25"/>
      <c r="B852" s="26" t="s">
        <v>1250</v>
      </c>
      <c r="C852" s="3"/>
      <c r="D852" s="21"/>
      <c r="E852" s="21"/>
      <c r="F852" s="3" t="s">
        <v>78</v>
      </c>
      <c r="G852" s="3">
        <v>2</v>
      </c>
      <c r="H852" s="23"/>
      <c r="I852" s="124">
        <f t="shared" si="31"/>
        <v>0</v>
      </c>
      <c r="J852" s="21"/>
      <c r="K852" s="24" t="s">
        <v>1241</v>
      </c>
    </row>
    <row r="853" spans="1:11" ht="34.5" customHeight="1" x14ac:dyDescent="0.25">
      <c r="A853" s="25"/>
      <c r="B853" s="26" t="s">
        <v>1251</v>
      </c>
      <c r="C853" s="3"/>
      <c r="D853" s="21"/>
      <c r="E853" s="21"/>
      <c r="F853" s="3" t="s">
        <v>78</v>
      </c>
      <c r="G853" s="3">
        <v>1</v>
      </c>
      <c r="H853" s="23"/>
      <c r="I853" s="124">
        <f t="shared" si="31"/>
        <v>0</v>
      </c>
      <c r="J853" s="21"/>
      <c r="K853" s="24" t="s">
        <v>1252</v>
      </c>
    </row>
    <row r="854" spans="1:11" ht="34.5" customHeight="1" x14ac:dyDescent="0.25">
      <c r="A854" s="25"/>
      <c r="B854" s="26" t="s">
        <v>1253</v>
      </c>
      <c r="C854" s="3"/>
      <c r="D854" s="21"/>
      <c r="E854" s="21"/>
      <c r="F854" s="3" t="s">
        <v>78</v>
      </c>
      <c r="G854" s="3">
        <v>11</v>
      </c>
      <c r="H854" s="23"/>
      <c r="I854" s="124">
        <f t="shared" si="31"/>
        <v>0</v>
      </c>
      <c r="J854" s="21"/>
      <c r="K854" s="24" t="s">
        <v>1254</v>
      </c>
    </row>
    <row r="855" spans="1:11" ht="34.5" customHeight="1" x14ac:dyDescent="0.25">
      <c r="A855" s="25"/>
      <c r="B855" s="26" t="s">
        <v>1255</v>
      </c>
      <c r="C855" s="3"/>
      <c r="D855" s="21"/>
      <c r="E855" s="21"/>
      <c r="F855" s="3" t="s">
        <v>78</v>
      </c>
      <c r="G855" s="3">
        <v>5</v>
      </c>
      <c r="H855" s="23"/>
      <c r="I855" s="124">
        <f t="shared" si="31"/>
        <v>0</v>
      </c>
      <c r="J855" s="21"/>
      <c r="K855" s="24" t="s">
        <v>1256</v>
      </c>
    </row>
    <row r="856" spans="1:11" ht="34.5" customHeight="1" x14ac:dyDescent="0.25">
      <c r="A856" s="25"/>
      <c r="B856" s="26" t="s">
        <v>1257</v>
      </c>
      <c r="C856" s="3"/>
      <c r="D856" s="21"/>
      <c r="E856" s="21"/>
      <c r="F856" s="3" t="s">
        <v>78</v>
      </c>
      <c r="G856" s="3">
        <v>9</v>
      </c>
      <c r="H856" s="23"/>
      <c r="I856" s="124">
        <f t="shared" si="31"/>
        <v>0</v>
      </c>
      <c r="J856" s="21"/>
      <c r="K856" s="24" t="s">
        <v>1258</v>
      </c>
    </row>
    <row r="857" spans="1:11" ht="34.5" customHeight="1" x14ac:dyDescent="0.25">
      <c r="A857" s="25"/>
      <c r="B857" s="26" t="s">
        <v>1259</v>
      </c>
      <c r="C857" s="3"/>
      <c r="D857" s="21"/>
      <c r="E857" s="21"/>
      <c r="F857" s="3" t="s">
        <v>78</v>
      </c>
      <c r="G857" s="3">
        <v>12</v>
      </c>
      <c r="H857" s="23"/>
      <c r="I857" s="124">
        <f t="shared" si="31"/>
        <v>0</v>
      </c>
      <c r="J857" s="21"/>
      <c r="K857" s="24" t="s">
        <v>1191</v>
      </c>
    </row>
    <row r="858" spans="1:11" ht="34.5" customHeight="1" x14ac:dyDescent="0.25">
      <c r="A858" s="25"/>
      <c r="B858" s="26" t="s">
        <v>1260</v>
      </c>
      <c r="C858" s="3"/>
      <c r="D858" s="21"/>
      <c r="E858" s="21"/>
      <c r="F858" s="3" t="s">
        <v>78</v>
      </c>
      <c r="G858" s="3">
        <v>7</v>
      </c>
      <c r="H858" s="23"/>
      <c r="I858" s="124">
        <f t="shared" si="31"/>
        <v>0</v>
      </c>
      <c r="J858" s="21"/>
      <c r="K858" s="24" t="s">
        <v>1261</v>
      </c>
    </row>
    <row r="859" spans="1:11" ht="34.5" customHeight="1" x14ac:dyDescent="0.25">
      <c r="A859" s="25"/>
      <c r="B859" s="26" t="s">
        <v>1262</v>
      </c>
      <c r="C859" s="3"/>
      <c r="D859" s="21"/>
      <c r="E859" s="21"/>
      <c r="F859" s="3" t="s">
        <v>78</v>
      </c>
      <c r="G859" s="3">
        <v>3</v>
      </c>
      <c r="H859" s="23"/>
      <c r="I859" s="124">
        <f t="shared" si="31"/>
        <v>0</v>
      </c>
      <c r="J859" s="21"/>
      <c r="K859" s="24" t="s">
        <v>1263</v>
      </c>
    </row>
    <row r="860" spans="1:11" ht="34.5" customHeight="1" x14ac:dyDescent="0.25">
      <c r="A860" s="25"/>
      <c r="B860" s="26" t="s">
        <v>1264</v>
      </c>
      <c r="C860" s="3"/>
      <c r="D860" s="21"/>
      <c r="E860" s="21"/>
      <c r="F860" s="3" t="s">
        <v>78</v>
      </c>
      <c r="G860" s="3">
        <v>5</v>
      </c>
      <c r="H860" s="23"/>
      <c r="I860" s="124">
        <f t="shared" si="31"/>
        <v>0</v>
      </c>
      <c r="J860" s="21"/>
      <c r="K860" s="24" t="s">
        <v>1265</v>
      </c>
    </row>
    <row r="861" spans="1:11" ht="34.5" customHeight="1" x14ac:dyDescent="0.25">
      <c r="A861" s="25"/>
      <c r="B861" s="26" t="s">
        <v>1266</v>
      </c>
      <c r="C861" s="3"/>
      <c r="D861" s="21"/>
      <c r="E861" s="21"/>
      <c r="F861" s="3" t="s">
        <v>78</v>
      </c>
      <c r="G861" s="3">
        <v>2</v>
      </c>
      <c r="H861" s="23"/>
      <c r="I861" s="124">
        <f t="shared" si="31"/>
        <v>0</v>
      </c>
      <c r="J861" s="21"/>
      <c r="K861" s="24" t="s">
        <v>1267</v>
      </c>
    </row>
    <row r="862" spans="1:11" ht="34.5" customHeight="1" x14ac:dyDescent="0.25">
      <c r="A862" s="25"/>
      <c r="B862" s="26" t="s">
        <v>1268</v>
      </c>
      <c r="C862" s="3"/>
      <c r="D862" s="21"/>
      <c r="E862" s="21"/>
      <c r="F862" s="3" t="s">
        <v>78</v>
      </c>
      <c r="G862" s="3">
        <v>4</v>
      </c>
      <c r="H862" s="23"/>
      <c r="I862" s="124">
        <f t="shared" si="31"/>
        <v>0</v>
      </c>
      <c r="J862" s="21"/>
      <c r="K862" s="24" t="s">
        <v>1169</v>
      </c>
    </row>
    <row r="863" spans="1:11" ht="34.5" customHeight="1" x14ac:dyDescent="0.25">
      <c r="A863" s="25"/>
      <c r="B863" s="26" t="s">
        <v>1269</v>
      </c>
      <c r="C863" s="3"/>
      <c r="D863" s="21"/>
      <c r="E863" s="21"/>
      <c r="F863" s="3" t="s">
        <v>78</v>
      </c>
      <c r="G863" s="3">
        <v>2</v>
      </c>
      <c r="H863" s="23"/>
      <c r="I863" s="124">
        <f t="shared" si="31"/>
        <v>0</v>
      </c>
      <c r="J863" s="21"/>
      <c r="K863" s="24" t="s">
        <v>1241</v>
      </c>
    </row>
    <row r="864" spans="1:11" ht="34.5" customHeight="1" x14ac:dyDescent="0.25">
      <c r="A864" s="25"/>
      <c r="B864" s="26" t="s">
        <v>1270</v>
      </c>
      <c r="C864" s="3"/>
      <c r="D864" s="21"/>
      <c r="E864" s="21"/>
      <c r="F864" s="3" t="s">
        <v>78</v>
      </c>
      <c r="G864" s="3">
        <v>1</v>
      </c>
      <c r="H864" s="23"/>
      <c r="I864" s="124">
        <f t="shared" si="31"/>
        <v>0</v>
      </c>
      <c r="J864" s="21"/>
      <c r="K864" s="24" t="s">
        <v>1127</v>
      </c>
    </row>
    <row r="865" spans="1:11" ht="34.5" customHeight="1" x14ac:dyDescent="0.25">
      <c r="A865" s="25"/>
      <c r="B865" s="26" t="s">
        <v>1271</v>
      </c>
      <c r="C865" s="3"/>
      <c r="D865" s="21"/>
      <c r="E865" s="21"/>
      <c r="F865" s="3" t="s">
        <v>78</v>
      </c>
      <c r="G865" s="3">
        <v>1</v>
      </c>
      <c r="H865" s="23"/>
      <c r="I865" s="124">
        <f t="shared" si="31"/>
        <v>0</v>
      </c>
      <c r="J865" s="21"/>
      <c r="K865" s="24" t="s">
        <v>1272</v>
      </c>
    </row>
    <row r="866" spans="1:11" ht="34.5" customHeight="1" x14ac:dyDescent="0.25">
      <c r="A866" s="25"/>
      <c r="B866" s="26" t="s">
        <v>1273</v>
      </c>
      <c r="C866" s="3"/>
      <c r="D866" s="21"/>
      <c r="E866" s="21"/>
      <c r="F866" s="3" t="s">
        <v>78</v>
      </c>
      <c r="G866" s="3">
        <v>1</v>
      </c>
      <c r="H866" s="23"/>
      <c r="I866" s="124">
        <f t="shared" si="31"/>
        <v>0</v>
      </c>
      <c r="J866" s="21"/>
      <c r="K866" s="24" t="s">
        <v>1274</v>
      </c>
    </row>
    <row r="867" spans="1:11" ht="34.5" customHeight="1" x14ac:dyDescent="0.25">
      <c r="A867" s="25"/>
      <c r="B867" s="26" t="s">
        <v>1275</v>
      </c>
      <c r="C867" s="3"/>
      <c r="D867" s="21"/>
      <c r="E867" s="21"/>
      <c r="F867" s="3" t="s">
        <v>78</v>
      </c>
      <c r="G867" s="3">
        <v>1</v>
      </c>
      <c r="H867" s="23"/>
      <c r="I867" s="124">
        <f t="shared" si="31"/>
        <v>0</v>
      </c>
      <c r="J867" s="21"/>
      <c r="K867" s="24" t="s">
        <v>1276</v>
      </c>
    </row>
    <row r="868" spans="1:11" ht="34.5" customHeight="1" x14ac:dyDescent="0.25">
      <c r="A868" s="25"/>
      <c r="B868" s="26" t="s">
        <v>1277</v>
      </c>
      <c r="C868" s="3"/>
      <c r="D868" s="21"/>
      <c r="E868" s="21"/>
      <c r="F868" s="3" t="s">
        <v>78</v>
      </c>
      <c r="G868" s="3">
        <v>1</v>
      </c>
      <c r="H868" s="23"/>
      <c r="I868" s="124">
        <f t="shared" si="31"/>
        <v>0</v>
      </c>
      <c r="J868" s="21"/>
      <c r="K868" s="24" t="s">
        <v>1278</v>
      </c>
    </row>
    <row r="869" spans="1:11" ht="34.5" customHeight="1" x14ac:dyDescent="0.25">
      <c r="A869" s="25"/>
      <c r="B869" s="26" t="s">
        <v>1279</v>
      </c>
      <c r="C869" s="3"/>
      <c r="D869" s="21"/>
      <c r="E869" s="21"/>
      <c r="F869" s="3" t="s">
        <v>78</v>
      </c>
      <c r="G869" s="3">
        <v>2</v>
      </c>
      <c r="H869" s="23"/>
      <c r="I869" s="124">
        <f t="shared" si="31"/>
        <v>0</v>
      </c>
      <c r="J869" s="21"/>
      <c r="K869" s="24" t="s">
        <v>1280</v>
      </c>
    </row>
    <row r="870" spans="1:11" ht="34.5" customHeight="1" x14ac:dyDescent="0.25">
      <c r="A870" s="25"/>
      <c r="B870" s="26" t="s">
        <v>1281</v>
      </c>
      <c r="C870" s="3"/>
      <c r="D870" s="21"/>
      <c r="E870" s="21"/>
      <c r="F870" s="3" t="s">
        <v>78</v>
      </c>
      <c r="G870" s="3">
        <v>2</v>
      </c>
      <c r="H870" s="23"/>
      <c r="I870" s="124">
        <f t="shared" si="31"/>
        <v>0</v>
      </c>
      <c r="J870" s="21"/>
      <c r="K870" s="24" t="s">
        <v>1282</v>
      </c>
    </row>
    <row r="871" spans="1:11" ht="34.5" customHeight="1" x14ac:dyDescent="0.25">
      <c r="A871" s="25"/>
      <c r="B871" s="26" t="s">
        <v>1283</v>
      </c>
      <c r="C871" s="3"/>
      <c r="D871" s="21"/>
      <c r="E871" s="21"/>
      <c r="F871" s="3" t="s">
        <v>78</v>
      </c>
      <c r="G871" s="3">
        <v>2</v>
      </c>
      <c r="H871" s="23"/>
      <c r="I871" s="124">
        <f t="shared" si="31"/>
        <v>0</v>
      </c>
      <c r="J871" s="21"/>
      <c r="K871" s="24" t="s">
        <v>1284</v>
      </c>
    </row>
    <row r="872" spans="1:11" ht="34.5" customHeight="1" x14ac:dyDescent="0.25">
      <c r="A872" s="25"/>
      <c r="B872" s="26" t="s">
        <v>1285</v>
      </c>
      <c r="C872" s="3"/>
      <c r="D872" s="21"/>
      <c r="E872" s="21"/>
      <c r="F872" s="3" t="s">
        <v>78</v>
      </c>
      <c r="G872" s="3">
        <v>1</v>
      </c>
      <c r="H872" s="23"/>
      <c r="I872" s="124">
        <f t="shared" si="31"/>
        <v>0</v>
      </c>
      <c r="J872" s="21"/>
      <c r="K872" s="24" t="s">
        <v>1286</v>
      </c>
    </row>
    <row r="873" spans="1:11" ht="34.5" customHeight="1" x14ac:dyDescent="0.25">
      <c r="A873" s="25"/>
      <c r="B873" s="26" t="s">
        <v>1287</v>
      </c>
      <c r="C873" s="3"/>
      <c r="D873" s="21"/>
      <c r="E873" s="21"/>
      <c r="F873" s="3" t="s">
        <v>78</v>
      </c>
      <c r="G873" s="3">
        <v>2</v>
      </c>
      <c r="H873" s="23"/>
      <c r="I873" s="124">
        <f t="shared" si="31"/>
        <v>0</v>
      </c>
      <c r="J873" s="21"/>
      <c r="K873" s="24" t="s">
        <v>1288</v>
      </c>
    </row>
    <row r="874" spans="1:11" ht="34.5" customHeight="1" x14ac:dyDescent="0.25">
      <c r="A874" s="25"/>
      <c r="B874" s="26" t="s">
        <v>1289</v>
      </c>
      <c r="C874" s="3"/>
      <c r="D874" s="21"/>
      <c r="E874" s="21"/>
      <c r="F874" s="3" t="s">
        <v>78</v>
      </c>
      <c r="G874" s="3">
        <v>2</v>
      </c>
      <c r="H874" s="23"/>
      <c r="I874" s="124">
        <f t="shared" si="31"/>
        <v>0</v>
      </c>
      <c r="J874" s="21"/>
      <c r="K874" s="24" t="s">
        <v>1290</v>
      </c>
    </row>
    <row r="875" spans="1:11" ht="34.5" customHeight="1" x14ac:dyDescent="0.25">
      <c r="A875" s="25"/>
      <c r="B875" s="26" t="s">
        <v>1291</v>
      </c>
      <c r="C875" s="3"/>
      <c r="D875" s="21"/>
      <c r="E875" s="21"/>
      <c r="F875" s="3" t="s">
        <v>78</v>
      </c>
      <c r="G875" s="3">
        <v>2</v>
      </c>
      <c r="H875" s="23"/>
      <c r="I875" s="124">
        <f t="shared" si="31"/>
        <v>0</v>
      </c>
      <c r="J875" s="21"/>
      <c r="K875" s="24" t="s">
        <v>1292</v>
      </c>
    </row>
    <row r="876" spans="1:11" ht="34.5" customHeight="1" x14ac:dyDescent="0.25">
      <c r="A876" s="25"/>
      <c r="B876" s="26" t="s">
        <v>1293</v>
      </c>
      <c r="C876" s="3"/>
      <c r="D876" s="21"/>
      <c r="E876" s="21"/>
      <c r="F876" s="3" t="s">
        <v>78</v>
      </c>
      <c r="G876" s="3">
        <v>7</v>
      </c>
      <c r="H876" s="23"/>
      <c r="I876" s="124">
        <f t="shared" si="31"/>
        <v>0</v>
      </c>
      <c r="J876" s="21"/>
      <c r="K876" s="24" t="s">
        <v>1294</v>
      </c>
    </row>
    <row r="877" spans="1:11" ht="34.5" customHeight="1" x14ac:dyDescent="0.25">
      <c r="A877" s="25"/>
      <c r="B877" s="26" t="s">
        <v>1295</v>
      </c>
      <c r="C877" s="3"/>
      <c r="D877" s="21"/>
      <c r="E877" s="21"/>
      <c r="F877" s="3" t="s">
        <v>78</v>
      </c>
      <c r="G877" s="3">
        <v>4</v>
      </c>
      <c r="H877" s="23"/>
      <c r="I877" s="124">
        <f t="shared" si="31"/>
        <v>0</v>
      </c>
      <c r="J877" s="21"/>
      <c r="K877" s="24" t="s">
        <v>1296</v>
      </c>
    </row>
    <row r="878" spans="1:11" ht="34.5" customHeight="1" x14ac:dyDescent="0.25">
      <c r="A878" s="25"/>
      <c r="B878" s="26" t="s">
        <v>1297</v>
      </c>
      <c r="C878" s="3"/>
      <c r="D878" s="21"/>
      <c r="E878" s="21"/>
      <c r="F878" s="3" t="s">
        <v>78</v>
      </c>
      <c r="G878" s="3">
        <v>3</v>
      </c>
      <c r="H878" s="23"/>
      <c r="I878" s="124">
        <f t="shared" si="31"/>
        <v>0</v>
      </c>
      <c r="J878" s="21"/>
      <c r="K878" s="24" t="s">
        <v>1298</v>
      </c>
    </row>
    <row r="879" spans="1:11" ht="34.5" customHeight="1" x14ac:dyDescent="0.25">
      <c r="A879" s="25"/>
      <c r="B879" s="26" t="s">
        <v>1299</v>
      </c>
      <c r="C879" s="3"/>
      <c r="D879" s="21"/>
      <c r="E879" s="21"/>
      <c r="F879" s="3" t="s">
        <v>78</v>
      </c>
      <c r="G879" s="3">
        <v>2</v>
      </c>
      <c r="H879" s="23"/>
      <c r="I879" s="124">
        <f t="shared" si="31"/>
        <v>0</v>
      </c>
      <c r="J879" s="21"/>
      <c r="K879" s="24" t="s">
        <v>1210</v>
      </c>
    </row>
    <row r="880" spans="1:11" ht="34.5" customHeight="1" x14ac:dyDescent="0.25">
      <c r="A880" s="25"/>
      <c r="B880" s="26" t="s">
        <v>1300</v>
      </c>
      <c r="C880" s="3"/>
      <c r="D880" s="21"/>
      <c r="E880" s="21"/>
      <c r="F880" s="3" t="s">
        <v>78</v>
      </c>
      <c r="G880" s="3">
        <v>1</v>
      </c>
      <c r="H880" s="23"/>
      <c r="I880" s="124">
        <f t="shared" si="31"/>
        <v>0</v>
      </c>
      <c r="J880" s="21"/>
      <c r="K880" s="24" t="s">
        <v>1301</v>
      </c>
    </row>
    <row r="881" spans="1:11" ht="34.5" customHeight="1" x14ac:dyDescent="0.25">
      <c r="A881" s="25"/>
      <c r="B881" s="26" t="s">
        <v>1302</v>
      </c>
      <c r="C881" s="3"/>
      <c r="D881" s="21"/>
      <c r="E881" s="21"/>
      <c r="F881" s="3" t="s">
        <v>78</v>
      </c>
      <c r="G881" s="3">
        <v>2</v>
      </c>
      <c r="H881" s="23"/>
      <c r="I881" s="124">
        <f t="shared" si="31"/>
        <v>0</v>
      </c>
      <c r="J881" s="21"/>
      <c r="K881" s="24" t="s">
        <v>1303</v>
      </c>
    </row>
    <row r="882" spans="1:11" ht="34.5" customHeight="1" x14ac:dyDescent="0.25">
      <c r="A882" s="25"/>
      <c r="B882" s="26" t="s">
        <v>1304</v>
      </c>
      <c r="C882" s="3"/>
      <c r="D882" s="21"/>
      <c r="E882" s="21"/>
      <c r="F882" s="3" t="s">
        <v>78</v>
      </c>
      <c r="G882" s="3">
        <v>1</v>
      </c>
      <c r="H882" s="23"/>
      <c r="I882" s="124">
        <f t="shared" si="31"/>
        <v>0</v>
      </c>
      <c r="J882" s="21"/>
      <c r="K882" s="24" t="s">
        <v>1305</v>
      </c>
    </row>
    <row r="883" spans="1:11" ht="34.5" customHeight="1" x14ac:dyDescent="0.25">
      <c r="A883" s="25"/>
      <c r="B883" s="26" t="s">
        <v>1306</v>
      </c>
      <c r="C883" s="3"/>
      <c r="D883" s="21"/>
      <c r="E883" s="21"/>
      <c r="F883" s="3" t="s">
        <v>78</v>
      </c>
      <c r="G883" s="3">
        <v>2</v>
      </c>
      <c r="H883" s="23"/>
      <c r="I883" s="124">
        <f t="shared" si="31"/>
        <v>0</v>
      </c>
      <c r="J883" s="21"/>
      <c r="K883" s="24" t="s">
        <v>1307</v>
      </c>
    </row>
    <row r="884" spans="1:11" ht="34.5" customHeight="1" x14ac:dyDescent="0.25">
      <c r="A884" s="25"/>
      <c r="B884" s="26" t="s">
        <v>1308</v>
      </c>
      <c r="C884" s="3"/>
      <c r="D884" s="21"/>
      <c r="E884" s="21"/>
      <c r="F884" s="3" t="s">
        <v>78</v>
      </c>
      <c r="G884" s="3">
        <v>8</v>
      </c>
      <c r="H884" s="23"/>
      <c r="I884" s="124">
        <f t="shared" si="31"/>
        <v>0</v>
      </c>
      <c r="J884" s="21"/>
      <c r="K884" s="24" t="s">
        <v>1309</v>
      </c>
    </row>
    <row r="885" spans="1:11" ht="34.5" customHeight="1" x14ac:dyDescent="0.25">
      <c r="A885" s="25"/>
      <c r="B885" s="26" t="s">
        <v>1310</v>
      </c>
      <c r="C885" s="3"/>
      <c r="D885" s="21"/>
      <c r="E885" s="21"/>
      <c r="F885" s="3" t="s">
        <v>78</v>
      </c>
      <c r="G885" s="3">
        <v>2</v>
      </c>
      <c r="H885" s="23"/>
      <c r="I885" s="124">
        <f t="shared" si="31"/>
        <v>0</v>
      </c>
      <c r="J885" s="21"/>
      <c r="K885" s="24" t="s">
        <v>1311</v>
      </c>
    </row>
    <row r="886" spans="1:11" ht="34.5" customHeight="1" x14ac:dyDescent="0.25">
      <c r="A886" s="25"/>
      <c r="B886" s="26" t="s">
        <v>1312</v>
      </c>
      <c r="C886" s="3"/>
      <c r="D886" s="21"/>
      <c r="E886" s="21"/>
      <c r="F886" s="3" t="s">
        <v>78</v>
      </c>
      <c r="G886" s="3">
        <v>2</v>
      </c>
      <c r="H886" s="23"/>
      <c r="I886" s="124">
        <f t="shared" si="31"/>
        <v>0</v>
      </c>
      <c r="J886" s="21"/>
      <c r="K886" s="24" t="s">
        <v>1313</v>
      </c>
    </row>
    <row r="887" spans="1:11" ht="34.5" customHeight="1" x14ac:dyDescent="0.25">
      <c r="A887" s="25"/>
      <c r="B887" s="26" t="s">
        <v>1314</v>
      </c>
      <c r="C887" s="3"/>
      <c r="D887" s="21"/>
      <c r="E887" s="21"/>
      <c r="F887" s="3" t="s">
        <v>78</v>
      </c>
      <c r="G887" s="3">
        <v>2</v>
      </c>
      <c r="H887" s="23"/>
      <c r="I887" s="124">
        <f t="shared" si="31"/>
        <v>0</v>
      </c>
      <c r="J887" s="21"/>
      <c r="K887" s="24" t="s">
        <v>1315</v>
      </c>
    </row>
    <row r="888" spans="1:11" ht="34.5" customHeight="1" x14ac:dyDescent="0.25">
      <c r="A888" s="25"/>
      <c r="B888" s="26" t="s">
        <v>1316</v>
      </c>
      <c r="C888" s="3"/>
      <c r="D888" s="21"/>
      <c r="E888" s="21"/>
      <c r="F888" s="3" t="s">
        <v>78</v>
      </c>
      <c r="G888" s="3">
        <v>4</v>
      </c>
      <c r="H888" s="23"/>
      <c r="I888" s="124">
        <f t="shared" si="31"/>
        <v>0</v>
      </c>
      <c r="J888" s="21"/>
      <c r="K888" s="24" t="s">
        <v>1317</v>
      </c>
    </row>
    <row r="889" spans="1:11" ht="34.5" customHeight="1" x14ac:dyDescent="0.25">
      <c r="A889" s="25"/>
      <c r="B889" s="26" t="s">
        <v>1318</v>
      </c>
      <c r="C889" s="3"/>
      <c r="D889" s="21"/>
      <c r="E889" s="21"/>
      <c r="F889" s="3" t="s">
        <v>78</v>
      </c>
      <c r="G889" s="3">
        <v>8</v>
      </c>
      <c r="H889" s="23"/>
      <c r="I889" s="124">
        <f t="shared" si="31"/>
        <v>0</v>
      </c>
      <c r="J889" s="21"/>
      <c r="K889" s="24" t="s">
        <v>1319</v>
      </c>
    </row>
    <row r="890" spans="1:11" ht="34.5" customHeight="1" x14ac:dyDescent="0.25">
      <c r="A890" s="25"/>
      <c r="B890" s="26" t="s">
        <v>1320</v>
      </c>
      <c r="C890" s="3"/>
      <c r="D890" s="21"/>
      <c r="E890" s="21"/>
      <c r="F890" s="3" t="s">
        <v>78</v>
      </c>
      <c r="G890" s="3">
        <v>6</v>
      </c>
      <c r="H890" s="23"/>
      <c r="I890" s="124">
        <f t="shared" si="31"/>
        <v>0</v>
      </c>
      <c r="J890" s="21"/>
      <c r="K890" s="24" t="s">
        <v>1321</v>
      </c>
    </row>
    <row r="891" spans="1:11" ht="34.5" customHeight="1" x14ac:dyDescent="0.25">
      <c r="A891" s="25"/>
      <c r="B891" s="26" t="s">
        <v>1322</v>
      </c>
      <c r="C891" s="3"/>
      <c r="D891" s="21"/>
      <c r="E891" s="21"/>
      <c r="F891" s="3" t="s">
        <v>78</v>
      </c>
      <c r="G891" s="3">
        <v>4</v>
      </c>
      <c r="H891" s="23"/>
      <c r="I891" s="124">
        <f t="shared" si="31"/>
        <v>0</v>
      </c>
      <c r="J891" s="21"/>
      <c r="K891" s="24" t="s">
        <v>1323</v>
      </c>
    </row>
    <row r="892" spans="1:11" ht="34.5" customHeight="1" x14ac:dyDescent="0.25">
      <c r="A892" s="25"/>
      <c r="B892" s="26" t="s">
        <v>1324</v>
      </c>
      <c r="C892" s="3"/>
      <c r="D892" s="21"/>
      <c r="E892" s="21"/>
      <c r="F892" s="3" t="s">
        <v>78</v>
      </c>
      <c r="G892" s="3">
        <v>2</v>
      </c>
      <c r="H892" s="23"/>
      <c r="I892" s="124">
        <f t="shared" si="31"/>
        <v>0</v>
      </c>
      <c r="J892" s="21"/>
      <c r="K892" s="24" t="s">
        <v>1325</v>
      </c>
    </row>
    <row r="893" spans="1:11" ht="34.5" customHeight="1" x14ac:dyDescent="0.25">
      <c r="A893" s="25"/>
      <c r="B893" s="26" t="s">
        <v>1326</v>
      </c>
      <c r="C893" s="3"/>
      <c r="D893" s="21"/>
      <c r="E893" s="21"/>
      <c r="F893" s="3" t="s">
        <v>78</v>
      </c>
      <c r="G893" s="3">
        <v>11</v>
      </c>
      <c r="H893" s="23"/>
      <c r="I893" s="124">
        <f t="shared" si="31"/>
        <v>0</v>
      </c>
      <c r="J893" s="21"/>
      <c r="K893" s="24" t="s">
        <v>1327</v>
      </c>
    </row>
    <row r="894" spans="1:11" ht="34.5" customHeight="1" x14ac:dyDescent="0.25">
      <c r="A894" s="25"/>
      <c r="B894" s="26" t="s">
        <v>1326</v>
      </c>
      <c r="C894" s="3"/>
      <c r="D894" s="21"/>
      <c r="E894" s="21"/>
      <c r="F894" s="3" t="s">
        <v>78</v>
      </c>
      <c r="G894" s="3">
        <v>1</v>
      </c>
      <c r="H894" s="23"/>
      <c r="I894" s="124">
        <f t="shared" si="31"/>
        <v>0</v>
      </c>
      <c r="J894" s="21"/>
      <c r="K894" s="24" t="s">
        <v>1328</v>
      </c>
    </row>
    <row r="895" spans="1:11" ht="34.5" customHeight="1" x14ac:dyDescent="0.25">
      <c r="A895" s="25"/>
      <c r="B895" s="26" t="s">
        <v>1329</v>
      </c>
      <c r="C895" s="3"/>
      <c r="D895" s="21"/>
      <c r="E895" s="21"/>
      <c r="F895" s="3" t="s">
        <v>78</v>
      </c>
      <c r="G895" s="3">
        <v>4</v>
      </c>
      <c r="H895" s="23"/>
      <c r="I895" s="124">
        <f t="shared" si="31"/>
        <v>0</v>
      </c>
      <c r="J895" s="21"/>
      <c r="K895" s="24" t="s">
        <v>1330</v>
      </c>
    </row>
    <row r="896" spans="1:11" ht="34.5" customHeight="1" x14ac:dyDescent="0.25">
      <c r="A896" s="25"/>
      <c r="B896" s="26" t="s">
        <v>1331</v>
      </c>
      <c r="C896" s="3"/>
      <c r="D896" s="21"/>
      <c r="E896" s="21"/>
      <c r="F896" s="3" t="s">
        <v>78</v>
      </c>
      <c r="G896" s="3">
        <v>4</v>
      </c>
      <c r="H896" s="23"/>
      <c r="I896" s="124">
        <f t="shared" si="31"/>
        <v>0</v>
      </c>
      <c r="J896" s="21"/>
      <c r="K896" s="24" t="s">
        <v>1332</v>
      </c>
    </row>
    <row r="897" spans="1:11" ht="34.5" customHeight="1" x14ac:dyDescent="0.25">
      <c r="A897" s="25"/>
      <c r="B897" s="26" t="s">
        <v>1333</v>
      </c>
      <c r="C897" s="3"/>
      <c r="D897" s="21"/>
      <c r="E897" s="21"/>
      <c r="F897" s="3" t="s">
        <v>78</v>
      </c>
      <c r="G897" s="3">
        <v>6</v>
      </c>
      <c r="H897" s="23"/>
      <c r="I897" s="124">
        <f t="shared" si="31"/>
        <v>0</v>
      </c>
      <c r="J897" s="21"/>
      <c r="K897" s="24" t="s">
        <v>1334</v>
      </c>
    </row>
    <row r="898" spans="1:11" ht="34.5" customHeight="1" x14ac:dyDescent="0.25">
      <c r="A898" s="25"/>
      <c r="B898" s="26" t="s">
        <v>1335</v>
      </c>
      <c r="C898" s="3"/>
      <c r="D898" s="21"/>
      <c r="E898" s="21"/>
      <c r="F898" s="3" t="s">
        <v>78</v>
      </c>
      <c r="G898" s="3">
        <v>2</v>
      </c>
      <c r="H898" s="23"/>
      <c r="I898" s="124">
        <f t="shared" si="31"/>
        <v>0</v>
      </c>
      <c r="J898" s="21"/>
      <c r="K898" s="24" t="s">
        <v>1336</v>
      </c>
    </row>
    <row r="899" spans="1:11" ht="34.5" customHeight="1" x14ac:dyDescent="0.25">
      <c r="A899" s="25"/>
      <c r="B899" s="26" t="s">
        <v>1337</v>
      </c>
      <c r="C899" s="3"/>
      <c r="D899" s="21"/>
      <c r="E899" s="21"/>
      <c r="F899" s="3" t="s">
        <v>78</v>
      </c>
      <c r="G899" s="3">
        <v>1</v>
      </c>
      <c r="H899" s="23"/>
      <c r="I899" s="124">
        <f t="shared" si="31"/>
        <v>0</v>
      </c>
      <c r="J899" s="21"/>
      <c r="K899" s="24" t="s">
        <v>1338</v>
      </c>
    </row>
    <row r="900" spans="1:11" ht="34.5" customHeight="1" x14ac:dyDescent="0.25">
      <c r="A900" s="25"/>
      <c r="B900" s="26" t="s">
        <v>1339</v>
      </c>
      <c r="C900" s="3"/>
      <c r="D900" s="21"/>
      <c r="E900" s="21"/>
      <c r="F900" s="3" t="s">
        <v>78</v>
      </c>
      <c r="G900" s="3">
        <v>1</v>
      </c>
      <c r="H900" s="23"/>
      <c r="I900" s="124">
        <f t="shared" si="31"/>
        <v>0</v>
      </c>
      <c r="J900" s="21"/>
      <c r="K900" s="24" t="s">
        <v>1340</v>
      </c>
    </row>
    <row r="901" spans="1:11" ht="34.5" customHeight="1" x14ac:dyDescent="0.25">
      <c r="A901" s="25"/>
      <c r="B901" s="26" t="s">
        <v>1341</v>
      </c>
      <c r="C901" s="3"/>
      <c r="D901" s="21"/>
      <c r="E901" s="21"/>
      <c r="F901" s="3" t="s">
        <v>78</v>
      </c>
      <c r="G901" s="3">
        <v>4</v>
      </c>
      <c r="H901" s="23"/>
      <c r="I901" s="124">
        <f t="shared" si="31"/>
        <v>0</v>
      </c>
      <c r="J901" s="21"/>
      <c r="K901" s="24" t="s">
        <v>1342</v>
      </c>
    </row>
    <row r="902" spans="1:11" ht="34.5" customHeight="1" x14ac:dyDescent="0.25">
      <c r="A902" s="25"/>
      <c r="B902" s="26" t="s">
        <v>1343</v>
      </c>
      <c r="C902" s="3"/>
      <c r="D902" s="21"/>
      <c r="E902" s="21"/>
      <c r="F902" s="3" t="s">
        <v>78</v>
      </c>
      <c r="G902" s="3">
        <v>2</v>
      </c>
      <c r="H902" s="23"/>
      <c r="I902" s="124">
        <f t="shared" si="31"/>
        <v>0</v>
      </c>
      <c r="J902" s="21"/>
      <c r="K902" s="24" t="s">
        <v>1344</v>
      </c>
    </row>
    <row r="903" spans="1:11" ht="34.5" customHeight="1" x14ac:dyDescent="0.25">
      <c r="A903" s="25"/>
      <c r="B903" s="26" t="s">
        <v>1345</v>
      </c>
      <c r="C903" s="3"/>
      <c r="D903" s="21"/>
      <c r="E903" s="21"/>
      <c r="F903" s="3" t="s">
        <v>78</v>
      </c>
      <c r="G903" s="3">
        <v>2</v>
      </c>
      <c r="H903" s="23"/>
      <c r="I903" s="124">
        <f t="shared" si="31"/>
        <v>0</v>
      </c>
      <c r="J903" s="21"/>
      <c r="K903" s="24" t="s">
        <v>1346</v>
      </c>
    </row>
    <row r="904" spans="1:11" ht="34.5" customHeight="1" x14ac:dyDescent="0.25">
      <c r="A904" s="25"/>
      <c r="B904" s="26" t="s">
        <v>1347</v>
      </c>
      <c r="C904" s="3"/>
      <c r="D904" s="21"/>
      <c r="E904" s="21"/>
      <c r="F904" s="3" t="s">
        <v>78</v>
      </c>
      <c r="G904" s="3">
        <v>8</v>
      </c>
      <c r="H904" s="23"/>
      <c r="I904" s="124">
        <f t="shared" si="31"/>
        <v>0</v>
      </c>
      <c r="J904" s="21"/>
      <c r="K904" s="24" t="s">
        <v>1348</v>
      </c>
    </row>
    <row r="905" spans="1:11" ht="34.5" customHeight="1" x14ac:dyDescent="0.25">
      <c r="A905" s="25"/>
      <c r="B905" s="26" t="s">
        <v>1349</v>
      </c>
      <c r="C905" s="3"/>
      <c r="D905" s="21"/>
      <c r="E905" s="21"/>
      <c r="F905" s="3" t="s">
        <v>78</v>
      </c>
      <c r="G905" s="3">
        <v>1</v>
      </c>
      <c r="H905" s="23"/>
      <c r="I905" s="124">
        <f t="shared" si="31"/>
        <v>0</v>
      </c>
      <c r="J905" s="21"/>
      <c r="K905" s="24" t="s">
        <v>1149</v>
      </c>
    </row>
    <row r="906" spans="1:11" ht="34.5" customHeight="1" x14ac:dyDescent="0.25">
      <c r="A906" s="25"/>
      <c r="B906" s="26" t="s">
        <v>1350</v>
      </c>
      <c r="C906" s="3"/>
      <c r="D906" s="21"/>
      <c r="E906" s="21"/>
      <c r="F906" s="3" t="s">
        <v>78</v>
      </c>
      <c r="G906" s="3">
        <v>2</v>
      </c>
      <c r="H906" s="23"/>
      <c r="I906" s="124">
        <f t="shared" si="31"/>
        <v>0</v>
      </c>
      <c r="J906" s="21"/>
      <c r="K906" s="24" t="s">
        <v>1351</v>
      </c>
    </row>
    <row r="907" spans="1:11" ht="34.5" customHeight="1" x14ac:dyDescent="0.25">
      <c r="A907" s="25"/>
      <c r="B907" s="26" t="s">
        <v>1352</v>
      </c>
      <c r="C907" s="3"/>
      <c r="D907" s="21"/>
      <c r="E907" s="21"/>
      <c r="F907" s="3" t="s">
        <v>78</v>
      </c>
      <c r="G907" s="3">
        <v>2</v>
      </c>
      <c r="H907" s="23"/>
      <c r="I907" s="124">
        <f t="shared" si="31"/>
        <v>0</v>
      </c>
      <c r="J907" s="21"/>
      <c r="K907" s="24" t="s">
        <v>1353</v>
      </c>
    </row>
    <row r="908" spans="1:11" ht="34.5" customHeight="1" x14ac:dyDescent="0.25">
      <c r="A908" s="25"/>
      <c r="B908" s="26" t="s">
        <v>1354</v>
      </c>
      <c r="C908" s="3"/>
      <c r="D908" s="21"/>
      <c r="E908" s="21"/>
      <c r="F908" s="3" t="s">
        <v>78</v>
      </c>
      <c r="G908" s="3">
        <v>2</v>
      </c>
      <c r="H908" s="23"/>
      <c r="I908" s="124">
        <f t="shared" si="31"/>
        <v>0</v>
      </c>
      <c r="J908" s="21"/>
      <c r="K908" s="24" t="s">
        <v>1355</v>
      </c>
    </row>
    <row r="909" spans="1:11" ht="34.5" customHeight="1" x14ac:dyDescent="0.25">
      <c r="A909" s="25"/>
      <c r="B909" s="26" t="s">
        <v>1356</v>
      </c>
      <c r="C909" s="3"/>
      <c r="D909" s="21"/>
      <c r="E909" s="21"/>
      <c r="F909" s="3" t="s">
        <v>78</v>
      </c>
      <c r="G909" s="3">
        <v>2</v>
      </c>
      <c r="H909" s="23"/>
      <c r="I909" s="124">
        <f t="shared" si="31"/>
        <v>0</v>
      </c>
      <c r="J909" s="21"/>
      <c r="K909" s="24" t="s">
        <v>1357</v>
      </c>
    </row>
    <row r="910" spans="1:11" ht="34.5" customHeight="1" x14ac:dyDescent="0.25">
      <c r="A910" s="25"/>
      <c r="B910" s="26" t="s">
        <v>1358</v>
      </c>
      <c r="C910" s="3"/>
      <c r="D910" s="21"/>
      <c r="E910" s="21"/>
      <c r="F910" s="3" t="s">
        <v>78</v>
      </c>
      <c r="G910" s="3">
        <v>5</v>
      </c>
      <c r="H910" s="23"/>
      <c r="I910" s="124">
        <f t="shared" si="31"/>
        <v>0</v>
      </c>
      <c r="J910" s="21"/>
      <c r="K910" s="24" t="s">
        <v>1359</v>
      </c>
    </row>
    <row r="911" spans="1:11" ht="34.5" customHeight="1" x14ac:dyDescent="0.25">
      <c r="A911" s="25"/>
      <c r="B911" s="26" t="s">
        <v>1360</v>
      </c>
      <c r="C911" s="3"/>
      <c r="D911" s="21"/>
      <c r="E911" s="21"/>
      <c r="F911" s="3" t="s">
        <v>78</v>
      </c>
      <c r="G911" s="3">
        <v>4</v>
      </c>
      <c r="H911" s="23"/>
      <c r="I911" s="124">
        <f t="shared" si="31"/>
        <v>0</v>
      </c>
      <c r="J911" s="21"/>
      <c r="K911" s="24" t="s">
        <v>1361</v>
      </c>
    </row>
    <row r="912" spans="1:11" ht="34.5" customHeight="1" x14ac:dyDescent="0.25">
      <c r="A912" s="25"/>
      <c r="B912" s="26" t="s">
        <v>1362</v>
      </c>
      <c r="C912" s="3"/>
      <c r="D912" s="21"/>
      <c r="E912" s="21"/>
      <c r="F912" s="3" t="s">
        <v>78</v>
      </c>
      <c r="G912" s="3">
        <v>3</v>
      </c>
      <c r="H912" s="23"/>
      <c r="I912" s="124">
        <f t="shared" si="31"/>
        <v>0</v>
      </c>
      <c r="J912" s="21"/>
      <c r="K912" s="24" t="s">
        <v>1363</v>
      </c>
    </row>
    <row r="913" spans="1:11" ht="34.5" customHeight="1" x14ac:dyDescent="0.25">
      <c r="A913" s="25"/>
      <c r="B913" s="26" t="s">
        <v>1364</v>
      </c>
      <c r="C913" s="3"/>
      <c r="D913" s="21"/>
      <c r="E913" s="21"/>
      <c r="F913" s="3" t="s">
        <v>78</v>
      </c>
      <c r="G913" s="3">
        <v>4</v>
      </c>
      <c r="H913" s="23"/>
      <c r="I913" s="124">
        <f t="shared" si="31"/>
        <v>0</v>
      </c>
      <c r="J913" s="21"/>
      <c r="K913" s="24" t="s">
        <v>1365</v>
      </c>
    </row>
    <row r="914" spans="1:11" ht="34.5" customHeight="1" x14ac:dyDescent="0.25">
      <c r="A914" s="25"/>
      <c r="B914" s="26" t="s">
        <v>1366</v>
      </c>
      <c r="C914" s="3"/>
      <c r="D914" s="21"/>
      <c r="E914" s="21"/>
      <c r="F914" s="3" t="s">
        <v>78</v>
      </c>
      <c r="G914" s="3">
        <v>2</v>
      </c>
      <c r="H914" s="23"/>
      <c r="I914" s="124">
        <f t="shared" ref="I914:I977" si="32">H914*G914</f>
        <v>0</v>
      </c>
      <c r="J914" s="21"/>
      <c r="K914" s="24" t="s">
        <v>1367</v>
      </c>
    </row>
    <row r="915" spans="1:11" ht="34.5" customHeight="1" x14ac:dyDescent="0.25">
      <c r="A915" s="25"/>
      <c r="B915" s="26" t="s">
        <v>1368</v>
      </c>
      <c r="C915" s="3"/>
      <c r="D915" s="21"/>
      <c r="E915" s="21"/>
      <c r="F915" s="3" t="s">
        <v>78</v>
      </c>
      <c r="G915" s="3">
        <v>2</v>
      </c>
      <c r="H915" s="23"/>
      <c r="I915" s="124">
        <f t="shared" si="32"/>
        <v>0</v>
      </c>
      <c r="J915" s="21"/>
      <c r="K915" s="24" t="s">
        <v>1369</v>
      </c>
    </row>
    <row r="916" spans="1:11" ht="34.5" customHeight="1" x14ac:dyDescent="0.25">
      <c r="A916" s="25"/>
      <c r="B916" s="26" t="s">
        <v>1370</v>
      </c>
      <c r="C916" s="3"/>
      <c r="D916" s="21"/>
      <c r="E916" s="21"/>
      <c r="F916" s="3" t="s">
        <v>78</v>
      </c>
      <c r="G916" s="3">
        <v>2</v>
      </c>
      <c r="H916" s="23"/>
      <c r="I916" s="124">
        <f t="shared" si="32"/>
        <v>0</v>
      </c>
      <c r="J916" s="21"/>
      <c r="K916" s="24" t="s">
        <v>1371</v>
      </c>
    </row>
    <row r="917" spans="1:11" ht="34.5" customHeight="1" x14ac:dyDescent="0.25">
      <c r="A917" s="25"/>
      <c r="B917" s="26" t="s">
        <v>1372</v>
      </c>
      <c r="C917" s="3"/>
      <c r="D917" s="21"/>
      <c r="E917" s="21"/>
      <c r="F917" s="3" t="s">
        <v>78</v>
      </c>
      <c r="G917" s="3">
        <v>1</v>
      </c>
      <c r="H917" s="23"/>
      <c r="I917" s="124">
        <f t="shared" si="32"/>
        <v>0</v>
      </c>
      <c r="J917" s="21"/>
      <c r="K917" s="24" t="s">
        <v>1373</v>
      </c>
    </row>
    <row r="918" spans="1:11" ht="34.5" customHeight="1" x14ac:dyDescent="0.25">
      <c r="A918" s="25"/>
      <c r="B918" s="26" t="s">
        <v>1374</v>
      </c>
      <c r="C918" s="3"/>
      <c r="D918" s="21"/>
      <c r="E918" s="21"/>
      <c r="F918" s="3" t="s">
        <v>78</v>
      </c>
      <c r="G918" s="3">
        <v>1</v>
      </c>
      <c r="H918" s="23"/>
      <c r="I918" s="124">
        <f t="shared" si="32"/>
        <v>0</v>
      </c>
      <c r="J918" s="21"/>
      <c r="K918" s="24" t="s">
        <v>1375</v>
      </c>
    </row>
    <row r="919" spans="1:11" ht="34.5" customHeight="1" x14ac:dyDescent="0.25">
      <c r="A919" s="25"/>
      <c r="B919" s="26" t="s">
        <v>1376</v>
      </c>
      <c r="C919" s="3"/>
      <c r="D919" s="21"/>
      <c r="E919" s="21"/>
      <c r="F919" s="3" t="s">
        <v>78</v>
      </c>
      <c r="G919" s="3">
        <v>119</v>
      </c>
      <c r="H919" s="23"/>
      <c r="I919" s="124">
        <f t="shared" si="32"/>
        <v>0</v>
      </c>
      <c r="J919" s="21"/>
      <c r="K919" s="24" t="s">
        <v>1377</v>
      </c>
    </row>
    <row r="920" spans="1:11" ht="34.5" customHeight="1" x14ac:dyDescent="0.25">
      <c r="A920" s="25"/>
      <c r="B920" s="26" t="s">
        <v>1378</v>
      </c>
      <c r="C920" s="3"/>
      <c r="D920" s="21"/>
      <c r="E920" s="21"/>
      <c r="F920" s="3" t="s">
        <v>78</v>
      </c>
      <c r="G920" s="3">
        <v>96</v>
      </c>
      <c r="H920" s="23"/>
      <c r="I920" s="124">
        <f t="shared" si="32"/>
        <v>0</v>
      </c>
      <c r="J920" s="21"/>
      <c r="K920" s="24" t="s">
        <v>1379</v>
      </c>
    </row>
    <row r="921" spans="1:11" ht="34.5" customHeight="1" x14ac:dyDescent="0.25">
      <c r="A921" s="25"/>
      <c r="B921" s="26" t="s">
        <v>1380</v>
      </c>
      <c r="C921" s="3"/>
      <c r="D921" s="21"/>
      <c r="E921" s="21"/>
      <c r="F921" s="3" t="s">
        <v>78</v>
      </c>
      <c r="G921" s="3">
        <v>53</v>
      </c>
      <c r="H921" s="23"/>
      <c r="I921" s="124">
        <f t="shared" si="32"/>
        <v>0</v>
      </c>
      <c r="J921" s="21"/>
      <c r="K921" s="24" t="s">
        <v>1381</v>
      </c>
    </row>
    <row r="922" spans="1:11" ht="34.5" customHeight="1" x14ac:dyDescent="0.25">
      <c r="A922" s="25"/>
      <c r="B922" s="26" t="s">
        <v>1382</v>
      </c>
      <c r="C922" s="3"/>
      <c r="D922" s="21"/>
      <c r="E922" s="21"/>
      <c r="F922" s="3" t="s">
        <v>78</v>
      </c>
      <c r="G922" s="3">
        <v>9</v>
      </c>
      <c r="H922" s="23"/>
      <c r="I922" s="124">
        <f t="shared" si="32"/>
        <v>0</v>
      </c>
      <c r="J922" s="21"/>
      <c r="K922" s="24" t="s">
        <v>1383</v>
      </c>
    </row>
    <row r="923" spans="1:11" ht="34.5" customHeight="1" x14ac:dyDescent="0.25">
      <c r="A923" s="25"/>
      <c r="B923" s="26" t="s">
        <v>1384</v>
      </c>
      <c r="C923" s="3"/>
      <c r="D923" s="21"/>
      <c r="E923" s="21"/>
      <c r="F923" s="3" t="s">
        <v>78</v>
      </c>
      <c r="G923" s="3">
        <v>5</v>
      </c>
      <c r="H923" s="23"/>
      <c r="I923" s="124">
        <f t="shared" si="32"/>
        <v>0</v>
      </c>
      <c r="J923" s="21"/>
      <c r="K923" s="24" t="s">
        <v>1385</v>
      </c>
    </row>
    <row r="924" spans="1:11" ht="34.5" customHeight="1" x14ac:dyDescent="0.25">
      <c r="A924" s="25"/>
      <c r="B924" s="26" t="s">
        <v>1378</v>
      </c>
      <c r="C924" s="3"/>
      <c r="D924" s="21"/>
      <c r="E924" s="21"/>
      <c r="F924" s="3" t="s">
        <v>78</v>
      </c>
      <c r="G924" s="3">
        <v>4</v>
      </c>
      <c r="H924" s="23"/>
      <c r="I924" s="124">
        <f t="shared" si="32"/>
        <v>0</v>
      </c>
      <c r="J924" s="21"/>
      <c r="K924" s="24" t="s">
        <v>1386</v>
      </c>
    </row>
    <row r="925" spans="1:11" ht="34.5" customHeight="1" x14ac:dyDescent="0.25">
      <c r="A925" s="25"/>
      <c r="B925" s="26" t="s">
        <v>1387</v>
      </c>
      <c r="C925" s="3"/>
      <c r="D925" s="21"/>
      <c r="E925" s="21"/>
      <c r="F925" s="3" t="s">
        <v>78</v>
      </c>
      <c r="G925" s="3">
        <v>88</v>
      </c>
      <c r="H925" s="23"/>
      <c r="I925" s="124">
        <f t="shared" si="32"/>
        <v>0</v>
      </c>
      <c r="J925" s="21"/>
      <c r="K925" s="24" t="s">
        <v>1388</v>
      </c>
    </row>
    <row r="926" spans="1:11" ht="34.5" customHeight="1" x14ac:dyDescent="0.25">
      <c r="A926" s="25"/>
      <c r="B926" s="26" t="s">
        <v>1387</v>
      </c>
      <c r="C926" s="3"/>
      <c r="D926" s="21"/>
      <c r="E926" s="21"/>
      <c r="F926" s="3" t="s">
        <v>78</v>
      </c>
      <c r="G926" s="3">
        <v>2</v>
      </c>
      <c r="H926" s="23"/>
      <c r="I926" s="124">
        <f t="shared" si="32"/>
        <v>0</v>
      </c>
      <c r="J926" s="21"/>
      <c r="K926" s="24" t="s">
        <v>1389</v>
      </c>
    </row>
    <row r="927" spans="1:11" ht="34.5" customHeight="1" x14ac:dyDescent="0.25">
      <c r="A927" s="25"/>
      <c r="B927" s="26" t="s">
        <v>1380</v>
      </c>
      <c r="C927" s="3"/>
      <c r="D927" s="21"/>
      <c r="E927" s="21"/>
      <c r="F927" s="3" t="s">
        <v>78</v>
      </c>
      <c r="G927" s="3">
        <v>1</v>
      </c>
      <c r="H927" s="23"/>
      <c r="I927" s="124">
        <f t="shared" si="32"/>
        <v>0</v>
      </c>
      <c r="J927" s="21"/>
      <c r="K927" s="24" t="s">
        <v>1390</v>
      </c>
    </row>
    <row r="928" spans="1:11" ht="34.5" customHeight="1" x14ac:dyDescent="0.25">
      <c r="A928" s="25"/>
      <c r="B928" s="26" t="s">
        <v>1391</v>
      </c>
      <c r="C928" s="3"/>
      <c r="D928" s="21"/>
      <c r="E928" s="21"/>
      <c r="F928" s="3" t="s">
        <v>78</v>
      </c>
      <c r="G928" s="3">
        <v>68</v>
      </c>
      <c r="H928" s="23"/>
      <c r="I928" s="124">
        <f t="shared" si="32"/>
        <v>0</v>
      </c>
      <c r="J928" s="21"/>
      <c r="K928" s="24" t="s">
        <v>1392</v>
      </c>
    </row>
    <row r="929" spans="1:11" ht="34.5" customHeight="1" x14ac:dyDescent="0.25">
      <c r="A929" s="25"/>
      <c r="B929" s="26" t="s">
        <v>1391</v>
      </c>
      <c r="C929" s="3"/>
      <c r="D929" s="21"/>
      <c r="E929" s="21"/>
      <c r="F929" s="3" t="s">
        <v>78</v>
      </c>
      <c r="G929" s="3">
        <v>7</v>
      </c>
      <c r="H929" s="23"/>
      <c r="I929" s="124">
        <f t="shared" si="32"/>
        <v>0</v>
      </c>
      <c r="J929" s="21"/>
      <c r="K929" s="24" t="s">
        <v>1393</v>
      </c>
    </row>
    <row r="930" spans="1:11" ht="34.5" customHeight="1" x14ac:dyDescent="0.25">
      <c r="A930" s="25"/>
      <c r="B930" s="26" t="s">
        <v>1394</v>
      </c>
      <c r="C930" s="3"/>
      <c r="D930" s="21"/>
      <c r="E930" s="21"/>
      <c r="F930" s="3" t="s">
        <v>78</v>
      </c>
      <c r="G930" s="3">
        <v>14</v>
      </c>
      <c r="H930" s="23"/>
      <c r="I930" s="124">
        <f t="shared" si="32"/>
        <v>0</v>
      </c>
      <c r="J930" s="21"/>
      <c r="K930" s="24" t="s">
        <v>1395</v>
      </c>
    </row>
    <row r="931" spans="1:11" ht="34.5" customHeight="1" x14ac:dyDescent="0.25">
      <c r="A931" s="25"/>
      <c r="B931" s="26" t="s">
        <v>1394</v>
      </c>
      <c r="C931" s="3"/>
      <c r="D931" s="21"/>
      <c r="E931" s="21"/>
      <c r="F931" s="3" t="s">
        <v>78</v>
      </c>
      <c r="G931" s="3">
        <v>3</v>
      </c>
      <c r="H931" s="23"/>
      <c r="I931" s="124">
        <f t="shared" si="32"/>
        <v>0</v>
      </c>
      <c r="J931" s="21"/>
      <c r="K931" s="24" t="s">
        <v>1396</v>
      </c>
    </row>
    <row r="932" spans="1:11" ht="34.5" customHeight="1" x14ac:dyDescent="0.25">
      <c r="A932" s="25"/>
      <c r="B932" s="26" t="s">
        <v>1397</v>
      </c>
      <c r="C932" s="3"/>
      <c r="D932" s="21"/>
      <c r="E932" s="21"/>
      <c r="F932" s="3" t="s">
        <v>78</v>
      </c>
      <c r="G932" s="3">
        <v>1</v>
      </c>
      <c r="H932" s="23"/>
      <c r="I932" s="124">
        <f t="shared" si="32"/>
        <v>0</v>
      </c>
      <c r="J932" s="21"/>
      <c r="K932" s="24" t="s">
        <v>1398</v>
      </c>
    </row>
    <row r="933" spans="1:11" ht="34.5" customHeight="1" x14ac:dyDescent="0.25">
      <c r="A933" s="25"/>
      <c r="B933" s="26" t="s">
        <v>1399</v>
      </c>
      <c r="C933" s="3"/>
      <c r="D933" s="21"/>
      <c r="E933" s="21"/>
      <c r="F933" s="3" t="s">
        <v>78</v>
      </c>
      <c r="G933" s="3">
        <v>4</v>
      </c>
      <c r="H933" s="23"/>
      <c r="I933" s="124">
        <f t="shared" si="32"/>
        <v>0</v>
      </c>
      <c r="J933" s="21"/>
      <c r="K933" s="24" t="s">
        <v>1400</v>
      </c>
    </row>
    <row r="934" spans="1:11" ht="34.5" customHeight="1" x14ac:dyDescent="0.25">
      <c r="A934" s="25"/>
      <c r="B934" s="26" t="s">
        <v>1401</v>
      </c>
      <c r="C934" s="3"/>
      <c r="D934" s="21"/>
      <c r="E934" s="21"/>
      <c r="F934" s="3" t="s">
        <v>78</v>
      </c>
      <c r="G934" s="3">
        <v>7</v>
      </c>
      <c r="H934" s="23"/>
      <c r="I934" s="124">
        <f t="shared" si="32"/>
        <v>0</v>
      </c>
      <c r="J934" s="21"/>
      <c r="K934" s="24" t="s">
        <v>1402</v>
      </c>
    </row>
    <row r="935" spans="1:11" ht="34.5" customHeight="1" x14ac:dyDescent="0.25">
      <c r="A935" s="25"/>
      <c r="B935" s="26" t="s">
        <v>1403</v>
      </c>
      <c r="C935" s="3"/>
      <c r="D935" s="21"/>
      <c r="E935" s="21"/>
      <c r="F935" s="3" t="s">
        <v>78</v>
      </c>
      <c r="G935" s="3">
        <v>13</v>
      </c>
      <c r="H935" s="23"/>
      <c r="I935" s="124">
        <f t="shared" si="32"/>
        <v>0</v>
      </c>
      <c r="J935" s="21"/>
      <c r="K935" s="24" t="s">
        <v>1404</v>
      </c>
    </row>
    <row r="936" spans="1:11" ht="34.5" customHeight="1" x14ac:dyDescent="0.25">
      <c r="A936" s="25"/>
      <c r="B936" s="26" t="s">
        <v>1405</v>
      </c>
      <c r="C936" s="3"/>
      <c r="D936" s="21"/>
      <c r="E936" s="21"/>
      <c r="F936" s="3" t="s">
        <v>78</v>
      </c>
      <c r="G936" s="3">
        <v>6</v>
      </c>
      <c r="H936" s="23"/>
      <c r="I936" s="124">
        <f t="shared" si="32"/>
        <v>0</v>
      </c>
      <c r="J936" s="21"/>
      <c r="K936" s="24" t="s">
        <v>1406</v>
      </c>
    </row>
    <row r="937" spans="1:11" ht="34.5" customHeight="1" x14ac:dyDescent="0.25">
      <c r="A937" s="25"/>
      <c r="B937" s="26" t="s">
        <v>1407</v>
      </c>
      <c r="C937" s="3"/>
      <c r="D937" s="21"/>
      <c r="E937" s="21"/>
      <c r="F937" s="3" t="s">
        <v>78</v>
      </c>
      <c r="G937" s="3">
        <v>2</v>
      </c>
      <c r="H937" s="23"/>
      <c r="I937" s="124">
        <f t="shared" si="32"/>
        <v>0</v>
      </c>
      <c r="J937" s="21"/>
      <c r="K937" s="24" t="s">
        <v>1229</v>
      </c>
    </row>
    <row r="938" spans="1:11" ht="34.5" customHeight="1" x14ac:dyDescent="0.25">
      <c r="A938" s="25"/>
      <c r="B938" s="26" t="s">
        <v>1408</v>
      </c>
      <c r="C938" s="3"/>
      <c r="D938" s="21"/>
      <c r="E938" s="21"/>
      <c r="F938" s="3" t="s">
        <v>78</v>
      </c>
      <c r="G938" s="3">
        <v>9</v>
      </c>
      <c r="H938" s="23"/>
      <c r="I938" s="124">
        <f t="shared" si="32"/>
        <v>0</v>
      </c>
      <c r="J938" s="21"/>
      <c r="K938" s="24" t="s">
        <v>1409</v>
      </c>
    </row>
    <row r="939" spans="1:11" ht="34.5" customHeight="1" x14ac:dyDescent="0.25">
      <c r="A939" s="25"/>
      <c r="B939" s="26" t="s">
        <v>1410</v>
      </c>
      <c r="C939" s="3"/>
      <c r="D939" s="21"/>
      <c r="E939" s="21"/>
      <c r="F939" s="3" t="s">
        <v>78</v>
      </c>
      <c r="G939" s="3">
        <v>3</v>
      </c>
      <c r="H939" s="23"/>
      <c r="I939" s="124">
        <f t="shared" si="32"/>
        <v>0</v>
      </c>
      <c r="J939" s="21"/>
      <c r="K939" s="24" t="s">
        <v>1411</v>
      </c>
    </row>
    <row r="940" spans="1:11" ht="34.5" customHeight="1" x14ac:dyDescent="0.25">
      <c r="A940" s="25"/>
      <c r="B940" s="26" t="s">
        <v>1412</v>
      </c>
      <c r="C940" s="3"/>
      <c r="D940" s="21"/>
      <c r="E940" s="21"/>
      <c r="F940" s="3" t="s">
        <v>78</v>
      </c>
      <c r="G940" s="3">
        <v>4</v>
      </c>
      <c r="H940" s="23"/>
      <c r="I940" s="124">
        <f t="shared" si="32"/>
        <v>0</v>
      </c>
      <c r="J940" s="21"/>
      <c r="K940" s="24" t="s">
        <v>1413</v>
      </c>
    </row>
    <row r="941" spans="1:11" ht="34.5" customHeight="1" x14ac:dyDescent="0.25">
      <c r="A941" s="25"/>
      <c r="B941" s="26" t="s">
        <v>1414</v>
      </c>
      <c r="C941" s="3"/>
      <c r="D941" s="21"/>
      <c r="E941" s="21"/>
      <c r="F941" s="3" t="s">
        <v>78</v>
      </c>
      <c r="G941" s="3">
        <v>19</v>
      </c>
      <c r="H941" s="23"/>
      <c r="I941" s="124">
        <f t="shared" si="32"/>
        <v>0</v>
      </c>
      <c r="J941" s="21"/>
      <c r="K941" s="24" t="s">
        <v>1415</v>
      </c>
    </row>
    <row r="942" spans="1:11" ht="34.5" customHeight="1" x14ac:dyDescent="0.25">
      <c r="A942" s="25"/>
      <c r="B942" s="26" t="s">
        <v>1416</v>
      </c>
      <c r="C942" s="3"/>
      <c r="D942" s="21"/>
      <c r="E942" s="21"/>
      <c r="F942" s="3" t="s">
        <v>78</v>
      </c>
      <c r="G942" s="3">
        <v>8</v>
      </c>
      <c r="H942" s="23"/>
      <c r="I942" s="124">
        <f t="shared" si="32"/>
        <v>0</v>
      </c>
      <c r="J942" s="21"/>
      <c r="K942" s="24" t="s">
        <v>1417</v>
      </c>
    </row>
    <row r="943" spans="1:11" ht="34.5" customHeight="1" x14ac:dyDescent="0.25">
      <c r="A943" s="25"/>
      <c r="B943" s="26" t="s">
        <v>1418</v>
      </c>
      <c r="C943" s="3"/>
      <c r="D943" s="21"/>
      <c r="E943" s="21"/>
      <c r="F943" s="3" t="s">
        <v>78</v>
      </c>
      <c r="G943" s="3">
        <v>1</v>
      </c>
      <c r="H943" s="23"/>
      <c r="I943" s="124">
        <f t="shared" si="32"/>
        <v>0</v>
      </c>
      <c r="J943" s="21"/>
      <c r="K943" s="24" t="s">
        <v>1169</v>
      </c>
    </row>
    <row r="944" spans="1:11" ht="34.5" customHeight="1" x14ac:dyDescent="0.25">
      <c r="A944" s="25"/>
      <c r="B944" s="26" t="s">
        <v>1419</v>
      </c>
      <c r="C944" s="3"/>
      <c r="D944" s="21"/>
      <c r="E944" s="21"/>
      <c r="F944" s="3" t="s">
        <v>78</v>
      </c>
      <c r="G944" s="3">
        <v>20</v>
      </c>
      <c r="H944" s="23"/>
      <c r="I944" s="124">
        <f t="shared" si="32"/>
        <v>0</v>
      </c>
      <c r="J944" s="21"/>
      <c r="K944" s="24" t="s">
        <v>1049</v>
      </c>
    </row>
    <row r="945" spans="1:11" ht="34.5" customHeight="1" x14ac:dyDescent="0.25">
      <c r="A945" s="25"/>
      <c r="B945" s="26" t="s">
        <v>1420</v>
      </c>
      <c r="C945" s="3"/>
      <c r="D945" s="21"/>
      <c r="E945" s="21"/>
      <c r="F945" s="3" t="s">
        <v>78</v>
      </c>
      <c r="G945" s="3">
        <v>6</v>
      </c>
      <c r="H945" s="23"/>
      <c r="I945" s="124">
        <f t="shared" si="32"/>
        <v>0</v>
      </c>
      <c r="J945" s="21"/>
      <c r="K945" s="24" t="s">
        <v>1421</v>
      </c>
    </row>
    <row r="946" spans="1:11" ht="34.5" customHeight="1" x14ac:dyDescent="0.25">
      <c r="A946" s="25"/>
      <c r="B946" s="26" t="s">
        <v>1422</v>
      </c>
      <c r="C946" s="3"/>
      <c r="D946" s="21"/>
      <c r="E946" s="21"/>
      <c r="F946" s="3" t="s">
        <v>78</v>
      </c>
      <c r="G946" s="3">
        <v>4</v>
      </c>
      <c r="H946" s="23"/>
      <c r="I946" s="124">
        <f t="shared" si="32"/>
        <v>0</v>
      </c>
      <c r="J946" s="21"/>
      <c r="K946" s="24" t="s">
        <v>1423</v>
      </c>
    </row>
    <row r="947" spans="1:11" ht="34.5" customHeight="1" x14ac:dyDescent="0.25">
      <c r="A947" s="25"/>
      <c r="B947" s="26" t="s">
        <v>1424</v>
      </c>
      <c r="C947" s="3"/>
      <c r="D947" s="21"/>
      <c r="E947" s="21"/>
      <c r="F947" s="3" t="s">
        <v>78</v>
      </c>
      <c r="G947" s="3">
        <v>3</v>
      </c>
      <c r="H947" s="23"/>
      <c r="I947" s="124">
        <f t="shared" si="32"/>
        <v>0</v>
      </c>
      <c r="J947" s="21"/>
      <c r="K947" s="24" t="s">
        <v>1425</v>
      </c>
    </row>
    <row r="948" spans="1:11" ht="34.5" customHeight="1" x14ac:dyDescent="0.25">
      <c r="A948" s="25"/>
      <c r="B948" s="26" t="s">
        <v>1426</v>
      </c>
      <c r="C948" s="3"/>
      <c r="D948" s="21"/>
      <c r="E948" s="21"/>
      <c r="F948" s="3" t="s">
        <v>78</v>
      </c>
      <c r="G948" s="3">
        <v>1</v>
      </c>
      <c r="H948" s="23"/>
      <c r="I948" s="124">
        <f t="shared" si="32"/>
        <v>0</v>
      </c>
      <c r="J948" s="21"/>
      <c r="K948" s="24" t="s">
        <v>1427</v>
      </c>
    </row>
    <row r="949" spans="1:11" ht="34.5" customHeight="1" x14ac:dyDescent="0.25">
      <c r="A949" s="25"/>
      <c r="B949" s="26" t="s">
        <v>1428</v>
      </c>
      <c r="C949" s="3"/>
      <c r="D949" s="21"/>
      <c r="E949" s="21"/>
      <c r="F949" s="3" t="s">
        <v>78</v>
      </c>
      <c r="G949" s="3">
        <v>5</v>
      </c>
      <c r="H949" s="23"/>
      <c r="I949" s="124">
        <f t="shared" si="32"/>
        <v>0</v>
      </c>
      <c r="J949" s="21"/>
      <c r="K949" s="24" t="s">
        <v>1429</v>
      </c>
    </row>
    <row r="950" spans="1:11" ht="34.5" customHeight="1" x14ac:dyDescent="0.25">
      <c r="A950" s="25"/>
      <c r="B950" s="26" t="s">
        <v>1430</v>
      </c>
      <c r="C950" s="3"/>
      <c r="D950" s="21"/>
      <c r="E950" s="21"/>
      <c r="F950" s="3" t="s">
        <v>78</v>
      </c>
      <c r="G950" s="3">
        <v>1</v>
      </c>
      <c r="H950" s="23"/>
      <c r="I950" s="124">
        <f t="shared" si="32"/>
        <v>0</v>
      </c>
      <c r="J950" s="21"/>
      <c r="K950" s="24" t="s">
        <v>1431</v>
      </c>
    </row>
    <row r="951" spans="1:11" ht="34.5" customHeight="1" x14ac:dyDescent="0.25">
      <c r="A951" s="25"/>
      <c r="B951" s="26" t="s">
        <v>1432</v>
      </c>
      <c r="C951" s="3"/>
      <c r="D951" s="21"/>
      <c r="E951" s="21"/>
      <c r="F951" s="3" t="s">
        <v>78</v>
      </c>
      <c r="G951" s="3">
        <v>5</v>
      </c>
      <c r="H951" s="23"/>
      <c r="I951" s="124">
        <f t="shared" si="32"/>
        <v>0</v>
      </c>
      <c r="J951" s="21"/>
      <c r="K951" s="24" t="s">
        <v>1433</v>
      </c>
    </row>
    <row r="952" spans="1:11" ht="34.5" customHeight="1" x14ac:dyDescent="0.25">
      <c r="A952" s="25"/>
      <c r="B952" s="26" t="s">
        <v>1434</v>
      </c>
      <c r="C952" s="3"/>
      <c r="D952" s="21"/>
      <c r="E952" s="21"/>
      <c r="F952" s="3" t="s">
        <v>78</v>
      </c>
      <c r="G952" s="3">
        <v>8</v>
      </c>
      <c r="H952" s="23"/>
      <c r="I952" s="124">
        <f t="shared" si="32"/>
        <v>0</v>
      </c>
      <c r="J952" s="21"/>
      <c r="K952" s="24" t="s">
        <v>1435</v>
      </c>
    </row>
    <row r="953" spans="1:11" ht="34.5" customHeight="1" x14ac:dyDescent="0.25">
      <c r="A953" s="25"/>
      <c r="B953" s="26" t="s">
        <v>1436</v>
      </c>
      <c r="C953" s="3"/>
      <c r="D953" s="21"/>
      <c r="E953" s="21"/>
      <c r="F953" s="3" t="s">
        <v>78</v>
      </c>
      <c r="G953" s="3">
        <v>6</v>
      </c>
      <c r="H953" s="23"/>
      <c r="I953" s="124">
        <f t="shared" si="32"/>
        <v>0</v>
      </c>
      <c r="J953" s="21"/>
      <c r="K953" s="24" t="s">
        <v>1437</v>
      </c>
    </row>
    <row r="954" spans="1:11" ht="34.5" customHeight="1" x14ac:dyDescent="0.25">
      <c r="A954" s="25"/>
      <c r="B954" s="26" t="s">
        <v>1438</v>
      </c>
      <c r="C954" s="3"/>
      <c r="D954" s="21"/>
      <c r="E954" s="21"/>
      <c r="F954" s="3" t="s">
        <v>78</v>
      </c>
      <c r="G954" s="3">
        <v>2</v>
      </c>
      <c r="H954" s="23"/>
      <c r="I954" s="124">
        <f t="shared" si="32"/>
        <v>0</v>
      </c>
      <c r="J954" s="21"/>
      <c r="K954" s="24" t="s">
        <v>1439</v>
      </c>
    </row>
    <row r="955" spans="1:11" ht="34.5" customHeight="1" x14ac:dyDescent="0.25">
      <c r="A955" s="25"/>
      <c r="B955" s="26" t="s">
        <v>1440</v>
      </c>
      <c r="C955" s="3"/>
      <c r="D955" s="21"/>
      <c r="E955" s="21"/>
      <c r="F955" s="3" t="s">
        <v>78</v>
      </c>
      <c r="G955" s="3">
        <v>1</v>
      </c>
      <c r="H955" s="23"/>
      <c r="I955" s="124">
        <f t="shared" si="32"/>
        <v>0</v>
      </c>
      <c r="J955" s="21"/>
      <c r="K955" s="24" t="s">
        <v>1411</v>
      </c>
    </row>
    <row r="956" spans="1:11" ht="34.5" customHeight="1" x14ac:dyDescent="0.25">
      <c r="A956" s="25"/>
      <c r="B956" s="26" t="s">
        <v>1441</v>
      </c>
      <c r="C956" s="3"/>
      <c r="D956" s="21"/>
      <c r="E956" s="21"/>
      <c r="F956" s="3" t="s">
        <v>78</v>
      </c>
      <c r="G956" s="3">
        <v>19</v>
      </c>
      <c r="H956" s="23"/>
      <c r="I956" s="124">
        <f t="shared" si="32"/>
        <v>0</v>
      </c>
      <c r="J956" s="21"/>
      <c r="K956" s="24" t="s">
        <v>1442</v>
      </c>
    </row>
    <row r="957" spans="1:11" ht="34.5" customHeight="1" x14ac:dyDescent="0.25">
      <c r="A957" s="25"/>
      <c r="B957" s="26" t="s">
        <v>1443</v>
      </c>
      <c r="C957" s="3"/>
      <c r="D957" s="21"/>
      <c r="E957" s="21"/>
      <c r="F957" s="3" t="s">
        <v>78</v>
      </c>
      <c r="G957" s="3">
        <v>4</v>
      </c>
      <c r="H957" s="23"/>
      <c r="I957" s="124">
        <f t="shared" si="32"/>
        <v>0</v>
      </c>
      <c r="J957" s="21"/>
      <c r="K957" s="24" t="s">
        <v>1444</v>
      </c>
    </row>
    <row r="958" spans="1:11" ht="34.5" customHeight="1" x14ac:dyDescent="0.25">
      <c r="A958" s="25"/>
      <c r="B958" s="26" t="s">
        <v>1445</v>
      </c>
      <c r="C958" s="3"/>
      <c r="D958" s="21"/>
      <c r="E958" s="21"/>
      <c r="F958" s="3" t="s">
        <v>78</v>
      </c>
      <c r="G958" s="3">
        <v>1</v>
      </c>
      <c r="H958" s="23"/>
      <c r="I958" s="124">
        <f t="shared" si="32"/>
        <v>0</v>
      </c>
      <c r="J958" s="21"/>
      <c r="K958" s="24" t="s">
        <v>1446</v>
      </c>
    </row>
    <row r="959" spans="1:11" ht="34.5" customHeight="1" x14ac:dyDescent="0.25">
      <c r="A959" s="25"/>
      <c r="B959" s="26" t="s">
        <v>1447</v>
      </c>
      <c r="C959" s="3"/>
      <c r="D959" s="21"/>
      <c r="E959" s="21"/>
      <c r="F959" s="3" t="s">
        <v>78</v>
      </c>
      <c r="G959" s="3">
        <v>1</v>
      </c>
      <c r="H959" s="23"/>
      <c r="I959" s="124">
        <f t="shared" si="32"/>
        <v>0</v>
      </c>
      <c r="J959" s="21"/>
      <c r="K959" s="24" t="s">
        <v>1448</v>
      </c>
    </row>
    <row r="960" spans="1:11" ht="34.5" customHeight="1" x14ac:dyDescent="0.25">
      <c r="A960" s="25"/>
      <c r="B960" s="26" t="s">
        <v>1449</v>
      </c>
      <c r="C960" s="3"/>
      <c r="D960" s="21"/>
      <c r="E960" s="21"/>
      <c r="F960" s="3" t="s">
        <v>78</v>
      </c>
      <c r="G960" s="3">
        <v>2</v>
      </c>
      <c r="H960" s="23"/>
      <c r="I960" s="124">
        <f t="shared" si="32"/>
        <v>0</v>
      </c>
      <c r="J960" s="21"/>
      <c r="K960" s="24" t="s">
        <v>1450</v>
      </c>
    </row>
    <row r="961" spans="1:11" ht="34.5" customHeight="1" x14ac:dyDescent="0.25">
      <c r="A961" s="25"/>
      <c r="B961" s="26" t="s">
        <v>1451</v>
      </c>
      <c r="C961" s="3"/>
      <c r="D961" s="21"/>
      <c r="E961" s="21"/>
      <c r="F961" s="3" t="s">
        <v>78</v>
      </c>
      <c r="G961" s="3">
        <v>7</v>
      </c>
      <c r="H961" s="23"/>
      <c r="I961" s="124">
        <f t="shared" si="32"/>
        <v>0</v>
      </c>
      <c r="J961" s="21"/>
      <c r="K961" s="24" t="s">
        <v>1452</v>
      </c>
    </row>
    <row r="962" spans="1:11" ht="34.5" customHeight="1" x14ac:dyDescent="0.25">
      <c r="A962" s="25"/>
      <c r="B962" s="26" t="s">
        <v>1453</v>
      </c>
      <c r="C962" s="3"/>
      <c r="D962" s="21"/>
      <c r="E962" s="21"/>
      <c r="F962" s="3" t="s">
        <v>78</v>
      </c>
      <c r="G962" s="3">
        <v>4</v>
      </c>
      <c r="H962" s="23"/>
      <c r="I962" s="124">
        <f t="shared" si="32"/>
        <v>0</v>
      </c>
      <c r="J962" s="21"/>
      <c r="K962" s="24" t="s">
        <v>1454</v>
      </c>
    </row>
    <row r="963" spans="1:11" ht="34.5" customHeight="1" x14ac:dyDescent="0.25">
      <c r="A963" s="25"/>
      <c r="B963" s="26" t="s">
        <v>1455</v>
      </c>
      <c r="C963" s="3"/>
      <c r="D963" s="21"/>
      <c r="E963" s="21"/>
      <c r="F963" s="3" t="s">
        <v>78</v>
      </c>
      <c r="G963" s="3">
        <v>2</v>
      </c>
      <c r="H963" s="23"/>
      <c r="I963" s="124">
        <f t="shared" si="32"/>
        <v>0</v>
      </c>
      <c r="J963" s="21"/>
      <c r="K963" s="24" t="s">
        <v>1456</v>
      </c>
    </row>
    <row r="964" spans="1:11" ht="34.5" customHeight="1" x14ac:dyDescent="0.25">
      <c r="A964" s="25"/>
      <c r="B964" s="26" t="s">
        <v>1457</v>
      </c>
      <c r="C964" s="3"/>
      <c r="D964" s="21"/>
      <c r="E964" s="21"/>
      <c r="F964" s="3" t="s">
        <v>78</v>
      </c>
      <c r="G964" s="3">
        <v>3</v>
      </c>
      <c r="H964" s="23"/>
      <c r="I964" s="124">
        <f t="shared" si="32"/>
        <v>0</v>
      </c>
      <c r="J964" s="21"/>
      <c r="K964" s="24" t="s">
        <v>1458</v>
      </c>
    </row>
    <row r="965" spans="1:11" ht="34.5" customHeight="1" x14ac:dyDescent="0.25">
      <c r="A965" s="25"/>
      <c r="B965" s="26" t="s">
        <v>1459</v>
      </c>
      <c r="C965" s="3"/>
      <c r="D965" s="21"/>
      <c r="E965" s="21"/>
      <c r="F965" s="3" t="s">
        <v>78</v>
      </c>
      <c r="G965" s="3">
        <v>2</v>
      </c>
      <c r="H965" s="23"/>
      <c r="I965" s="124">
        <f t="shared" si="32"/>
        <v>0</v>
      </c>
      <c r="J965" s="21"/>
      <c r="K965" s="24" t="s">
        <v>1460</v>
      </c>
    </row>
    <row r="966" spans="1:11" ht="34.5" customHeight="1" x14ac:dyDescent="0.25">
      <c r="A966" s="25"/>
      <c r="B966" s="26" t="s">
        <v>1461</v>
      </c>
      <c r="C966" s="3"/>
      <c r="D966" s="21"/>
      <c r="E966" s="21"/>
      <c r="F966" s="3" t="s">
        <v>78</v>
      </c>
      <c r="G966" s="3">
        <v>2</v>
      </c>
      <c r="H966" s="23"/>
      <c r="I966" s="124">
        <f t="shared" si="32"/>
        <v>0</v>
      </c>
      <c r="J966" s="21"/>
      <c r="K966" s="24" t="s">
        <v>1462</v>
      </c>
    </row>
    <row r="967" spans="1:11" ht="34.5" customHeight="1" x14ac:dyDescent="0.25">
      <c r="A967" s="25"/>
      <c r="B967" s="26" t="s">
        <v>1463</v>
      </c>
      <c r="C967" s="3"/>
      <c r="D967" s="21"/>
      <c r="E967" s="21"/>
      <c r="F967" s="3" t="s">
        <v>78</v>
      </c>
      <c r="G967" s="3">
        <v>14</v>
      </c>
      <c r="H967" s="23"/>
      <c r="I967" s="124">
        <f t="shared" si="32"/>
        <v>0</v>
      </c>
      <c r="J967" s="21"/>
      <c r="K967" s="24" t="s">
        <v>1464</v>
      </c>
    </row>
    <row r="968" spans="1:11" ht="34.5" customHeight="1" x14ac:dyDescent="0.25">
      <c r="A968" s="25"/>
      <c r="B968" s="26" t="s">
        <v>1465</v>
      </c>
      <c r="C968" s="3"/>
      <c r="D968" s="21"/>
      <c r="E968" s="21"/>
      <c r="F968" s="3" t="s">
        <v>78</v>
      </c>
      <c r="G968" s="3">
        <v>2</v>
      </c>
      <c r="H968" s="23"/>
      <c r="I968" s="124">
        <f t="shared" si="32"/>
        <v>0</v>
      </c>
      <c r="J968" s="21"/>
      <c r="K968" s="24" t="s">
        <v>1466</v>
      </c>
    </row>
    <row r="969" spans="1:11" ht="34.5" customHeight="1" x14ac:dyDescent="0.25">
      <c r="A969" s="25"/>
      <c r="B969" s="26" t="s">
        <v>1467</v>
      </c>
      <c r="C969" s="3"/>
      <c r="D969" s="21"/>
      <c r="E969" s="21"/>
      <c r="F969" s="3" t="s">
        <v>78</v>
      </c>
      <c r="G969" s="3">
        <v>2</v>
      </c>
      <c r="H969" s="23"/>
      <c r="I969" s="124">
        <f t="shared" si="32"/>
        <v>0</v>
      </c>
      <c r="J969" s="21"/>
      <c r="K969" s="24" t="s">
        <v>1468</v>
      </c>
    </row>
    <row r="970" spans="1:11" ht="34.5" customHeight="1" x14ac:dyDescent="0.25">
      <c r="A970" s="25"/>
      <c r="B970" s="26" t="s">
        <v>1469</v>
      </c>
      <c r="C970" s="3"/>
      <c r="D970" s="21"/>
      <c r="E970" s="21"/>
      <c r="F970" s="3" t="s">
        <v>78</v>
      </c>
      <c r="G970" s="3">
        <v>99</v>
      </c>
      <c r="H970" s="23"/>
      <c r="I970" s="124">
        <f t="shared" si="32"/>
        <v>0</v>
      </c>
      <c r="J970" s="21"/>
      <c r="K970" s="24" t="s">
        <v>1470</v>
      </c>
    </row>
    <row r="971" spans="1:11" ht="34.5" customHeight="1" x14ac:dyDescent="0.25">
      <c r="A971" s="25"/>
      <c r="B971" s="26" t="s">
        <v>1471</v>
      </c>
      <c r="C971" s="3"/>
      <c r="D971" s="21"/>
      <c r="E971" s="21"/>
      <c r="F971" s="3" t="s">
        <v>78</v>
      </c>
      <c r="G971" s="3">
        <v>12</v>
      </c>
      <c r="H971" s="23"/>
      <c r="I971" s="124">
        <f t="shared" si="32"/>
        <v>0</v>
      </c>
      <c r="J971" s="21"/>
      <c r="K971" s="24" t="s">
        <v>1472</v>
      </c>
    </row>
    <row r="972" spans="1:11" ht="34.5" customHeight="1" x14ac:dyDescent="0.25">
      <c r="A972" s="25"/>
      <c r="B972" s="26" t="s">
        <v>1473</v>
      </c>
      <c r="C972" s="3"/>
      <c r="D972" s="21"/>
      <c r="E972" s="21"/>
      <c r="F972" s="3" t="s">
        <v>78</v>
      </c>
      <c r="G972" s="3">
        <v>141</v>
      </c>
      <c r="H972" s="23"/>
      <c r="I972" s="124">
        <f t="shared" si="32"/>
        <v>0</v>
      </c>
      <c r="J972" s="21"/>
      <c r="K972" s="24" t="s">
        <v>1474</v>
      </c>
    </row>
    <row r="973" spans="1:11" ht="34.5" customHeight="1" x14ac:dyDescent="0.25">
      <c r="A973" s="25"/>
      <c r="B973" s="26" t="s">
        <v>1475</v>
      </c>
      <c r="C973" s="3"/>
      <c r="D973" s="21"/>
      <c r="E973" s="21"/>
      <c r="F973" s="3" t="s">
        <v>78</v>
      </c>
      <c r="G973" s="3">
        <v>19</v>
      </c>
      <c r="H973" s="23"/>
      <c r="I973" s="124">
        <f t="shared" si="32"/>
        <v>0</v>
      </c>
      <c r="J973" s="21"/>
      <c r="K973" s="24" t="s">
        <v>1476</v>
      </c>
    </row>
    <row r="974" spans="1:11" ht="34.5" customHeight="1" x14ac:dyDescent="0.25">
      <c r="A974" s="25"/>
      <c r="B974" s="26" t="s">
        <v>1477</v>
      </c>
      <c r="C974" s="3"/>
      <c r="D974" s="21"/>
      <c r="E974" s="21"/>
      <c r="F974" s="3" t="s">
        <v>78</v>
      </c>
      <c r="G974" s="3">
        <v>19</v>
      </c>
      <c r="H974" s="23"/>
      <c r="I974" s="124">
        <f t="shared" si="32"/>
        <v>0</v>
      </c>
      <c r="J974" s="21"/>
      <c r="K974" s="24" t="s">
        <v>1478</v>
      </c>
    </row>
    <row r="975" spans="1:11" ht="34.5" customHeight="1" x14ac:dyDescent="0.25">
      <c r="A975" s="25"/>
      <c r="B975" s="26" t="s">
        <v>1479</v>
      </c>
      <c r="C975" s="3"/>
      <c r="D975" s="21"/>
      <c r="E975" s="21"/>
      <c r="F975" s="3" t="s">
        <v>78</v>
      </c>
      <c r="G975" s="3">
        <v>152</v>
      </c>
      <c r="H975" s="23"/>
      <c r="I975" s="124">
        <f t="shared" si="32"/>
        <v>0</v>
      </c>
      <c r="J975" s="21"/>
      <c r="K975" s="24" t="s">
        <v>1480</v>
      </c>
    </row>
    <row r="976" spans="1:11" ht="34.5" customHeight="1" x14ac:dyDescent="0.25">
      <c r="A976" s="25"/>
      <c r="B976" s="26" t="s">
        <v>1481</v>
      </c>
      <c r="C976" s="3"/>
      <c r="D976" s="21"/>
      <c r="E976" s="21"/>
      <c r="F976" s="3" t="s">
        <v>78</v>
      </c>
      <c r="G976" s="3">
        <v>1</v>
      </c>
      <c r="H976" s="23"/>
      <c r="I976" s="124">
        <f t="shared" si="32"/>
        <v>0</v>
      </c>
      <c r="J976" s="21"/>
      <c r="K976" s="24" t="s">
        <v>1482</v>
      </c>
    </row>
    <row r="977" spans="1:11" ht="34.5" customHeight="1" x14ac:dyDescent="0.25">
      <c r="A977" s="25"/>
      <c r="B977" s="26" t="s">
        <v>1483</v>
      </c>
      <c r="C977" s="3"/>
      <c r="D977" s="21"/>
      <c r="E977" s="21"/>
      <c r="F977" s="3" t="s">
        <v>78</v>
      </c>
      <c r="G977" s="3">
        <v>1</v>
      </c>
      <c r="H977" s="23"/>
      <c r="I977" s="124">
        <f t="shared" si="32"/>
        <v>0</v>
      </c>
      <c r="J977" s="21"/>
      <c r="K977" s="24" t="s">
        <v>1484</v>
      </c>
    </row>
    <row r="978" spans="1:11" ht="34.5" customHeight="1" x14ac:dyDescent="0.25">
      <c r="A978" s="25"/>
      <c r="B978" s="26" t="s">
        <v>1483</v>
      </c>
      <c r="C978" s="3"/>
      <c r="D978" s="21"/>
      <c r="E978" s="21"/>
      <c r="F978" s="3" t="s">
        <v>78</v>
      </c>
      <c r="G978" s="3">
        <v>6</v>
      </c>
      <c r="H978" s="23"/>
      <c r="I978" s="124">
        <f t="shared" ref="I978:I1041" si="33">H978*G978</f>
        <v>0</v>
      </c>
      <c r="J978" s="21"/>
      <c r="K978" s="24" t="s">
        <v>1485</v>
      </c>
    </row>
    <row r="979" spans="1:11" ht="34.5" customHeight="1" x14ac:dyDescent="0.25">
      <c r="A979" s="25"/>
      <c r="B979" s="26" t="s">
        <v>1486</v>
      </c>
      <c r="C979" s="3"/>
      <c r="D979" s="21"/>
      <c r="E979" s="21"/>
      <c r="F979" s="3" t="s">
        <v>78</v>
      </c>
      <c r="G979" s="3">
        <v>41</v>
      </c>
      <c r="H979" s="23"/>
      <c r="I979" s="124">
        <f t="shared" si="33"/>
        <v>0</v>
      </c>
      <c r="J979" s="21"/>
      <c r="K979" s="24" t="s">
        <v>1487</v>
      </c>
    </row>
    <row r="980" spans="1:11" ht="34.5" customHeight="1" x14ac:dyDescent="0.25">
      <c r="A980" s="25"/>
      <c r="B980" s="26" t="s">
        <v>1488</v>
      </c>
      <c r="C980" s="3"/>
      <c r="D980" s="21"/>
      <c r="E980" s="21"/>
      <c r="F980" s="3" t="s">
        <v>78</v>
      </c>
      <c r="G980" s="3">
        <v>2</v>
      </c>
      <c r="H980" s="23"/>
      <c r="I980" s="124">
        <f t="shared" si="33"/>
        <v>0</v>
      </c>
      <c r="J980" s="21"/>
      <c r="K980" s="24" t="s">
        <v>1183</v>
      </c>
    </row>
    <row r="981" spans="1:11" ht="34.5" customHeight="1" x14ac:dyDescent="0.25">
      <c r="A981" s="25"/>
      <c r="B981" s="26" t="s">
        <v>1489</v>
      </c>
      <c r="C981" s="3"/>
      <c r="D981" s="21"/>
      <c r="E981" s="21"/>
      <c r="F981" s="3" t="s">
        <v>78</v>
      </c>
      <c r="G981" s="3">
        <v>27</v>
      </c>
      <c r="H981" s="23"/>
      <c r="I981" s="124">
        <f t="shared" si="33"/>
        <v>0</v>
      </c>
      <c r="J981" s="21"/>
      <c r="K981" s="24" t="s">
        <v>1490</v>
      </c>
    </row>
    <row r="982" spans="1:11" ht="34.5" customHeight="1" x14ac:dyDescent="0.25">
      <c r="A982" s="25"/>
      <c r="B982" s="26" t="s">
        <v>1491</v>
      </c>
      <c r="C982" s="3"/>
      <c r="D982" s="21"/>
      <c r="E982" s="21"/>
      <c r="F982" s="3" t="s">
        <v>78</v>
      </c>
      <c r="G982" s="3">
        <v>1</v>
      </c>
      <c r="H982" s="23"/>
      <c r="I982" s="124">
        <f t="shared" si="33"/>
        <v>0</v>
      </c>
      <c r="J982" s="21"/>
      <c r="K982" s="24" t="s">
        <v>1492</v>
      </c>
    </row>
    <row r="983" spans="1:11" ht="34.5" customHeight="1" x14ac:dyDescent="0.25">
      <c r="A983" s="25"/>
      <c r="B983" s="26" t="s">
        <v>1493</v>
      </c>
      <c r="C983" s="3"/>
      <c r="D983" s="21"/>
      <c r="E983" s="21"/>
      <c r="F983" s="3" t="s">
        <v>78</v>
      </c>
      <c r="G983" s="3">
        <v>6</v>
      </c>
      <c r="H983" s="23"/>
      <c r="I983" s="124">
        <f t="shared" si="33"/>
        <v>0</v>
      </c>
      <c r="J983" s="21"/>
      <c r="K983" s="24" t="s">
        <v>1494</v>
      </c>
    </row>
    <row r="984" spans="1:11" ht="34.5" customHeight="1" x14ac:dyDescent="0.25">
      <c r="A984" s="25"/>
      <c r="B984" s="26" t="s">
        <v>1495</v>
      </c>
      <c r="C984" s="3"/>
      <c r="D984" s="21"/>
      <c r="E984" s="21"/>
      <c r="F984" s="3" t="s">
        <v>78</v>
      </c>
      <c r="G984" s="3">
        <v>1</v>
      </c>
      <c r="H984" s="23"/>
      <c r="I984" s="124">
        <f t="shared" si="33"/>
        <v>0</v>
      </c>
      <c r="J984" s="21"/>
      <c r="K984" s="24" t="s">
        <v>1077</v>
      </c>
    </row>
    <row r="985" spans="1:11" ht="34.5" customHeight="1" x14ac:dyDescent="0.25">
      <c r="A985" s="25"/>
      <c r="B985" s="26" t="s">
        <v>1496</v>
      </c>
      <c r="C985" s="3"/>
      <c r="D985" s="21"/>
      <c r="E985" s="21"/>
      <c r="F985" s="3" t="s">
        <v>78</v>
      </c>
      <c r="G985" s="3">
        <v>3</v>
      </c>
      <c r="H985" s="23"/>
      <c r="I985" s="124">
        <f t="shared" si="33"/>
        <v>0</v>
      </c>
      <c r="J985" s="21"/>
      <c r="K985" s="24" t="s">
        <v>1497</v>
      </c>
    </row>
    <row r="986" spans="1:11" ht="34.5" customHeight="1" x14ac:dyDescent="0.25">
      <c r="A986" s="25"/>
      <c r="B986" s="26" t="s">
        <v>1498</v>
      </c>
      <c r="C986" s="3"/>
      <c r="D986" s="21"/>
      <c r="E986" s="21"/>
      <c r="F986" s="3" t="s">
        <v>78</v>
      </c>
      <c r="G986" s="3">
        <v>2</v>
      </c>
      <c r="H986" s="23"/>
      <c r="I986" s="124">
        <f t="shared" si="33"/>
        <v>0</v>
      </c>
      <c r="J986" s="21"/>
      <c r="K986" s="24" t="s">
        <v>1499</v>
      </c>
    </row>
    <row r="987" spans="1:11" ht="34.5" customHeight="1" x14ac:dyDescent="0.25">
      <c r="A987" s="25"/>
      <c r="B987" s="26" t="s">
        <v>1500</v>
      </c>
      <c r="C987" s="3"/>
      <c r="D987" s="21"/>
      <c r="E987" s="21"/>
      <c r="F987" s="3" t="s">
        <v>78</v>
      </c>
      <c r="G987" s="3">
        <v>2</v>
      </c>
      <c r="H987" s="23"/>
      <c r="I987" s="124">
        <f t="shared" si="33"/>
        <v>0</v>
      </c>
      <c r="J987" s="21"/>
      <c r="K987" s="24" t="s">
        <v>1501</v>
      </c>
    </row>
    <row r="988" spans="1:11" ht="34.5" customHeight="1" x14ac:dyDescent="0.25">
      <c r="A988" s="25"/>
      <c r="B988" s="26" t="s">
        <v>1502</v>
      </c>
      <c r="C988" s="3"/>
      <c r="D988" s="21"/>
      <c r="E988" s="21"/>
      <c r="F988" s="3" t="s">
        <v>78</v>
      </c>
      <c r="G988" s="3">
        <v>1</v>
      </c>
      <c r="H988" s="23"/>
      <c r="I988" s="124">
        <f t="shared" si="33"/>
        <v>0</v>
      </c>
      <c r="J988" s="21"/>
      <c r="K988" s="24" t="s">
        <v>1503</v>
      </c>
    </row>
    <row r="989" spans="1:11" ht="34.5" customHeight="1" x14ac:dyDescent="0.25">
      <c r="A989" s="25"/>
      <c r="B989" s="26" t="s">
        <v>1504</v>
      </c>
      <c r="C989" s="3"/>
      <c r="D989" s="21"/>
      <c r="E989" s="21"/>
      <c r="F989" s="3" t="s">
        <v>78</v>
      </c>
      <c r="G989" s="3">
        <v>4</v>
      </c>
      <c r="H989" s="23"/>
      <c r="I989" s="124">
        <f t="shared" si="33"/>
        <v>0</v>
      </c>
      <c r="J989" s="21"/>
      <c r="K989" s="24" t="s">
        <v>1505</v>
      </c>
    </row>
    <row r="990" spans="1:11" ht="34.5" customHeight="1" x14ac:dyDescent="0.25">
      <c r="A990" s="25"/>
      <c r="B990" s="26" t="s">
        <v>1506</v>
      </c>
      <c r="C990" s="3"/>
      <c r="D990" s="21"/>
      <c r="E990" s="21"/>
      <c r="F990" s="3" t="s">
        <v>78</v>
      </c>
      <c r="G990" s="3">
        <v>1</v>
      </c>
      <c r="H990" s="23"/>
      <c r="I990" s="124">
        <f t="shared" si="33"/>
        <v>0</v>
      </c>
      <c r="J990" s="21"/>
      <c r="K990" s="24" t="s">
        <v>1507</v>
      </c>
    </row>
    <row r="991" spans="1:11" ht="34.5" customHeight="1" x14ac:dyDescent="0.25">
      <c r="A991" s="25"/>
      <c r="B991" s="26" t="s">
        <v>1508</v>
      </c>
      <c r="C991" s="3"/>
      <c r="D991" s="21"/>
      <c r="E991" s="21"/>
      <c r="F991" s="3" t="s">
        <v>78</v>
      </c>
      <c r="G991" s="3">
        <v>1</v>
      </c>
      <c r="H991" s="23"/>
      <c r="I991" s="124">
        <f t="shared" si="33"/>
        <v>0</v>
      </c>
      <c r="J991" s="21"/>
      <c r="K991" s="24" t="s">
        <v>1509</v>
      </c>
    </row>
    <row r="992" spans="1:11" ht="34.5" customHeight="1" x14ac:dyDescent="0.25">
      <c r="A992" s="25"/>
      <c r="B992" s="26" t="s">
        <v>1510</v>
      </c>
      <c r="C992" s="3"/>
      <c r="D992" s="21"/>
      <c r="E992" s="21"/>
      <c r="F992" s="3" t="s">
        <v>78</v>
      </c>
      <c r="G992" s="3">
        <v>1</v>
      </c>
      <c r="H992" s="23"/>
      <c r="I992" s="124">
        <f t="shared" si="33"/>
        <v>0</v>
      </c>
      <c r="J992" s="21"/>
      <c r="K992" s="24" t="s">
        <v>1511</v>
      </c>
    </row>
    <row r="993" spans="1:11" ht="34.5" customHeight="1" x14ac:dyDescent="0.25">
      <c r="A993" s="25"/>
      <c r="B993" s="26" t="s">
        <v>1512</v>
      </c>
      <c r="C993" s="3"/>
      <c r="D993" s="21"/>
      <c r="E993" s="21"/>
      <c r="F993" s="3" t="s">
        <v>78</v>
      </c>
      <c r="G993" s="3">
        <v>1</v>
      </c>
      <c r="H993" s="23"/>
      <c r="I993" s="124">
        <f t="shared" si="33"/>
        <v>0</v>
      </c>
      <c r="J993" s="21"/>
      <c r="K993" s="24" t="s">
        <v>1189</v>
      </c>
    </row>
    <row r="994" spans="1:11" ht="34.5" customHeight="1" x14ac:dyDescent="0.25">
      <c r="A994" s="25"/>
      <c r="B994" s="26" t="s">
        <v>1513</v>
      </c>
      <c r="C994" s="3"/>
      <c r="D994" s="21"/>
      <c r="E994" s="21"/>
      <c r="F994" s="3" t="s">
        <v>78</v>
      </c>
      <c r="G994" s="3">
        <v>1</v>
      </c>
      <c r="H994" s="23"/>
      <c r="I994" s="124">
        <f t="shared" si="33"/>
        <v>0</v>
      </c>
      <c r="J994" s="21"/>
      <c r="K994" s="24" t="s">
        <v>1514</v>
      </c>
    </row>
    <row r="995" spans="1:11" ht="34.5" customHeight="1" x14ac:dyDescent="0.25">
      <c r="A995" s="25"/>
      <c r="B995" s="26" t="s">
        <v>1515</v>
      </c>
      <c r="C995" s="3"/>
      <c r="D995" s="21"/>
      <c r="E995" s="21"/>
      <c r="F995" s="3" t="s">
        <v>78</v>
      </c>
      <c r="G995" s="3">
        <v>2</v>
      </c>
      <c r="H995" s="23"/>
      <c r="I995" s="124">
        <f t="shared" si="33"/>
        <v>0</v>
      </c>
      <c r="J995" s="21"/>
      <c r="K995" s="24" t="s">
        <v>1516</v>
      </c>
    </row>
    <row r="996" spans="1:11" ht="34.5" customHeight="1" x14ac:dyDescent="0.25">
      <c r="A996" s="25"/>
      <c r="B996" s="26" t="s">
        <v>1517</v>
      </c>
      <c r="C996" s="3"/>
      <c r="D996" s="21"/>
      <c r="E996" s="21"/>
      <c r="F996" s="3" t="s">
        <v>78</v>
      </c>
      <c r="G996" s="3">
        <v>3</v>
      </c>
      <c r="H996" s="23"/>
      <c r="I996" s="124">
        <f t="shared" si="33"/>
        <v>0</v>
      </c>
      <c r="J996" s="21"/>
      <c r="K996" s="24" t="s">
        <v>1427</v>
      </c>
    </row>
    <row r="997" spans="1:11" ht="34.5" customHeight="1" x14ac:dyDescent="0.25">
      <c r="A997" s="25"/>
      <c r="B997" s="26" t="s">
        <v>1518</v>
      </c>
      <c r="C997" s="3"/>
      <c r="D997" s="21"/>
      <c r="E997" s="21"/>
      <c r="F997" s="3" t="s">
        <v>78</v>
      </c>
      <c r="G997" s="3">
        <v>1</v>
      </c>
      <c r="H997" s="23"/>
      <c r="I997" s="124">
        <f t="shared" si="33"/>
        <v>0</v>
      </c>
      <c r="J997" s="21"/>
      <c r="K997" s="24" t="s">
        <v>1519</v>
      </c>
    </row>
    <row r="998" spans="1:11" ht="34.5" customHeight="1" x14ac:dyDescent="0.25">
      <c r="A998" s="25"/>
      <c r="B998" s="26" t="s">
        <v>1520</v>
      </c>
      <c r="C998" s="3"/>
      <c r="D998" s="21"/>
      <c r="E998" s="21"/>
      <c r="F998" s="3" t="s">
        <v>78</v>
      </c>
      <c r="G998" s="3">
        <v>11</v>
      </c>
      <c r="H998" s="23"/>
      <c r="I998" s="124">
        <f t="shared" si="33"/>
        <v>0</v>
      </c>
      <c r="J998" s="21"/>
      <c r="K998" s="24" t="s">
        <v>1521</v>
      </c>
    </row>
    <row r="999" spans="1:11" ht="34.5" customHeight="1" x14ac:dyDescent="0.25">
      <c r="A999" s="25"/>
      <c r="B999" s="26" t="s">
        <v>1522</v>
      </c>
      <c r="C999" s="3"/>
      <c r="D999" s="21"/>
      <c r="E999" s="21"/>
      <c r="F999" s="3" t="s">
        <v>78</v>
      </c>
      <c r="G999" s="3">
        <v>1</v>
      </c>
      <c r="H999" s="23"/>
      <c r="I999" s="124">
        <f t="shared" si="33"/>
        <v>0</v>
      </c>
      <c r="J999" s="21"/>
      <c r="K999" s="24" t="s">
        <v>1523</v>
      </c>
    </row>
    <row r="1000" spans="1:11" ht="34.5" customHeight="1" x14ac:dyDescent="0.25">
      <c r="A1000" s="25"/>
      <c r="B1000" s="26" t="s">
        <v>1524</v>
      </c>
      <c r="C1000" s="3"/>
      <c r="D1000" s="21"/>
      <c r="E1000" s="21"/>
      <c r="F1000" s="3" t="s">
        <v>78</v>
      </c>
      <c r="G1000" s="3">
        <v>1</v>
      </c>
      <c r="H1000" s="23"/>
      <c r="I1000" s="124">
        <f t="shared" si="33"/>
        <v>0</v>
      </c>
      <c r="J1000" s="21"/>
      <c r="K1000" s="24" t="s">
        <v>1525</v>
      </c>
    </row>
    <row r="1001" spans="1:11" ht="34.5" customHeight="1" x14ac:dyDescent="0.25">
      <c r="A1001" s="25"/>
      <c r="B1001" s="26" t="s">
        <v>1526</v>
      </c>
      <c r="C1001" s="3"/>
      <c r="D1001" s="21"/>
      <c r="E1001" s="21"/>
      <c r="F1001" s="3" t="s">
        <v>78</v>
      </c>
      <c r="G1001" s="3">
        <v>1</v>
      </c>
      <c r="H1001" s="23"/>
      <c r="I1001" s="124">
        <f t="shared" si="33"/>
        <v>0</v>
      </c>
      <c r="J1001" s="21"/>
      <c r="K1001" s="24" t="s">
        <v>1527</v>
      </c>
    </row>
    <row r="1002" spans="1:11" ht="34.5" customHeight="1" x14ac:dyDescent="0.25">
      <c r="A1002" s="25"/>
      <c r="B1002" s="26" t="s">
        <v>1528</v>
      </c>
      <c r="C1002" s="3"/>
      <c r="D1002" s="21"/>
      <c r="E1002" s="21"/>
      <c r="F1002" s="3" t="s">
        <v>78</v>
      </c>
      <c r="G1002" s="3">
        <v>1</v>
      </c>
      <c r="H1002" s="23"/>
      <c r="I1002" s="124">
        <f t="shared" si="33"/>
        <v>0</v>
      </c>
      <c r="J1002" s="21"/>
      <c r="K1002" s="24" t="s">
        <v>1529</v>
      </c>
    </row>
    <row r="1003" spans="1:11" ht="34.5" customHeight="1" x14ac:dyDescent="0.25">
      <c r="A1003" s="25"/>
      <c r="B1003" s="26" t="s">
        <v>1530</v>
      </c>
      <c r="C1003" s="3"/>
      <c r="D1003" s="21"/>
      <c r="E1003" s="21"/>
      <c r="F1003" s="3" t="s">
        <v>78</v>
      </c>
      <c r="G1003" s="3">
        <v>1</v>
      </c>
      <c r="H1003" s="23"/>
      <c r="I1003" s="124">
        <f t="shared" si="33"/>
        <v>0</v>
      </c>
      <c r="J1003" s="21"/>
      <c r="K1003" s="24" t="s">
        <v>1531</v>
      </c>
    </row>
    <row r="1004" spans="1:11" ht="34.5" customHeight="1" x14ac:dyDescent="0.25">
      <c r="A1004" s="25"/>
      <c r="B1004" s="26" t="s">
        <v>1532</v>
      </c>
      <c r="C1004" s="3"/>
      <c r="D1004" s="21"/>
      <c r="E1004" s="21"/>
      <c r="F1004" s="3" t="s">
        <v>78</v>
      </c>
      <c r="G1004" s="3">
        <v>13</v>
      </c>
      <c r="H1004" s="23"/>
      <c r="I1004" s="124">
        <f t="shared" si="33"/>
        <v>0</v>
      </c>
      <c r="J1004" s="21"/>
      <c r="K1004" s="24" t="s">
        <v>1533</v>
      </c>
    </row>
    <row r="1005" spans="1:11" ht="34.5" customHeight="1" x14ac:dyDescent="0.25">
      <c r="A1005" s="25"/>
      <c r="B1005" s="26" t="s">
        <v>1534</v>
      </c>
      <c r="C1005" s="3"/>
      <c r="D1005" s="21"/>
      <c r="E1005" s="21"/>
      <c r="F1005" s="3" t="s">
        <v>78</v>
      </c>
      <c r="G1005" s="3">
        <v>2</v>
      </c>
      <c r="H1005" s="23"/>
      <c r="I1005" s="124">
        <f t="shared" si="33"/>
        <v>0</v>
      </c>
      <c r="J1005" s="21"/>
      <c r="K1005" s="24" t="s">
        <v>1535</v>
      </c>
    </row>
    <row r="1006" spans="1:11" ht="34.5" customHeight="1" x14ac:dyDescent="0.25">
      <c r="A1006" s="25"/>
      <c r="B1006" s="26" t="s">
        <v>1536</v>
      </c>
      <c r="C1006" s="3"/>
      <c r="D1006" s="21"/>
      <c r="E1006" s="21"/>
      <c r="F1006" s="3" t="s">
        <v>78</v>
      </c>
      <c r="G1006" s="3">
        <v>2</v>
      </c>
      <c r="H1006" s="23"/>
      <c r="I1006" s="124">
        <f t="shared" si="33"/>
        <v>0</v>
      </c>
      <c r="J1006" s="21"/>
      <c r="K1006" s="24" t="s">
        <v>1537</v>
      </c>
    </row>
    <row r="1007" spans="1:11" ht="34.5" customHeight="1" x14ac:dyDescent="0.25">
      <c r="A1007" s="25"/>
      <c r="B1007" s="26" t="s">
        <v>1538</v>
      </c>
      <c r="C1007" s="3"/>
      <c r="D1007" s="21"/>
      <c r="E1007" s="21"/>
      <c r="F1007" s="3" t="s">
        <v>78</v>
      </c>
      <c r="G1007" s="3">
        <v>1</v>
      </c>
      <c r="H1007" s="23"/>
      <c r="I1007" s="124">
        <f t="shared" si="33"/>
        <v>0</v>
      </c>
      <c r="J1007" s="21"/>
      <c r="K1007" s="24" t="s">
        <v>1539</v>
      </c>
    </row>
    <row r="1008" spans="1:11" ht="34.5" customHeight="1" x14ac:dyDescent="0.25">
      <c r="A1008" s="25"/>
      <c r="B1008" s="26" t="s">
        <v>1540</v>
      </c>
      <c r="C1008" s="3"/>
      <c r="D1008" s="21"/>
      <c r="E1008" s="21"/>
      <c r="F1008" s="3" t="s">
        <v>78</v>
      </c>
      <c r="G1008" s="3">
        <v>1</v>
      </c>
      <c r="H1008" s="23"/>
      <c r="I1008" s="124">
        <f t="shared" si="33"/>
        <v>0</v>
      </c>
      <c r="J1008" s="21"/>
      <c r="K1008" s="24" t="s">
        <v>1541</v>
      </c>
    </row>
    <row r="1009" spans="1:11" ht="34.5" customHeight="1" x14ac:dyDescent="0.25">
      <c r="A1009" s="25"/>
      <c r="B1009" s="26" t="s">
        <v>1542</v>
      </c>
      <c r="C1009" s="3"/>
      <c r="D1009" s="21"/>
      <c r="E1009" s="21"/>
      <c r="F1009" s="3" t="s">
        <v>78</v>
      </c>
      <c r="G1009" s="3">
        <v>2</v>
      </c>
      <c r="H1009" s="23"/>
      <c r="I1009" s="124">
        <f t="shared" si="33"/>
        <v>0</v>
      </c>
      <c r="J1009" s="21"/>
      <c r="K1009" s="24" t="s">
        <v>1543</v>
      </c>
    </row>
    <row r="1010" spans="1:11" ht="34.5" customHeight="1" x14ac:dyDescent="0.25">
      <c r="A1010" s="25"/>
      <c r="B1010" s="26" t="s">
        <v>1544</v>
      </c>
      <c r="C1010" s="3"/>
      <c r="D1010" s="21"/>
      <c r="E1010" s="21"/>
      <c r="F1010" s="3" t="s">
        <v>78</v>
      </c>
      <c r="G1010" s="3">
        <v>1</v>
      </c>
      <c r="H1010" s="23"/>
      <c r="I1010" s="124">
        <f t="shared" si="33"/>
        <v>0</v>
      </c>
      <c r="J1010" s="21"/>
      <c r="K1010" s="24" t="s">
        <v>1545</v>
      </c>
    </row>
    <row r="1011" spans="1:11" ht="34.5" customHeight="1" x14ac:dyDescent="0.25">
      <c r="A1011" s="25"/>
      <c r="B1011" s="26" t="s">
        <v>1546</v>
      </c>
      <c r="C1011" s="3"/>
      <c r="D1011" s="21"/>
      <c r="E1011" s="21"/>
      <c r="F1011" s="3" t="s">
        <v>78</v>
      </c>
      <c r="G1011" s="3">
        <v>1</v>
      </c>
      <c r="H1011" s="23"/>
      <c r="I1011" s="124">
        <f t="shared" si="33"/>
        <v>0</v>
      </c>
      <c r="J1011" s="21"/>
      <c r="K1011" s="24" t="s">
        <v>1547</v>
      </c>
    </row>
    <row r="1012" spans="1:11" ht="34.5" customHeight="1" x14ac:dyDescent="0.25">
      <c r="A1012" s="25"/>
      <c r="B1012" s="26" t="s">
        <v>1548</v>
      </c>
      <c r="C1012" s="3"/>
      <c r="D1012" s="21"/>
      <c r="E1012" s="21"/>
      <c r="F1012" s="3" t="s">
        <v>78</v>
      </c>
      <c r="G1012" s="3">
        <v>4</v>
      </c>
      <c r="H1012" s="23"/>
      <c r="I1012" s="124">
        <f t="shared" si="33"/>
        <v>0</v>
      </c>
      <c r="J1012" s="21"/>
      <c r="K1012" s="24" t="s">
        <v>1549</v>
      </c>
    </row>
    <row r="1013" spans="1:11" ht="34.5" customHeight="1" x14ac:dyDescent="0.25">
      <c r="A1013" s="25"/>
      <c r="B1013" s="26" t="s">
        <v>1550</v>
      </c>
      <c r="C1013" s="3"/>
      <c r="D1013" s="21"/>
      <c r="E1013" s="21"/>
      <c r="F1013" s="3" t="s">
        <v>78</v>
      </c>
      <c r="G1013" s="3">
        <v>1</v>
      </c>
      <c r="H1013" s="23"/>
      <c r="I1013" s="124">
        <f t="shared" si="33"/>
        <v>0</v>
      </c>
      <c r="J1013" s="21"/>
      <c r="K1013" s="24" t="s">
        <v>1551</v>
      </c>
    </row>
    <row r="1014" spans="1:11" ht="34.5" customHeight="1" x14ac:dyDescent="0.25">
      <c r="A1014" s="25"/>
      <c r="B1014" s="26" t="s">
        <v>1552</v>
      </c>
      <c r="C1014" s="3"/>
      <c r="D1014" s="21"/>
      <c r="E1014" s="21"/>
      <c r="F1014" s="3" t="s">
        <v>78</v>
      </c>
      <c r="G1014" s="3">
        <v>1</v>
      </c>
      <c r="H1014" s="23"/>
      <c r="I1014" s="124">
        <f t="shared" si="33"/>
        <v>0</v>
      </c>
      <c r="J1014" s="21"/>
      <c r="K1014" s="24" t="s">
        <v>1553</v>
      </c>
    </row>
    <row r="1015" spans="1:11" ht="34.5" customHeight="1" x14ac:dyDescent="0.25">
      <c r="A1015" s="25"/>
      <c r="B1015" s="26" t="s">
        <v>1554</v>
      </c>
      <c r="C1015" s="3"/>
      <c r="D1015" s="21"/>
      <c r="E1015" s="21"/>
      <c r="F1015" s="3" t="s">
        <v>78</v>
      </c>
      <c r="G1015" s="3">
        <v>1</v>
      </c>
      <c r="H1015" s="23"/>
      <c r="I1015" s="124">
        <f t="shared" si="33"/>
        <v>0</v>
      </c>
      <c r="J1015" s="21"/>
      <c r="K1015" s="24" t="s">
        <v>1555</v>
      </c>
    </row>
    <row r="1016" spans="1:11" ht="34.5" customHeight="1" x14ac:dyDescent="0.25">
      <c r="A1016" s="25"/>
      <c r="B1016" s="26" t="s">
        <v>1556</v>
      </c>
      <c r="C1016" s="3"/>
      <c r="D1016" s="21"/>
      <c r="E1016" s="21"/>
      <c r="F1016" s="3" t="s">
        <v>78</v>
      </c>
      <c r="G1016" s="3">
        <v>1</v>
      </c>
      <c r="H1016" s="23"/>
      <c r="I1016" s="124">
        <f t="shared" si="33"/>
        <v>0</v>
      </c>
      <c r="J1016" s="21"/>
      <c r="K1016" s="24" t="s">
        <v>1557</v>
      </c>
    </row>
    <row r="1017" spans="1:11" ht="34.5" customHeight="1" x14ac:dyDescent="0.25">
      <c r="A1017" s="25"/>
      <c r="B1017" s="26" t="s">
        <v>1558</v>
      </c>
      <c r="C1017" s="3"/>
      <c r="D1017" s="21"/>
      <c r="E1017" s="21"/>
      <c r="F1017" s="3" t="s">
        <v>78</v>
      </c>
      <c r="G1017" s="3">
        <v>1</v>
      </c>
      <c r="H1017" s="23"/>
      <c r="I1017" s="124">
        <f t="shared" si="33"/>
        <v>0</v>
      </c>
      <c r="J1017" s="21"/>
      <c r="K1017" s="24" t="s">
        <v>1559</v>
      </c>
    </row>
    <row r="1018" spans="1:11" ht="34.5" customHeight="1" x14ac:dyDescent="0.25">
      <c r="A1018" s="25"/>
      <c r="B1018" s="26" t="s">
        <v>1560</v>
      </c>
      <c r="C1018" s="3"/>
      <c r="D1018" s="21"/>
      <c r="E1018" s="21"/>
      <c r="F1018" s="3" t="s">
        <v>78</v>
      </c>
      <c r="G1018" s="3">
        <v>4</v>
      </c>
      <c r="H1018" s="23"/>
      <c r="I1018" s="124">
        <f t="shared" si="33"/>
        <v>0</v>
      </c>
      <c r="J1018" s="21"/>
      <c r="K1018" s="24" t="s">
        <v>1561</v>
      </c>
    </row>
    <row r="1019" spans="1:11" ht="34.5" customHeight="1" x14ac:dyDescent="0.25">
      <c r="A1019" s="25"/>
      <c r="B1019" s="26" t="s">
        <v>1562</v>
      </c>
      <c r="C1019" s="3"/>
      <c r="D1019" s="21"/>
      <c r="E1019" s="21"/>
      <c r="F1019" s="3" t="s">
        <v>78</v>
      </c>
      <c r="G1019" s="3">
        <v>3</v>
      </c>
      <c r="H1019" s="23"/>
      <c r="I1019" s="124">
        <f t="shared" si="33"/>
        <v>0</v>
      </c>
      <c r="J1019" s="21"/>
      <c r="K1019" s="24" t="s">
        <v>1563</v>
      </c>
    </row>
    <row r="1020" spans="1:11" ht="34.5" customHeight="1" x14ac:dyDescent="0.25">
      <c r="A1020" s="25"/>
      <c r="B1020" s="26" t="s">
        <v>1564</v>
      </c>
      <c r="C1020" s="3"/>
      <c r="D1020" s="21"/>
      <c r="E1020" s="21"/>
      <c r="F1020" s="3" t="s">
        <v>78</v>
      </c>
      <c r="G1020" s="3">
        <v>2</v>
      </c>
      <c r="H1020" s="23"/>
      <c r="I1020" s="124">
        <f t="shared" si="33"/>
        <v>0</v>
      </c>
      <c r="J1020" s="21"/>
      <c r="K1020" s="24" t="s">
        <v>1565</v>
      </c>
    </row>
    <row r="1021" spans="1:11" ht="34.5" customHeight="1" x14ac:dyDescent="0.25">
      <c r="A1021" s="25"/>
      <c r="B1021" s="26" t="s">
        <v>1566</v>
      </c>
      <c r="C1021" s="3"/>
      <c r="D1021" s="21"/>
      <c r="E1021" s="21"/>
      <c r="F1021" s="3" t="s">
        <v>78</v>
      </c>
      <c r="G1021" s="3">
        <v>1</v>
      </c>
      <c r="H1021" s="23"/>
      <c r="I1021" s="124">
        <f t="shared" si="33"/>
        <v>0</v>
      </c>
      <c r="J1021" s="21"/>
      <c r="K1021" s="24" t="s">
        <v>1567</v>
      </c>
    </row>
    <row r="1022" spans="1:11" ht="34.5" customHeight="1" x14ac:dyDescent="0.25">
      <c r="A1022" s="25"/>
      <c r="B1022" s="26" t="s">
        <v>1568</v>
      </c>
      <c r="C1022" s="3"/>
      <c r="D1022" s="21"/>
      <c r="E1022" s="21"/>
      <c r="F1022" s="3" t="s">
        <v>78</v>
      </c>
      <c r="G1022" s="3">
        <v>2</v>
      </c>
      <c r="H1022" s="23"/>
      <c r="I1022" s="124">
        <f t="shared" si="33"/>
        <v>0</v>
      </c>
      <c r="J1022" s="21"/>
      <c r="K1022" s="24" t="s">
        <v>1569</v>
      </c>
    </row>
    <row r="1023" spans="1:11" ht="34.5" customHeight="1" x14ac:dyDescent="0.25">
      <c r="A1023" s="25"/>
      <c r="B1023" s="26" t="s">
        <v>1570</v>
      </c>
      <c r="C1023" s="3"/>
      <c r="D1023" s="21"/>
      <c r="E1023" s="21"/>
      <c r="F1023" s="3" t="s">
        <v>78</v>
      </c>
      <c r="G1023" s="3">
        <v>1</v>
      </c>
      <c r="H1023" s="23"/>
      <c r="I1023" s="124">
        <f t="shared" si="33"/>
        <v>0</v>
      </c>
      <c r="J1023" s="21"/>
      <c r="K1023" s="24" t="s">
        <v>1555</v>
      </c>
    </row>
    <row r="1024" spans="1:11" ht="34.5" customHeight="1" x14ac:dyDescent="0.25">
      <c r="A1024" s="25"/>
      <c r="B1024" s="26" t="s">
        <v>1571</v>
      </c>
      <c r="C1024" s="3"/>
      <c r="D1024" s="21"/>
      <c r="E1024" s="21"/>
      <c r="F1024" s="3" t="s">
        <v>78</v>
      </c>
      <c r="G1024" s="3">
        <v>1</v>
      </c>
      <c r="H1024" s="23"/>
      <c r="I1024" s="124">
        <f t="shared" si="33"/>
        <v>0</v>
      </c>
      <c r="J1024" s="21"/>
      <c r="K1024" s="24" t="s">
        <v>1572</v>
      </c>
    </row>
    <row r="1025" spans="1:11" ht="34.5" customHeight="1" x14ac:dyDescent="0.25">
      <c r="A1025" s="25"/>
      <c r="B1025" s="26" t="s">
        <v>1573</v>
      </c>
      <c r="C1025" s="3"/>
      <c r="D1025" s="21"/>
      <c r="E1025" s="21"/>
      <c r="F1025" s="3" t="s">
        <v>78</v>
      </c>
      <c r="G1025" s="3">
        <v>4</v>
      </c>
      <c r="H1025" s="23"/>
      <c r="I1025" s="124">
        <f t="shared" si="33"/>
        <v>0</v>
      </c>
      <c r="J1025" s="21"/>
      <c r="K1025" s="24" t="s">
        <v>1574</v>
      </c>
    </row>
    <row r="1026" spans="1:11" ht="34.5" customHeight="1" x14ac:dyDescent="0.25">
      <c r="A1026" s="25"/>
      <c r="B1026" s="26" t="s">
        <v>1575</v>
      </c>
      <c r="C1026" s="3"/>
      <c r="D1026" s="21"/>
      <c r="E1026" s="21"/>
      <c r="F1026" s="3" t="s">
        <v>78</v>
      </c>
      <c r="G1026" s="3">
        <v>1</v>
      </c>
      <c r="H1026" s="23"/>
      <c r="I1026" s="124">
        <f t="shared" si="33"/>
        <v>0</v>
      </c>
      <c r="J1026" s="21"/>
      <c r="K1026" s="24" t="s">
        <v>1576</v>
      </c>
    </row>
    <row r="1027" spans="1:11" ht="34.5" customHeight="1" x14ac:dyDescent="0.25">
      <c r="A1027" s="25"/>
      <c r="B1027" s="26" t="s">
        <v>1577</v>
      </c>
      <c r="C1027" s="3"/>
      <c r="D1027" s="21"/>
      <c r="E1027" s="21"/>
      <c r="F1027" s="3" t="s">
        <v>78</v>
      </c>
      <c r="G1027" s="3">
        <v>3</v>
      </c>
      <c r="H1027" s="23"/>
      <c r="I1027" s="124">
        <f t="shared" si="33"/>
        <v>0</v>
      </c>
      <c r="J1027" s="21"/>
      <c r="K1027" s="24"/>
    </row>
    <row r="1028" spans="1:11" ht="34.5" customHeight="1" x14ac:dyDescent="0.25">
      <c r="A1028" s="25"/>
      <c r="B1028" s="26" t="s">
        <v>1578</v>
      </c>
      <c r="C1028" s="3"/>
      <c r="D1028" s="21"/>
      <c r="E1028" s="21"/>
      <c r="F1028" s="3" t="s">
        <v>78</v>
      </c>
      <c r="G1028" s="3">
        <v>2</v>
      </c>
      <c r="H1028" s="23"/>
      <c r="I1028" s="124">
        <f t="shared" si="33"/>
        <v>0</v>
      </c>
      <c r="J1028" s="21"/>
      <c r="K1028" s="24" t="s">
        <v>1579</v>
      </c>
    </row>
    <row r="1029" spans="1:11" ht="34.5" customHeight="1" x14ac:dyDescent="0.25">
      <c r="A1029" s="25"/>
      <c r="B1029" s="26" t="s">
        <v>1580</v>
      </c>
      <c r="C1029" s="3"/>
      <c r="D1029" s="21"/>
      <c r="E1029" s="21"/>
      <c r="F1029" s="3" t="s">
        <v>78</v>
      </c>
      <c r="G1029" s="3">
        <v>1</v>
      </c>
      <c r="H1029" s="23"/>
      <c r="I1029" s="124">
        <f t="shared" si="33"/>
        <v>0</v>
      </c>
      <c r="J1029" s="21"/>
      <c r="K1029" s="24" t="s">
        <v>1581</v>
      </c>
    </row>
    <row r="1030" spans="1:11" ht="34.5" customHeight="1" x14ac:dyDescent="0.25">
      <c r="A1030" s="25"/>
      <c r="B1030" s="26" t="s">
        <v>1582</v>
      </c>
      <c r="C1030" s="3"/>
      <c r="D1030" s="21"/>
      <c r="E1030" s="21"/>
      <c r="F1030" s="3" t="s">
        <v>78</v>
      </c>
      <c r="G1030" s="3">
        <v>2</v>
      </c>
      <c r="H1030" s="23"/>
      <c r="I1030" s="124">
        <f t="shared" si="33"/>
        <v>0</v>
      </c>
      <c r="J1030" s="21"/>
      <c r="K1030" s="24" t="s">
        <v>1583</v>
      </c>
    </row>
    <row r="1031" spans="1:11" ht="34.5" customHeight="1" x14ac:dyDescent="0.25">
      <c r="A1031" s="25"/>
      <c r="B1031" s="26" t="s">
        <v>1584</v>
      </c>
      <c r="C1031" s="3"/>
      <c r="D1031" s="21"/>
      <c r="E1031" s="21"/>
      <c r="F1031" s="3" t="s">
        <v>78</v>
      </c>
      <c r="G1031" s="3">
        <v>1</v>
      </c>
      <c r="H1031" s="23"/>
      <c r="I1031" s="124">
        <f t="shared" si="33"/>
        <v>0</v>
      </c>
      <c r="J1031" s="21"/>
      <c r="K1031" s="24" t="s">
        <v>1585</v>
      </c>
    </row>
    <row r="1032" spans="1:11" ht="34.5" customHeight="1" x14ac:dyDescent="0.25">
      <c r="A1032" s="25"/>
      <c r="B1032" s="26" t="s">
        <v>1586</v>
      </c>
      <c r="C1032" s="3"/>
      <c r="D1032" s="21"/>
      <c r="E1032" s="21"/>
      <c r="F1032" s="3" t="s">
        <v>78</v>
      </c>
      <c r="G1032" s="3">
        <v>1</v>
      </c>
      <c r="H1032" s="23"/>
      <c r="I1032" s="124">
        <f t="shared" si="33"/>
        <v>0</v>
      </c>
      <c r="J1032" s="21"/>
      <c r="K1032" s="24" t="s">
        <v>1587</v>
      </c>
    </row>
    <row r="1033" spans="1:11" ht="34.5" customHeight="1" x14ac:dyDescent="0.25">
      <c r="A1033" s="25"/>
      <c r="B1033" s="26" t="s">
        <v>1588</v>
      </c>
      <c r="C1033" s="3"/>
      <c r="D1033" s="21"/>
      <c r="E1033" s="21"/>
      <c r="F1033" s="3" t="s">
        <v>78</v>
      </c>
      <c r="G1033" s="3">
        <v>2</v>
      </c>
      <c r="H1033" s="23"/>
      <c r="I1033" s="124">
        <f t="shared" si="33"/>
        <v>0</v>
      </c>
      <c r="J1033" s="21"/>
      <c r="K1033" s="24" t="s">
        <v>1589</v>
      </c>
    </row>
    <row r="1034" spans="1:11" ht="34.5" customHeight="1" x14ac:dyDescent="0.25">
      <c r="A1034" s="25"/>
      <c r="B1034" s="26" t="s">
        <v>1590</v>
      </c>
      <c r="C1034" s="3"/>
      <c r="D1034" s="21"/>
      <c r="E1034" s="21"/>
      <c r="F1034" s="3" t="s">
        <v>78</v>
      </c>
      <c r="G1034" s="3">
        <v>1</v>
      </c>
      <c r="H1034" s="23"/>
      <c r="I1034" s="124">
        <f t="shared" si="33"/>
        <v>0</v>
      </c>
      <c r="J1034" s="21"/>
      <c r="K1034" s="24" t="s">
        <v>1591</v>
      </c>
    </row>
    <row r="1035" spans="1:11" ht="34.5" customHeight="1" x14ac:dyDescent="0.25">
      <c r="A1035" s="25"/>
      <c r="B1035" s="26" t="s">
        <v>1592</v>
      </c>
      <c r="C1035" s="3"/>
      <c r="D1035" s="21"/>
      <c r="E1035" s="21"/>
      <c r="F1035" s="3" t="s">
        <v>78</v>
      </c>
      <c r="G1035" s="3">
        <v>2</v>
      </c>
      <c r="H1035" s="23"/>
      <c r="I1035" s="124">
        <f t="shared" si="33"/>
        <v>0</v>
      </c>
      <c r="J1035" s="21"/>
      <c r="K1035" s="24" t="s">
        <v>1593</v>
      </c>
    </row>
    <row r="1036" spans="1:11" ht="34.5" customHeight="1" x14ac:dyDescent="0.25">
      <c r="A1036" s="25"/>
      <c r="B1036" s="26" t="s">
        <v>1594</v>
      </c>
      <c r="C1036" s="3"/>
      <c r="D1036" s="21"/>
      <c r="E1036" s="21"/>
      <c r="F1036" s="3" t="s">
        <v>78</v>
      </c>
      <c r="G1036" s="3">
        <v>1</v>
      </c>
      <c r="H1036" s="23"/>
      <c r="I1036" s="124">
        <f t="shared" si="33"/>
        <v>0</v>
      </c>
      <c r="J1036" s="21"/>
      <c r="K1036" s="24" t="s">
        <v>1595</v>
      </c>
    </row>
    <row r="1037" spans="1:11" ht="34.5" customHeight="1" x14ac:dyDescent="0.25">
      <c r="A1037" s="25"/>
      <c r="B1037" s="26" t="s">
        <v>1596</v>
      </c>
      <c r="C1037" s="3"/>
      <c r="D1037" s="21"/>
      <c r="E1037" s="21"/>
      <c r="F1037" s="3" t="s">
        <v>78</v>
      </c>
      <c r="G1037" s="3">
        <v>1</v>
      </c>
      <c r="H1037" s="23"/>
      <c r="I1037" s="124">
        <f t="shared" si="33"/>
        <v>0</v>
      </c>
      <c r="J1037" s="21"/>
      <c r="K1037" s="24" t="s">
        <v>1597</v>
      </c>
    </row>
    <row r="1038" spans="1:11" ht="34.5" customHeight="1" x14ac:dyDescent="0.25">
      <c r="A1038" s="25"/>
      <c r="B1038" s="26" t="s">
        <v>1598</v>
      </c>
      <c r="C1038" s="3"/>
      <c r="D1038" s="21"/>
      <c r="E1038" s="21"/>
      <c r="F1038" s="3" t="s">
        <v>78</v>
      </c>
      <c r="G1038" s="3">
        <v>1</v>
      </c>
      <c r="H1038" s="23"/>
      <c r="I1038" s="124">
        <f t="shared" si="33"/>
        <v>0</v>
      </c>
      <c r="J1038" s="21"/>
      <c r="K1038" s="24" t="s">
        <v>1599</v>
      </c>
    </row>
    <row r="1039" spans="1:11" ht="34.5" customHeight="1" x14ac:dyDescent="0.25">
      <c r="A1039" s="25"/>
      <c r="B1039" s="26" t="s">
        <v>1600</v>
      </c>
      <c r="C1039" s="3"/>
      <c r="D1039" s="21"/>
      <c r="E1039" s="21"/>
      <c r="F1039" s="3" t="s">
        <v>78</v>
      </c>
      <c r="G1039" s="3">
        <v>1</v>
      </c>
      <c r="H1039" s="23"/>
      <c r="I1039" s="124">
        <f t="shared" si="33"/>
        <v>0</v>
      </c>
      <c r="J1039" s="21"/>
      <c r="K1039" s="24" t="s">
        <v>1601</v>
      </c>
    </row>
    <row r="1040" spans="1:11" ht="34.5" customHeight="1" x14ac:dyDescent="0.25">
      <c r="A1040" s="25"/>
      <c r="B1040" s="26" t="s">
        <v>1602</v>
      </c>
      <c r="C1040" s="3"/>
      <c r="D1040" s="21"/>
      <c r="E1040" s="21"/>
      <c r="F1040" s="3" t="s">
        <v>78</v>
      </c>
      <c r="G1040" s="3">
        <v>1</v>
      </c>
      <c r="H1040" s="23"/>
      <c r="I1040" s="124">
        <f t="shared" si="33"/>
        <v>0</v>
      </c>
      <c r="J1040" s="21"/>
      <c r="K1040" s="24" t="s">
        <v>1603</v>
      </c>
    </row>
    <row r="1041" spans="1:11" ht="34.5" customHeight="1" x14ac:dyDescent="0.25">
      <c r="A1041" s="25"/>
      <c r="B1041" s="26" t="s">
        <v>1604</v>
      </c>
      <c r="C1041" s="3"/>
      <c r="D1041" s="21"/>
      <c r="E1041" s="21"/>
      <c r="F1041" s="3" t="s">
        <v>78</v>
      </c>
      <c r="G1041" s="3">
        <v>4</v>
      </c>
      <c r="H1041" s="23"/>
      <c r="I1041" s="124">
        <f t="shared" si="33"/>
        <v>0</v>
      </c>
      <c r="J1041" s="21"/>
      <c r="K1041" s="24" t="s">
        <v>1605</v>
      </c>
    </row>
    <row r="1042" spans="1:11" ht="34.5" customHeight="1" x14ac:dyDescent="0.25">
      <c r="A1042" s="25"/>
      <c r="B1042" s="26" t="s">
        <v>1606</v>
      </c>
      <c r="C1042" s="3"/>
      <c r="D1042" s="21"/>
      <c r="E1042" s="21"/>
      <c r="F1042" s="3" t="s">
        <v>78</v>
      </c>
      <c r="G1042" s="3">
        <v>1</v>
      </c>
      <c r="H1042" s="23"/>
      <c r="I1042" s="124">
        <f t="shared" ref="I1042:I1076" si="34">H1042*G1042</f>
        <v>0</v>
      </c>
      <c r="J1042" s="21"/>
      <c r="K1042" s="24" t="s">
        <v>1607</v>
      </c>
    </row>
    <row r="1043" spans="1:11" ht="34.5" customHeight="1" x14ac:dyDescent="0.25">
      <c r="A1043" s="25"/>
      <c r="B1043" s="26" t="s">
        <v>1608</v>
      </c>
      <c r="C1043" s="3"/>
      <c r="D1043" s="21"/>
      <c r="E1043" s="21"/>
      <c r="F1043" s="3" t="s">
        <v>78</v>
      </c>
      <c r="G1043" s="3">
        <v>2</v>
      </c>
      <c r="H1043" s="23"/>
      <c r="I1043" s="124">
        <f t="shared" si="34"/>
        <v>0</v>
      </c>
      <c r="J1043" s="21"/>
      <c r="K1043" s="24" t="s">
        <v>1609</v>
      </c>
    </row>
    <row r="1044" spans="1:11" ht="34.5" customHeight="1" x14ac:dyDescent="0.25">
      <c r="A1044" s="25"/>
      <c r="B1044" s="26" t="s">
        <v>1610</v>
      </c>
      <c r="C1044" s="3"/>
      <c r="D1044" s="21"/>
      <c r="E1044" s="21"/>
      <c r="F1044" s="3" t="s">
        <v>78</v>
      </c>
      <c r="G1044" s="3">
        <v>1</v>
      </c>
      <c r="H1044" s="23"/>
      <c r="I1044" s="124">
        <f t="shared" si="34"/>
        <v>0</v>
      </c>
      <c r="J1044" s="21"/>
      <c r="K1044" s="24" t="s">
        <v>1611</v>
      </c>
    </row>
    <row r="1045" spans="1:11" ht="34.5" customHeight="1" x14ac:dyDescent="0.25">
      <c r="A1045" s="25"/>
      <c r="B1045" s="26" t="s">
        <v>1612</v>
      </c>
      <c r="C1045" s="3"/>
      <c r="D1045" s="21"/>
      <c r="E1045" s="21"/>
      <c r="F1045" s="3" t="s">
        <v>78</v>
      </c>
      <c r="G1045" s="3">
        <v>1</v>
      </c>
      <c r="H1045" s="23"/>
      <c r="I1045" s="124">
        <f t="shared" si="34"/>
        <v>0</v>
      </c>
      <c r="J1045" s="21"/>
      <c r="K1045" s="24" t="s">
        <v>1499</v>
      </c>
    </row>
    <row r="1046" spans="1:11" ht="34.5" customHeight="1" x14ac:dyDescent="0.25">
      <c r="A1046" s="25"/>
      <c r="B1046" s="26" t="s">
        <v>1613</v>
      </c>
      <c r="C1046" s="3"/>
      <c r="D1046" s="21"/>
      <c r="E1046" s="21"/>
      <c r="F1046" s="3" t="s">
        <v>78</v>
      </c>
      <c r="G1046" s="3">
        <v>2</v>
      </c>
      <c r="H1046" s="23"/>
      <c r="I1046" s="124">
        <f t="shared" si="34"/>
        <v>0</v>
      </c>
      <c r="J1046" s="21"/>
      <c r="K1046" s="24" t="s">
        <v>1614</v>
      </c>
    </row>
    <row r="1047" spans="1:11" ht="34.5" customHeight="1" x14ac:dyDescent="0.25">
      <c r="A1047" s="25"/>
      <c r="B1047" s="26" t="s">
        <v>1615</v>
      </c>
      <c r="C1047" s="3"/>
      <c r="D1047" s="21"/>
      <c r="E1047" s="21"/>
      <c r="F1047" s="3" t="s">
        <v>78</v>
      </c>
      <c r="G1047" s="3">
        <v>2</v>
      </c>
      <c r="H1047" s="23"/>
      <c r="I1047" s="124">
        <f t="shared" si="34"/>
        <v>0</v>
      </c>
      <c r="J1047" s="21"/>
      <c r="K1047" s="24" t="s">
        <v>1616</v>
      </c>
    </row>
    <row r="1048" spans="1:11" ht="34.5" customHeight="1" x14ac:dyDescent="0.25">
      <c r="A1048" s="25"/>
      <c r="B1048" s="26" t="s">
        <v>1617</v>
      </c>
      <c r="C1048" s="3"/>
      <c r="D1048" s="21"/>
      <c r="E1048" s="21"/>
      <c r="F1048" s="3" t="s">
        <v>78</v>
      </c>
      <c r="G1048" s="3">
        <v>1</v>
      </c>
      <c r="H1048" s="23"/>
      <c r="I1048" s="124">
        <f t="shared" si="34"/>
        <v>0</v>
      </c>
      <c r="J1048" s="21"/>
      <c r="K1048" s="24" t="s">
        <v>1618</v>
      </c>
    </row>
    <row r="1049" spans="1:11" ht="34.5" customHeight="1" x14ac:dyDescent="0.25">
      <c r="A1049" s="25"/>
      <c r="B1049" s="26" t="s">
        <v>1619</v>
      </c>
      <c r="C1049" s="3"/>
      <c r="D1049" s="21"/>
      <c r="E1049" s="21"/>
      <c r="F1049" s="3" t="s">
        <v>78</v>
      </c>
      <c r="G1049" s="3">
        <v>3</v>
      </c>
      <c r="H1049" s="23"/>
      <c r="I1049" s="124">
        <f t="shared" si="34"/>
        <v>0</v>
      </c>
      <c r="J1049" s="21"/>
      <c r="K1049" s="24" t="s">
        <v>1620</v>
      </c>
    </row>
    <row r="1050" spans="1:11" ht="34.5" customHeight="1" x14ac:dyDescent="0.25">
      <c r="A1050" s="25"/>
      <c r="B1050" s="26" t="s">
        <v>1621</v>
      </c>
      <c r="C1050" s="3"/>
      <c r="D1050" s="21"/>
      <c r="E1050" s="21"/>
      <c r="F1050" s="3" t="s">
        <v>78</v>
      </c>
      <c r="G1050" s="3">
        <v>2</v>
      </c>
      <c r="H1050" s="23"/>
      <c r="I1050" s="124">
        <f t="shared" si="34"/>
        <v>0</v>
      </c>
      <c r="J1050" s="21"/>
      <c r="K1050" s="24" t="s">
        <v>1622</v>
      </c>
    </row>
    <row r="1051" spans="1:11" ht="34.5" customHeight="1" x14ac:dyDescent="0.25">
      <c r="A1051" s="25"/>
      <c r="B1051" s="26" t="s">
        <v>1623</v>
      </c>
      <c r="C1051" s="3"/>
      <c r="D1051" s="21"/>
      <c r="E1051" s="21"/>
      <c r="F1051" s="3" t="s">
        <v>78</v>
      </c>
      <c r="G1051" s="3">
        <v>1</v>
      </c>
      <c r="H1051" s="23"/>
      <c r="I1051" s="124">
        <f t="shared" si="34"/>
        <v>0</v>
      </c>
      <c r="J1051" s="21"/>
      <c r="K1051" s="24" t="s">
        <v>1624</v>
      </c>
    </row>
    <row r="1052" spans="1:11" ht="34.5" customHeight="1" x14ac:dyDescent="0.25">
      <c r="A1052" s="25"/>
      <c r="B1052" s="26" t="s">
        <v>1625</v>
      </c>
      <c r="C1052" s="3"/>
      <c r="D1052" s="21"/>
      <c r="E1052" s="21"/>
      <c r="F1052" s="3" t="s">
        <v>78</v>
      </c>
      <c r="G1052" s="3">
        <v>1</v>
      </c>
      <c r="H1052" s="23"/>
      <c r="I1052" s="124">
        <f t="shared" si="34"/>
        <v>0</v>
      </c>
      <c r="J1052" s="21"/>
      <c r="K1052" s="24" t="s">
        <v>1626</v>
      </c>
    </row>
    <row r="1053" spans="1:11" ht="34.5" customHeight="1" x14ac:dyDescent="0.25">
      <c r="A1053" s="25"/>
      <c r="B1053" s="26" t="s">
        <v>1627</v>
      </c>
      <c r="C1053" s="3"/>
      <c r="D1053" s="21"/>
      <c r="E1053" s="21"/>
      <c r="F1053" s="3" t="s">
        <v>78</v>
      </c>
      <c r="G1053" s="3">
        <v>1</v>
      </c>
      <c r="H1053" s="23"/>
      <c r="I1053" s="124">
        <f t="shared" si="34"/>
        <v>0</v>
      </c>
      <c r="J1053" s="21"/>
      <c r="K1053" s="24" t="s">
        <v>1628</v>
      </c>
    </row>
    <row r="1054" spans="1:11" ht="34.5" customHeight="1" x14ac:dyDescent="0.25">
      <c r="A1054" s="25"/>
      <c r="B1054" s="26" t="s">
        <v>1629</v>
      </c>
      <c r="C1054" s="3"/>
      <c r="D1054" s="21"/>
      <c r="E1054" s="21"/>
      <c r="F1054" s="3" t="s">
        <v>78</v>
      </c>
      <c r="G1054" s="3">
        <v>2</v>
      </c>
      <c r="H1054" s="23"/>
      <c r="I1054" s="124">
        <f t="shared" si="34"/>
        <v>0</v>
      </c>
      <c r="J1054" s="21"/>
      <c r="K1054" s="24" t="s">
        <v>1630</v>
      </c>
    </row>
    <row r="1055" spans="1:11" ht="34.5" customHeight="1" x14ac:dyDescent="0.25">
      <c r="A1055" s="25"/>
      <c r="B1055" s="26" t="s">
        <v>1631</v>
      </c>
      <c r="C1055" s="3"/>
      <c r="D1055" s="21"/>
      <c r="E1055" s="21"/>
      <c r="F1055" s="3" t="s">
        <v>78</v>
      </c>
      <c r="G1055" s="3">
        <v>2</v>
      </c>
      <c r="H1055" s="23"/>
      <c r="I1055" s="124">
        <f t="shared" si="34"/>
        <v>0</v>
      </c>
      <c r="J1055" s="21"/>
      <c r="K1055" s="24" t="s">
        <v>1632</v>
      </c>
    </row>
    <row r="1056" spans="1:11" ht="34.5" customHeight="1" x14ac:dyDescent="0.25">
      <c r="A1056" s="25"/>
      <c r="B1056" s="26" t="s">
        <v>1633</v>
      </c>
      <c r="C1056" s="3"/>
      <c r="D1056" s="21"/>
      <c r="E1056" s="21"/>
      <c r="F1056" s="3" t="s">
        <v>78</v>
      </c>
      <c r="G1056" s="3">
        <v>1</v>
      </c>
      <c r="H1056" s="23"/>
      <c r="I1056" s="124">
        <f t="shared" si="34"/>
        <v>0</v>
      </c>
      <c r="J1056" s="21"/>
      <c r="K1056" s="24" t="s">
        <v>1634</v>
      </c>
    </row>
    <row r="1057" spans="1:11" ht="34.5" customHeight="1" x14ac:dyDescent="0.25">
      <c r="A1057" s="25"/>
      <c r="B1057" s="26" t="s">
        <v>1635</v>
      </c>
      <c r="C1057" s="3"/>
      <c r="D1057" s="21"/>
      <c r="E1057" s="21"/>
      <c r="F1057" s="3" t="s">
        <v>78</v>
      </c>
      <c r="G1057" s="3">
        <v>1</v>
      </c>
      <c r="H1057" s="23"/>
      <c r="I1057" s="124">
        <f t="shared" si="34"/>
        <v>0</v>
      </c>
      <c r="J1057" s="21"/>
      <c r="K1057" s="24" t="s">
        <v>1636</v>
      </c>
    </row>
    <row r="1058" spans="1:11" ht="34.5" customHeight="1" x14ac:dyDescent="0.25">
      <c r="A1058" s="25"/>
      <c r="B1058" s="26" t="s">
        <v>1637</v>
      </c>
      <c r="C1058" s="3"/>
      <c r="D1058" s="21"/>
      <c r="E1058" s="21"/>
      <c r="F1058" s="3" t="s">
        <v>78</v>
      </c>
      <c r="G1058" s="3">
        <v>2</v>
      </c>
      <c r="H1058" s="23"/>
      <c r="I1058" s="124">
        <f t="shared" si="34"/>
        <v>0</v>
      </c>
      <c r="J1058" s="21"/>
      <c r="K1058" s="24" t="s">
        <v>1638</v>
      </c>
    </row>
    <row r="1059" spans="1:11" ht="34.5" customHeight="1" x14ac:dyDescent="0.25">
      <c r="A1059" s="25"/>
      <c r="B1059" s="26" t="s">
        <v>1639</v>
      </c>
      <c r="C1059" s="3"/>
      <c r="D1059" s="21"/>
      <c r="E1059" s="21"/>
      <c r="F1059" s="3" t="s">
        <v>78</v>
      </c>
      <c r="G1059" s="3">
        <v>3</v>
      </c>
      <c r="H1059" s="23"/>
      <c r="I1059" s="124">
        <f t="shared" si="34"/>
        <v>0</v>
      </c>
      <c r="J1059" s="21"/>
      <c r="K1059" s="24" t="s">
        <v>1640</v>
      </c>
    </row>
    <row r="1060" spans="1:11" ht="34.5" customHeight="1" x14ac:dyDescent="0.25">
      <c r="A1060" s="25"/>
      <c r="B1060" s="26" t="s">
        <v>1641</v>
      </c>
      <c r="C1060" s="3"/>
      <c r="D1060" s="21"/>
      <c r="E1060" s="21"/>
      <c r="F1060" s="3" t="s">
        <v>78</v>
      </c>
      <c r="G1060" s="3">
        <v>1</v>
      </c>
      <c r="H1060" s="23"/>
      <c r="I1060" s="124">
        <f t="shared" si="34"/>
        <v>0</v>
      </c>
      <c r="J1060" s="21"/>
      <c r="K1060" s="24" t="s">
        <v>1642</v>
      </c>
    </row>
    <row r="1061" spans="1:11" ht="34.5" customHeight="1" x14ac:dyDescent="0.25">
      <c r="A1061" s="25"/>
      <c r="B1061" s="26" t="s">
        <v>1643</v>
      </c>
      <c r="C1061" s="3"/>
      <c r="D1061" s="21"/>
      <c r="E1061" s="21"/>
      <c r="F1061" s="3" t="s">
        <v>78</v>
      </c>
      <c r="G1061" s="3">
        <v>2</v>
      </c>
      <c r="H1061" s="23"/>
      <c r="I1061" s="124">
        <f t="shared" si="34"/>
        <v>0</v>
      </c>
      <c r="J1061" s="21"/>
      <c r="K1061" s="24" t="s">
        <v>1644</v>
      </c>
    </row>
    <row r="1062" spans="1:11" ht="34.5" customHeight="1" x14ac:dyDescent="0.25">
      <c r="A1062" s="25"/>
      <c r="B1062" s="26" t="s">
        <v>1645</v>
      </c>
      <c r="C1062" s="3"/>
      <c r="D1062" s="21"/>
      <c r="E1062" s="21"/>
      <c r="F1062" s="3" t="s">
        <v>78</v>
      </c>
      <c r="G1062" s="3">
        <v>2</v>
      </c>
      <c r="H1062" s="23"/>
      <c r="I1062" s="124">
        <f t="shared" si="34"/>
        <v>0</v>
      </c>
      <c r="J1062" s="21"/>
      <c r="K1062" s="24" t="s">
        <v>1646</v>
      </c>
    </row>
    <row r="1063" spans="1:11" ht="34.5" customHeight="1" x14ac:dyDescent="0.25">
      <c r="A1063" s="25"/>
      <c r="B1063" s="26" t="s">
        <v>1647</v>
      </c>
      <c r="C1063" s="3"/>
      <c r="D1063" s="21"/>
      <c r="E1063" s="21"/>
      <c r="F1063" s="3" t="s">
        <v>78</v>
      </c>
      <c r="G1063" s="3">
        <v>1</v>
      </c>
      <c r="H1063" s="23"/>
      <c r="I1063" s="124">
        <f t="shared" si="34"/>
        <v>0</v>
      </c>
      <c r="J1063" s="21"/>
      <c r="K1063" s="24" t="s">
        <v>1648</v>
      </c>
    </row>
    <row r="1064" spans="1:11" ht="34.5" customHeight="1" x14ac:dyDescent="0.25">
      <c r="A1064" s="25"/>
      <c r="B1064" s="26" t="s">
        <v>1649</v>
      </c>
      <c r="C1064" s="3"/>
      <c r="D1064" s="21"/>
      <c r="E1064" s="21"/>
      <c r="F1064" s="3" t="s">
        <v>78</v>
      </c>
      <c r="G1064" s="3">
        <v>1</v>
      </c>
      <c r="H1064" s="23"/>
      <c r="I1064" s="124">
        <f t="shared" si="34"/>
        <v>0</v>
      </c>
      <c r="J1064" s="21"/>
      <c r="K1064" s="24" t="s">
        <v>1555</v>
      </c>
    </row>
    <row r="1065" spans="1:11" ht="34.5" customHeight="1" x14ac:dyDescent="0.25">
      <c r="A1065" s="25"/>
      <c r="B1065" s="26" t="s">
        <v>1650</v>
      </c>
      <c r="C1065" s="3"/>
      <c r="D1065" s="21"/>
      <c r="E1065" s="21"/>
      <c r="F1065" s="3" t="s">
        <v>78</v>
      </c>
      <c r="G1065" s="3">
        <v>1</v>
      </c>
      <c r="H1065" s="23"/>
      <c r="I1065" s="124">
        <f t="shared" si="34"/>
        <v>0</v>
      </c>
      <c r="J1065" s="21"/>
      <c r="K1065" s="24" t="s">
        <v>1651</v>
      </c>
    </row>
    <row r="1066" spans="1:11" ht="34.5" customHeight="1" x14ac:dyDescent="0.25">
      <c r="A1066" s="25"/>
      <c r="B1066" s="26" t="s">
        <v>1652</v>
      </c>
      <c r="C1066" s="3"/>
      <c r="D1066" s="21"/>
      <c r="E1066" s="21"/>
      <c r="F1066" s="3" t="s">
        <v>78</v>
      </c>
      <c r="G1066" s="3">
        <v>1</v>
      </c>
      <c r="H1066" s="23"/>
      <c r="I1066" s="124">
        <f t="shared" si="34"/>
        <v>0</v>
      </c>
      <c r="J1066" s="21"/>
      <c r="K1066" s="24" t="s">
        <v>1559</v>
      </c>
    </row>
    <row r="1067" spans="1:11" ht="34.5" customHeight="1" x14ac:dyDescent="0.25">
      <c r="A1067" s="25"/>
      <c r="B1067" s="26" t="s">
        <v>1653</v>
      </c>
      <c r="C1067" s="3"/>
      <c r="D1067" s="21"/>
      <c r="E1067" s="21"/>
      <c r="F1067" s="3" t="s">
        <v>78</v>
      </c>
      <c r="G1067" s="3">
        <v>1</v>
      </c>
      <c r="H1067" s="23"/>
      <c r="I1067" s="124">
        <f t="shared" si="34"/>
        <v>0</v>
      </c>
      <c r="J1067" s="21"/>
      <c r="K1067" s="24" t="s">
        <v>1654</v>
      </c>
    </row>
    <row r="1068" spans="1:11" ht="34.5" customHeight="1" x14ac:dyDescent="0.25">
      <c r="A1068" s="25"/>
      <c r="B1068" s="26" t="s">
        <v>1655</v>
      </c>
      <c r="C1068" s="3"/>
      <c r="D1068" s="21"/>
      <c r="E1068" s="21"/>
      <c r="F1068" s="3" t="s">
        <v>78</v>
      </c>
      <c r="G1068" s="3">
        <v>1</v>
      </c>
      <c r="H1068" s="23"/>
      <c r="I1068" s="124">
        <f t="shared" si="34"/>
        <v>0</v>
      </c>
      <c r="J1068" s="21"/>
      <c r="K1068" s="24" t="s">
        <v>1656</v>
      </c>
    </row>
    <row r="1069" spans="1:11" ht="34.5" customHeight="1" x14ac:dyDescent="0.25">
      <c r="A1069" s="25"/>
      <c r="B1069" s="26" t="s">
        <v>1657</v>
      </c>
      <c r="C1069" s="3"/>
      <c r="D1069" s="21"/>
      <c r="E1069" s="21"/>
      <c r="F1069" s="3" t="s">
        <v>78</v>
      </c>
      <c r="G1069" s="3">
        <v>1</v>
      </c>
      <c r="H1069" s="23"/>
      <c r="I1069" s="124">
        <f t="shared" si="34"/>
        <v>0</v>
      </c>
      <c r="J1069" s="21"/>
      <c r="K1069" s="24" t="s">
        <v>1658</v>
      </c>
    </row>
    <row r="1070" spans="1:11" ht="15.75" customHeight="1" x14ac:dyDescent="0.25">
      <c r="A1070" s="25"/>
      <c r="B1070" s="26" t="s">
        <v>1659</v>
      </c>
      <c r="C1070" s="3"/>
      <c r="D1070" s="21"/>
      <c r="E1070" s="21"/>
      <c r="F1070" s="3" t="s">
        <v>158</v>
      </c>
      <c r="G1070" s="3">
        <v>4094.8</v>
      </c>
      <c r="H1070" s="23"/>
      <c r="I1070" s="124">
        <f t="shared" si="34"/>
        <v>0</v>
      </c>
      <c r="J1070" s="21"/>
      <c r="K1070" s="24"/>
    </row>
    <row r="1071" spans="1:11" ht="15.75" customHeight="1" x14ac:dyDescent="0.25">
      <c r="A1071" s="25"/>
      <c r="B1071" s="26" t="s">
        <v>1660</v>
      </c>
      <c r="C1071" s="3" t="s">
        <v>1661</v>
      </c>
      <c r="D1071" s="21"/>
      <c r="E1071" s="21" t="s">
        <v>1662</v>
      </c>
      <c r="F1071" s="3" t="s">
        <v>576</v>
      </c>
      <c r="G1071" s="3">
        <v>262</v>
      </c>
      <c r="H1071" s="23">
        <v>250.14</v>
      </c>
      <c r="I1071" s="124">
        <f t="shared" si="34"/>
        <v>65536.679999999993</v>
      </c>
      <c r="J1071" s="21"/>
      <c r="K1071" s="24"/>
    </row>
    <row r="1072" spans="1:11" ht="15.75" customHeight="1" x14ac:dyDescent="0.25">
      <c r="A1072" s="25"/>
      <c r="B1072" s="26" t="s">
        <v>343</v>
      </c>
      <c r="C1072" s="3" t="s">
        <v>1663</v>
      </c>
      <c r="D1072" s="21"/>
      <c r="E1072" s="21" t="s">
        <v>1662</v>
      </c>
      <c r="F1072" s="3" t="s">
        <v>158</v>
      </c>
      <c r="G1072" s="3">
        <v>210</v>
      </c>
      <c r="H1072" s="23">
        <v>74</v>
      </c>
      <c r="I1072" s="124">
        <f t="shared" si="34"/>
        <v>15540</v>
      </c>
      <c r="J1072" s="21"/>
      <c r="K1072" s="24"/>
    </row>
    <row r="1073" spans="1:11" ht="15.75" customHeight="1" x14ac:dyDescent="0.25">
      <c r="A1073" s="25"/>
      <c r="B1073" s="26" t="s">
        <v>1664</v>
      </c>
      <c r="C1073" s="3" t="s">
        <v>1665</v>
      </c>
      <c r="D1073" s="21"/>
      <c r="E1073" s="21" t="s">
        <v>1662</v>
      </c>
      <c r="F1073" s="3" t="s">
        <v>576</v>
      </c>
      <c r="G1073" s="3">
        <v>145</v>
      </c>
      <c r="H1073" s="23">
        <v>648.12</v>
      </c>
      <c r="I1073" s="124">
        <f t="shared" si="34"/>
        <v>93977.4</v>
      </c>
      <c r="J1073" s="21"/>
      <c r="K1073" s="24"/>
    </row>
    <row r="1074" spans="1:11" ht="15.75" customHeight="1" x14ac:dyDescent="0.25">
      <c r="A1074" s="25"/>
      <c r="B1074" s="26" t="s">
        <v>343</v>
      </c>
      <c r="C1074" s="3" t="s">
        <v>1663</v>
      </c>
      <c r="D1074" s="21"/>
      <c r="E1074" s="21" t="s">
        <v>1662</v>
      </c>
      <c r="F1074" s="3" t="s">
        <v>158</v>
      </c>
      <c r="G1074" s="3">
        <v>392</v>
      </c>
      <c r="H1074" s="23">
        <v>74</v>
      </c>
      <c r="I1074" s="124">
        <f t="shared" si="34"/>
        <v>29008</v>
      </c>
      <c r="J1074" s="21"/>
      <c r="K1074" s="24"/>
    </row>
    <row r="1075" spans="1:11" ht="15.75" customHeight="1" x14ac:dyDescent="0.25">
      <c r="A1075" s="25"/>
      <c r="B1075" s="26" t="s">
        <v>1666</v>
      </c>
      <c r="C1075" s="3" t="s">
        <v>1667</v>
      </c>
      <c r="D1075" s="21"/>
      <c r="E1075" s="21" t="s">
        <v>1668</v>
      </c>
      <c r="F1075" s="3" t="s">
        <v>576</v>
      </c>
      <c r="G1075" s="3">
        <v>1250</v>
      </c>
      <c r="H1075" s="23"/>
      <c r="I1075" s="124">
        <f t="shared" si="34"/>
        <v>0</v>
      </c>
      <c r="J1075" s="21"/>
      <c r="K1075" s="24"/>
    </row>
    <row r="1076" spans="1:11" ht="15.75" customHeight="1" x14ac:dyDescent="0.25">
      <c r="A1076" s="25"/>
      <c r="B1076" s="26" t="s">
        <v>1669</v>
      </c>
      <c r="C1076" s="3" t="s">
        <v>1667</v>
      </c>
      <c r="D1076" s="21"/>
      <c r="E1076" s="21" t="s">
        <v>1668</v>
      </c>
      <c r="F1076" s="3" t="s">
        <v>576</v>
      </c>
      <c r="G1076" s="3">
        <v>290</v>
      </c>
      <c r="H1076" s="23"/>
      <c r="I1076" s="124">
        <f t="shared" si="34"/>
        <v>0</v>
      </c>
      <c r="J1076" s="21"/>
      <c r="K1076" s="24"/>
    </row>
    <row r="1077" spans="1:11" ht="34.5" customHeight="1" x14ac:dyDescent="0.25">
      <c r="A1077" s="19" t="s">
        <v>432</v>
      </c>
      <c r="B1077" s="20" t="s">
        <v>1670</v>
      </c>
      <c r="C1077" s="21"/>
      <c r="D1077" s="21"/>
      <c r="E1077" s="21"/>
      <c r="F1077" s="22"/>
      <c r="G1077" s="21"/>
      <c r="H1077" s="23"/>
      <c r="I1077" s="124"/>
      <c r="J1077" s="21"/>
      <c r="K1077" s="24"/>
    </row>
    <row r="1078" spans="1:11" ht="45" customHeight="1" x14ac:dyDescent="0.25">
      <c r="A1078" s="25"/>
      <c r="B1078" s="26" t="s">
        <v>1671</v>
      </c>
      <c r="C1078" s="3" t="s">
        <v>1672</v>
      </c>
      <c r="D1078" s="21"/>
      <c r="E1078" s="21" t="s">
        <v>810</v>
      </c>
      <c r="F1078" s="3" t="s">
        <v>78</v>
      </c>
      <c r="G1078" s="3">
        <v>1</v>
      </c>
      <c r="H1078" s="23">
        <v>18905.23</v>
      </c>
      <c r="I1078" s="124">
        <f t="shared" ref="I1078:I1109" si="35">H1078*G1078</f>
        <v>18905.23</v>
      </c>
      <c r="J1078" s="21"/>
      <c r="K1078" s="24"/>
    </row>
    <row r="1079" spans="1:11" ht="45" customHeight="1" x14ac:dyDescent="0.25">
      <c r="A1079" s="25"/>
      <c r="B1079" s="26" t="s">
        <v>1673</v>
      </c>
      <c r="C1079" s="3" t="s">
        <v>1672</v>
      </c>
      <c r="D1079" s="21"/>
      <c r="E1079" s="21" t="s">
        <v>810</v>
      </c>
      <c r="F1079" s="3" t="s">
        <v>78</v>
      </c>
      <c r="G1079" s="3">
        <v>1</v>
      </c>
      <c r="H1079" s="23">
        <v>24824.76</v>
      </c>
      <c r="I1079" s="124">
        <f t="shared" si="35"/>
        <v>24824.76</v>
      </c>
      <c r="J1079" s="21"/>
      <c r="K1079" s="24"/>
    </row>
    <row r="1080" spans="1:11" ht="45" customHeight="1" x14ac:dyDescent="0.25">
      <c r="A1080" s="25"/>
      <c r="B1080" s="26" t="s">
        <v>1674</v>
      </c>
      <c r="C1080" s="3" t="s">
        <v>1675</v>
      </c>
      <c r="D1080" s="21"/>
      <c r="E1080" s="21" t="s">
        <v>810</v>
      </c>
      <c r="F1080" s="3" t="s">
        <v>78</v>
      </c>
      <c r="G1080" s="3">
        <v>1</v>
      </c>
      <c r="H1080" s="23">
        <v>33467.56</v>
      </c>
      <c r="I1080" s="124">
        <f t="shared" si="35"/>
        <v>33467.56</v>
      </c>
      <c r="J1080" s="21"/>
      <c r="K1080" s="24"/>
    </row>
    <row r="1081" spans="1:11" ht="45" customHeight="1" x14ac:dyDescent="0.25">
      <c r="A1081" s="25"/>
      <c r="B1081" s="26" t="s">
        <v>1676</v>
      </c>
      <c r="C1081" s="3" t="s">
        <v>1672</v>
      </c>
      <c r="D1081" s="21"/>
      <c r="E1081" s="21" t="s">
        <v>810</v>
      </c>
      <c r="F1081" s="3" t="s">
        <v>78</v>
      </c>
      <c r="G1081" s="3">
        <v>14</v>
      </c>
      <c r="H1081" s="23">
        <v>27548.03</v>
      </c>
      <c r="I1081" s="124">
        <f t="shared" si="35"/>
        <v>385672.42</v>
      </c>
      <c r="J1081" s="21"/>
      <c r="K1081" s="24"/>
    </row>
    <row r="1082" spans="1:11" ht="45" customHeight="1" x14ac:dyDescent="0.25">
      <c r="A1082" s="25"/>
      <c r="B1082" s="26" t="s">
        <v>1677</v>
      </c>
      <c r="C1082" s="3" t="s">
        <v>1672</v>
      </c>
      <c r="D1082" s="21"/>
      <c r="E1082" s="21" t="s">
        <v>810</v>
      </c>
      <c r="F1082" s="3" t="s">
        <v>78</v>
      </c>
      <c r="G1082" s="3">
        <v>14</v>
      </c>
      <c r="H1082" s="23">
        <v>28737.67</v>
      </c>
      <c r="I1082" s="124">
        <f t="shared" si="35"/>
        <v>402327.38</v>
      </c>
      <c r="J1082" s="21"/>
      <c r="K1082" s="24"/>
    </row>
    <row r="1083" spans="1:11" ht="45" customHeight="1" x14ac:dyDescent="0.25">
      <c r="A1083" s="25"/>
      <c r="B1083" s="26" t="s">
        <v>1678</v>
      </c>
      <c r="C1083" s="3" t="s">
        <v>1672</v>
      </c>
      <c r="D1083" s="21"/>
      <c r="E1083" s="21" t="s">
        <v>810</v>
      </c>
      <c r="F1083" s="3" t="s">
        <v>78</v>
      </c>
      <c r="G1083" s="3">
        <v>1</v>
      </c>
      <c r="H1083" s="23">
        <v>38928.43</v>
      </c>
      <c r="I1083" s="124">
        <f t="shared" si="35"/>
        <v>38928.43</v>
      </c>
      <c r="J1083" s="21"/>
      <c r="K1083" s="24"/>
    </row>
    <row r="1084" spans="1:11" ht="45" customHeight="1" x14ac:dyDescent="0.25">
      <c r="A1084" s="25"/>
      <c r="B1084" s="26" t="s">
        <v>1679</v>
      </c>
      <c r="C1084" s="3" t="s">
        <v>1672</v>
      </c>
      <c r="D1084" s="21"/>
      <c r="E1084" s="21" t="s">
        <v>810</v>
      </c>
      <c r="F1084" s="3" t="s">
        <v>78</v>
      </c>
      <c r="G1084" s="3">
        <v>1</v>
      </c>
      <c r="H1084" s="23">
        <v>30371.63</v>
      </c>
      <c r="I1084" s="124">
        <f t="shared" si="35"/>
        <v>30371.63</v>
      </c>
      <c r="J1084" s="21"/>
      <c r="K1084" s="24"/>
    </row>
    <row r="1085" spans="1:11" ht="34.5" customHeight="1" x14ac:dyDescent="0.25">
      <c r="A1085" s="25"/>
      <c r="B1085" s="26" t="s">
        <v>1680</v>
      </c>
      <c r="C1085" s="3"/>
      <c r="D1085" s="21"/>
      <c r="E1085" s="21"/>
      <c r="F1085" s="3" t="s">
        <v>89</v>
      </c>
      <c r="G1085" s="3">
        <v>3.68</v>
      </c>
      <c r="H1085" s="23"/>
      <c r="I1085" s="124">
        <f t="shared" si="35"/>
        <v>0</v>
      </c>
      <c r="J1085" s="21"/>
      <c r="K1085" s="24" t="s">
        <v>1681</v>
      </c>
    </row>
    <row r="1086" spans="1:11" ht="34.5" customHeight="1" x14ac:dyDescent="0.25">
      <c r="A1086" s="25"/>
      <c r="B1086" s="26" t="s">
        <v>1682</v>
      </c>
      <c r="C1086" s="3"/>
      <c r="D1086" s="21"/>
      <c r="E1086" s="21"/>
      <c r="F1086" s="3" t="s">
        <v>89</v>
      </c>
      <c r="G1086" s="3">
        <v>0.12</v>
      </c>
      <c r="H1086" s="23"/>
      <c r="I1086" s="124">
        <f t="shared" si="35"/>
        <v>0</v>
      </c>
      <c r="J1086" s="21"/>
      <c r="K1086" s="24" t="s">
        <v>1683</v>
      </c>
    </row>
    <row r="1087" spans="1:11" ht="34.5" customHeight="1" x14ac:dyDescent="0.25">
      <c r="A1087" s="25"/>
      <c r="B1087" s="26" t="s">
        <v>1684</v>
      </c>
      <c r="C1087" s="3"/>
      <c r="D1087" s="21"/>
      <c r="E1087" s="21"/>
      <c r="F1087" s="3" t="s">
        <v>89</v>
      </c>
      <c r="G1087" s="3">
        <v>0.81</v>
      </c>
      <c r="H1087" s="23"/>
      <c r="I1087" s="124">
        <f t="shared" si="35"/>
        <v>0</v>
      </c>
      <c r="J1087" s="21"/>
      <c r="K1087" s="24" t="s">
        <v>1685</v>
      </c>
    </row>
    <row r="1088" spans="1:11" ht="34.5" customHeight="1" x14ac:dyDescent="0.25">
      <c r="A1088" s="25"/>
      <c r="B1088" s="26" t="s">
        <v>1686</v>
      </c>
      <c r="C1088" s="3"/>
      <c r="D1088" s="21"/>
      <c r="E1088" s="21"/>
      <c r="F1088" s="3" t="s">
        <v>89</v>
      </c>
      <c r="G1088" s="3">
        <v>7.02</v>
      </c>
      <c r="H1088" s="23"/>
      <c r="I1088" s="124">
        <f t="shared" si="35"/>
        <v>0</v>
      </c>
      <c r="J1088" s="21"/>
      <c r="K1088" s="24" t="s">
        <v>1687</v>
      </c>
    </row>
    <row r="1089" spans="1:11" ht="34.5" customHeight="1" x14ac:dyDescent="0.25">
      <c r="A1089" s="25"/>
      <c r="B1089" s="26" t="s">
        <v>1688</v>
      </c>
      <c r="C1089" s="3"/>
      <c r="D1089" s="21"/>
      <c r="E1089" s="21"/>
      <c r="F1089" s="3" t="s">
        <v>89</v>
      </c>
      <c r="G1089" s="3">
        <v>2.76</v>
      </c>
      <c r="H1089" s="23"/>
      <c r="I1089" s="124">
        <f t="shared" si="35"/>
        <v>0</v>
      </c>
      <c r="J1089" s="21"/>
      <c r="K1089" s="24" t="s">
        <v>1689</v>
      </c>
    </row>
    <row r="1090" spans="1:11" ht="34.5" customHeight="1" x14ac:dyDescent="0.25">
      <c r="A1090" s="25"/>
      <c r="B1090" s="26" t="s">
        <v>1690</v>
      </c>
      <c r="C1090" s="3"/>
      <c r="D1090" s="21"/>
      <c r="E1090" s="21"/>
      <c r="F1090" s="3" t="s">
        <v>89</v>
      </c>
      <c r="G1090" s="3">
        <v>57.27</v>
      </c>
      <c r="H1090" s="23"/>
      <c r="I1090" s="124">
        <f t="shared" si="35"/>
        <v>0</v>
      </c>
      <c r="J1090" s="21"/>
      <c r="K1090" s="24" t="s">
        <v>1691</v>
      </c>
    </row>
    <row r="1091" spans="1:11" ht="34.5" customHeight="1" x14ac:dyDescent="0.25">
      <c r="A1091" s="25"/>
      <c r="B1091" s="26" t="s">
        <v>1692</v>
      </c>
      <c r="C1091" s="3"/>
      <c r="D1091" s="21"/>
      <c r="E1091" s="21"/>
      <c r="F1091" s="3" t="s">
        <v>89</v>
      </c>
      <c r="G1091" s="3">
        <v>0.92</v>
      </c>
      <c r="H1091" s="23"/>
      <c r="I1091" s="124">
        <f t="shared" si="35"/>
        <v>0</v>
      </c>
      <c r="J1091" s="21"/>
      <c r="K1091" s="24" t="s">
        <v>1693</v>
      </c>
    </row>
    <row r="1092" spans="1:11" ht="34.5" customHeight="1" x14ac:dyDescent="0.25">
      <c r="A1092" s="25"/>
      <c r="B1092" s="26" t="s">
        <v>1694</v>
      </c>
      <c r="C1092" s="3"/>
      <c r="D1092" s="21"/>
      <c r="E1092" s="21"/>
      <c r="F1092" s="3" t="s">
        <v>89</v>
      </c>
      <c r="G1092" s="3">
        <v>105.92</v>
      </c>
      <c r="H1092" s="23"/>
      <c r="I1092" s="124">
        <f t="shared" si="35"/>
        <v>0</v>
      </c>
      <c r="J1092" s="21"/>
      <c r="K1092" s="24" t="s">
        <v>1695</v>
      </c>
    </row>
    <row r="1093" spans="1:11" ht="34.5" customHeight="1" x14ac:dyDescent="0.25">
      <c r="A1093" s="25"/>
      <c r="B1093" s="26" t="s">
        <v>1696</v>
      </c>
      <c r="C1093" s="3"/>
      <c r="D1093" s="21"/>
      <c r="E1093" s="21"/>
      <c r="F1093" s="3" t="s">
        <v>89</v>
      </c>
      <c r="G1093" s="3">
        <v>2.0699999999999998</v>
      </c>
      <c r="H1093" s="23"/>
      <c r="I1093" s="124">
        <f t="shared" si="35"/>
        <v>0</v>
      </c>
      <c r="J1093" s="21"/>
      <c r="K1093" s="24" t="s">
        <v>1697</v>
      </c>
    </row>
    <row r="1094" spans="1:11" ht="34.5" customHeight="1" x14ac:dyDescent="0.25">
      <c r="A1094" s="25"/>
      <c r="B1094" s="26" t="s">
        <v>1698</v>
      </c>
      <c r="C1094" s="3"/>
      <c r="D1094" s="21"/>
      <c r="E1094" s="21"/>
      <c r="F1094" s="3" t="s">
        <v>89</v>
      </c>
      <c r="G1094" s="3">
        <v>2.99</v>
      </c>
      <c r="H1094" s="23"/>
      <c r="I1094" s="124">
        <f t="shared" si="35"/>
        <v>0</v>
      </c>
      <c r="J1094" s="21"/>
      <c r="K1094" s="24" t="s">
        <v>1699</v>
      </c>
    </row>
    <row r="1095" spans="1:11" ht="34.5" customHeight="1" x14ac:dyDescent="0.25">
      <c r="A1095" s="25"/>
      <c r="B1095" s="26" t="s">
        <v>1700</v>
      </c>
      <c r="C1095" s="3"/>
      <c r="D1095" s="21"/>
      <c r="E1095" s="21"/>
      <c r="F1095" s="3" t="s">
        <v>89</v>
      </c>
      <c r="G1095" s="3">
        <v>1.5</v>
      </c>
      <c r="H1095" s="23"/>
      <c r="I1095" s="124">
        <f t="shared" si="35"/>
        <v>0</v>
      </c>
      <c r="J1095" s="21"/>
      <c r="K1095" s="24" t="s">
        <v>1701</v>
      </c>
    </row>
    <row r="1096" spans="1:11" ht="34.5" customHeight="1" x14ac:dyDescent="0.25">
      <c r="A1096" s="25"/>
      <c r="B1096" s="26" t="s">
        <v>1702</v>
      </c>
      <c r="C1096" s="3"/>
      <c r="D1096" s="21"/>
      <c r="E1096" s="21"/>
      <c r="F1096" s="3" t="s">
        <v>78</v>
      </c>
      <c r="G1096" s="3">
        <v>2</v>
      </c>
      <c r="H1096" s="23"/>
      <c r="I1096" s="124">
        <f t="shared" si="35"/>
        <v>0</v>
      </c>
      <c r="J1096" s="21"/>
      <c r="K1096" s="24" t="s">
        <v>1703</v>
      </c>
    </row>
    <row r="1097" spans="1:11" ht="34.5" customHeight="1" x14ac:dyDescent="0.25">
      <c r="A1097" s="25"/>
      <c r="B1097" s="26" t="s">
        <v>1704</v>
      </c>
      <c r="C1097" s="3"/>
      <c r="D1097" s="21"/>
      <c r="E1097" s="21"/>
      <c r="F1097" s="3" t="s">
        <v>78</v>
      </c>
      <c r="G1097" s="3">
        <v>1</v>
      </c>
      <c r="H1097" s="23"/>
      <c r="I1097" s="124">
        <f t="shared" si="35"/>
        <v>0</v>
      </c>
      <c r="J1097" s="21"/>
      <c r="K1097" s="24" t="s">
        <v>1191</v>
      </c>
    </row>
    <row r="1098" spans="1:11" ht="34.5" customHeight="1" x14ac:dyDescent="0.25">
      <c r="A1098" s="25"/>
      <c r="B1098" s="26" t="s">
        <v>1705</v>
      </c>
      <c r="C1098" s="3"/>
      <c r="D1098" s="21"/>
      <c r="E1098" s="21"/>
      <c r="F1098" s="3" t="s">
        <v>78</v>
      </c>
      <c r="G1098" s="3">
        <v>1</v>
      </c>
      <c r="H1098" s="23"/>
      <c r="I1098" s="124">
        <f t="shared" si="35"/>
        <v>0</v>
      </c>
      <c r="J1098" s="21"/>
      <c r="K1098" s="24" t="s">
        <v>1706</v>
      </c>
    </row>
    <row r="1099" spans="1:11" ht="34.5" customHeight="1" x14ac:dyDescent="0.25">
      <c r="A1099" s="25"/>
      <c r="B1099" s="26" t="s">
        <v>1707</v>
      </c>
      <c r="C1099" s="3"/>
      <c r="D1099" s="21"/>
      <c r="E1099" s="21"/>
      <c r="F1099" s="3" t="s">
        <v>78</v>
      </c>
      <c r="G1099" s="3">
        <v>1</v>
      </c>
      <c r="H1099" s="23"/>
      <c r="I1099" s="124">
        <f t="shared" si="35"/>
        <v>0</v>
      </c>
      <c r="J1099" s="21"/>
      <c r="K1099" s="24" t="s">
        <v>1708</v>
      </c>
    </row>
    <row r="1100" spans="1:11" ht="34.5" customHeight="1" x14ac:dyDescent="0.25">
      <c r="A1100" s="25"/>
      <c r="B1100" s="26" t="s">
        <v>1709</v>
      </c>
      <c r="C1100" s="3"/>
      <c r="D1100" s="21"/>
      <c r="E1100" s="21"/>
      <c r="F1100" s="3" t="s">
        <v>78</v>
      </c>
      <c r="G1100" s="3">
        <v>13</v>
      </c>
      <c r="H1100" s="23"/>
      <c r="I1100" s="124">
        <f t="shared" si="35"/>
        <v>0</v>
      </c>
      <c r="J1100" s="21"/>
      <c r="K1100" s="24" t="s">
        <v>1710</v>
      </c>
    </row>
    <row r="1101" spans="1:11" ht="34.5" customHeight="1" x14ac:dyDescent="0.25">
      <c r="A1101" s="25"/>
      <c r="B1101" s="26" t="s">
        <v>1711</v>
      </c>
      <c r="C1101" s="3"/>
      <c r="D1101" s="21"/>
      <c r="E1101" s="21"/>
      <c r="F1101" s="3" t="s">
        <v>78</v>
      </c>
      <c r="G1101" s="3">
        <v>1</v>
      </c>
      <c r="H1101" s="23"/>
      <c r="I1101" s="124">
        <f t="shared" si="35"/>
        <v>0</v>
      </c>
      <c r="J1101" s="21"/>
      <c r="K1101" s="24" t="s">
        <v>1712</v>
      </c>
    </row>
    <row r="1102" spans="1:11" ht="34.5" customHeight="1" x14ac:dyDescent="0.25">
      <c r="A1102" s="25"/>
      <c r="B1102" s="26" t="s">
        <v>1713</v>
      </c>
      <c r="C1102" s="3"/>
      <c r="D1102" s="21"/>
      <c r="E1102" s="21"/>
      <c r="F1102" s="3" t="s">
        <v>78</v>
      </c>
      <c r="G1102" s="3">
        <v>2</v>
      </c>
      <c r="H1102" s="23"/>
      <c r="I1102" s="124">
        <f t="shared" si="35"/>
        <v>0</v>
      </c>
      <c r="J1102" s="21"/>
      <c r="K1102" s="24" t="s">
        <v>1714</v>
      </c>
    </row>
    <row r="1103" spans="1:11" ht="34.5" customHeight="1" x14ac:dyDescent="0.25">
      <c r="A1103" s="25"/>
      <c r="B1103" s="26" t="s">
        <v>1715</v>
      </c>
      <c r="C1103" s="3"/>
      <c r="D1103" s="21"/>
      <c r="E1103" s="21"/>
      <c r="F1103" s="3" t="s">
        <v>78</v>
      </c>
      <c r="G1103" s="3">
        <v>3</v>
      </c>
      <c r="H1103" s="23"/>
      <c r="I1103" s="124">
        <f t="shared" si="35"/>
        <v>0</v>
      </c>
      <c r="J1103" s="21"/>
      <c r="K1103" s="24" t="s">
        <v>1235</v>
      </c>
    </row>
    <row r="1104" spans="1:11" ht="34.5" customHeight="1" x14ac:dyDescent="0.25">
      <c r="A1104" s="25"/>
      <c r="B1104" s="26" t="s">
        <v>1716</v>
      </c>
      <c r="C1104" s="3"/>
      <c r="D1104" s="21"/>
      <c r="E1104" s="21"/>
      <c r="F1104" s="3" t="s">
        <v>78</v>
      </c>
      <c r="G1104" s="3">
        <v>2</v>
      </c>
      <c r="H1104" s="23"/>
      <c r="I1104" s="124">
        <f t="shared" si="35"/>
        <v>0</v>
      </c>
      <c r="J1104" s="21"/>
      <c r="K1104" s="24" t="s">
        <v>1717</v>
      </c>
    </row>
    <row r="1105" spans="1:11" ht="34.5" customHeight="1" x14ac:dyDescent="0.25">
      <c r="A1105" s="25"/>
      <c r="B1105" s="26" t="s">
        <v>1718</v>
      </c>
      <c r="C1105" s="3"/>
      <c r="D1105" s="21"/>
      <c r="E1105" s="21"/>
      <c r="F1105" s="3" t="s">
        <v>78</v>
      </c>
      <c r="G1105" s="3">
        <v>1</v>
      </c>
      <c r="H1105" s="23"/>
      <c r="I1105" s="124">
        <f t="shared" si="35"/>
        <v>0</v>
      </c>
      <c r="J1105" s="21"/>
      <c r="K1105" s="24" t="s">
        <v>1227</v>
      </c>
    </row>
    <row r="1106" spans="1:11" ht="34.5" customHeight="1" x14ac:dyDescent="0.25">
      <c r="A1106" s="25"/>
      <c r="B1106" s="26" t="s">
        <v>1719</v>
      </c>
      <c r="C1106" s="3"/>
      <c r="D1106" s="21"/>
      <c r="E1106" s="21"/>
      <c r="F1106" s="3" t="s">
        <v>78</v>
      </c>
      <c r="G1106" s="3">
        <v>1</v>
      </c>
      <c r="H1106" s="23"/>
      <c r="I1106" s="124">
        <f t="shared" si="35"/>
        <v>0</v>
      </c>
      <c r="J1106" s="21"/>
      <c r="K1106" s="24" t="s">
        <v>1241</v>
      </c>
    </row>
    <row r="1107" spans="1:11" ht="34.5" customHeight="1" x14ac:dyDescent="0.25">
      <c r="A1107" s="25"/>
      <c r="B1107" s="26" t="s">
        <v>1720</v>
      </c>
      <c r="C1107" s="3"/>
      <c r="D1107" s="21"/>
      <c r="E1107" s="21"/>
      <c r="F1107" s="3" t="s">
        <v>78</v>
      </c>
      <c r="G1107" s="3">
        <v>11</v>
      </c>
      <c r="H1107" s="23"/>
      <c r="I1107" s="124">
        <f t="shared" si="35"/>
        <v>0</v>
      </c>
      <c r="J1107" s="21"/>
      <c r="K1107" s="24" t="s">
        <v>1249</v>
      </c>
    </row>
    <row r="1108" spans="1:11" ht="34.5" customHeight="1" x14ac:dyDescent="0.25">
      <c r="A1108" s="25"/>
      <c r="B1108" s="26" t="s">
        <v>1721</v>
      </c>
      <c r="C1108" s="3"/>
      <c r="D1108" s="21"/>
      <c r="E1108" s="21"/>
      <c r="F1108" s="3" t="s">
        <v>78</v>
      </c>
      <c r="G1108" s="3">
        <v>1</v>
      </c>
      <c r="H1108" s="23"/>
      <c r="I1108" s="124">
        <f t="shared" si="35"/>
        <v>0</v>
      </c>
      <c r="J1108" s="21"/>
      <c r="K1108" s="24" t="s">
        <v>1241</v>
      </c>
    </row>
    <row r="1109" spans="1:11" ht="34.5" customHeight="1" x14ac:dyDescent="0.25">
      <c r="A1109" s="25"/>
      <c r="B1109" s="26" t="s">
        <v>1722</v>
      </c>
      <c r="C1109" s="3"/>
      <c r="D1109" s="21"/>
      <c r="E1109" s="21"/>
      <c r="F1109" s="3" t="s">
        <v>78</v>
      </c>
      <c r="G1109" s="3">
        <v>4</v>
      </c>
      <c r="H1109" s="23"/>
      <c r="I1109" s="124">
        <f t="shared" si="35"/>
        <v>0</v>
      </c>
      <c r="J1109" s="21"/>
      <c r="K1109" s="24" t="s">
        <v>1723</v>
      </c>
    </row>
    <row r="1110" spans="1:11" ht="34.5" customHeight="1" x14ac:dyDescent="0.25">
      <c r="A1110" s="25"/>
      <c r="B1110" s="26" t="s">
        <v>1724</v>
      </c>
      <c r="C1110" s="3"/>
      <c r="D1110" s="21"/>
      <c r="E1110" s="21"/>
      <c r="F1110" s="3" t="s">
        <v>78</v>
      </c>
      <c r="G1110" s="3">
        <v>2</v>
      </c>
      <c r="H1110" s="23"/>
      <c r="I1110" s="124">
        <f t="shared" ref="I1110:I1127" si="36">H1110*G1110</f>
        <v>0</v>
      </c>
      <c r="J1110" s="21"/>
      <c r="K1110" s="24" t="s">
        <v>1725</v>
      </c>
    </row>
    <row r="1111" spans="1:11" ht="34.5" customHeight="1" x14ac:dyDescent="0.25">
      <c r="A1111" s="25"/>
      <c r="B1111" s="26" t="s">
        <v>1726</v>
      </c>
      <c r="C1111" s="3"/>
      <c r="D1111" s="21"/>
      <c r="E1111" s="21"/>
      <c r="F1111" s="3" t="s">
        <v>78</v>
      </c>
      <c r="G1111" s="3">
        <v>2</v>
      </c>
      <c r="H1111" s="23"/>
      <c r="I1111" s="124">
        <f t="shared" si="36"/>
        <v>0</v>
      </c>
      <c r="J1111" s="21"/>
      <c r="K1111" s="24" t="s">
        <v>1727</v>
      </c>
    </row>
    <row r="1112" spans="1:11" ht="34.5" customHeight="1" x14ac:dyDescent="0.25">
      <c r="A1112" s="25"/>
      <c r="B1112" s="26" t="s">
        <v>1728</v>
      </c>
      <c r="C1112" s="3"/>
      <c r="D1112" s="21"/>
      <c r="E1112" s="21"/>
      <c r="F1112" s="3" t="s">
        <v>78</v>
      </c>
      <c r="G1112" s="3">
        <v>18</v>
      </c>
      <c r="H1112" s="23"/>
      <c r="I1112" s="124">
        <f t="shared" si="36"/>
        <v>0</v>
      </c>
      <c r="J1112" s="21"/>
      <c r="K1112" s="24" t="s">
        <v>1729</v>
      </c>
    </row>
    <row r="1113" spans="1:11" ht="34.5" customHeight="1" x14ac:dyDescent="0.25">
      <c r="A1113" s="25"/>
      <c r="B1113" s="26" t="s">
        <v>1730</v>
      </c>
      <c r="C1113" s="3"/>
      <c r="D1113" s="21"/>
      <c r="E1113" s="21"/>
      <c r="F1113" s="3" t="s">
        <v>78</v>
      </c>
      <c r="G1113" s="3">
        <v>1</v>
      </c>
      <c r="H1113" s="23"/>
      <c r="I1113" s="124">
        <f t="shared" si="36"/>
        <v>0</v>
      </c>
      <c r="J1113" s="21"/>
      <c r="K1113" s="24" t="s">
        <v>1731</v>
      </c>
    </row>
    <row r="1114" spans="1:11" ht="34.5" customHeight="1" x14ac:dyDescent="0.25">
      <c r="A1114" s="25"/>
      <c r="B1114" s="26" t="s">
        <v>1732</v>
      </c>
      <c r="C1114" s="3"/>
      <c r="D1114" s="21"/>
      <c r="E1114" s="21"/>
      <c r="F1114" s="3" t="s">
        <v>78</v>
      </c>
      <c r="G1114" s="3">
        <v>1</v>
      </c>
      <c r="H1114" s="23"/>
      <c r="I1114" s="124">
        <f t="shared" si="36"/>
        <v>0</v>
      </c>
      <c r="J1114" s="21"/>
      <c r="K1114" s="24" t="s">
        <v>1733</v>
      </c>
    </row>
    <row r="1115" spans="1:11" ht="34.5" customHeight="1" x14ac:dyDescent="0.25">
      <c r="A1115" s="25"/>
      <c r="B1115" s="26" t="s">
        <v>1734</v>
      </c>
      <c r="C1115" s="3"/>
      <c r="D1115" s="21"/>
      <c r="E1115" s="21"/>
      <c r="F1115" s="3" t="s">
        <v>78</v>
      </c>
      <c r="G1115" s="3">
        <v>1</v>
      </c>
      <c r="H1115" s="23"/>
      <c r="I1115" s="124">
        <f t="shared" si="36"/>
        <v>0</v>
      </c>
      <c r="J1115" s="21"/>
      <c r="K1115" s="24" t="s">
        <v>1411</v>
      </c>
    </row>
    <row r="1116" spans="1:11" ht="34.5" customHeight="1" x14ac:dyDescent="0.25">
      <c r="A1116" s="25"/>
      <c r="B1116" s="26" t="s">
        <v>1735</v>
      </c>
      <c r="C1116" s="3"/>
      <c r="D1116" s="21"/>
      <c r="E1116" s="21"/>
      <c r="F1116" s="3" t="s">
        <v>78</v>
      </c>
      <c r="G1116" s="3">
        <v>6</v>
      </c>
      <c r="H1116" s="23"/>
      <c r="I1116" s="124">
        <f t="shared" si="36"/>
        <v>0</v>
      </c>
      <c r="J1116" s="21"/>
      <c r="K1116" s="24" t="s">
        <v>1736</v>
      </c>
    </row>
    <row r="1117" spans="1:11" ht="34.5" customHeight="1" x14ac:dyDescent="0.25">
      <c r="A1117" s="25"/>
      <c r="B1117" s="26" t="s">
        <v>1737</v>
      </c>
      <c r="C1117" s="3"/>
      <c r="D1117" s="21"/>
      <c r="E1117" s="21"/>
      <c r="F1117" s="3" t="s">
        <v>78</v>
      </c>
      <c r="G1117" s="3">
        <v>4</v>
      </c>
      <c r="H1117" s="23"/>
      <c r="I1117" s="124">
        <f t="shared" si="36"/>
        <v>0</v>
      </c>
      <c r="J1117" s="21"/>
      <c r="K1117" s="24" t="s">
        <v>1738</v>
      </c>
    </row>
    <row r="1118" spans="1:11" ht="34.5" customHeight="1" x14ac:dyDescent="0.25">
      <c r="A1118" s="25"/>
      <c r="B1118" s="26" t="s">
        <v>1739</v>
      </c>
      <c r="C1118" s="3"/>
      <c r="D1118" s="21"/>
      <c r="E1118" s="21"/>
      <c r="F1118" s="3" t="s">
        <v>78</v>
      </c>
      <c r="G1118" s="3">
        <v>4</v>
      </c>
      <c r="H1118" s="23"/>
      <c r="I1118" s="124">
        <f t="shared" si="36"/>
        <v>0</v>
      </c>
      <c r="J1118" s="21"/>
      <c r="K1118" s="24" t="s">
        <v>1740</v>
      </c>
    </row>
    <row r="1119" spans="1:11" ht="34.5" customHeight="1" x14ac:dyDescent="0.25">
      <c r="A1119" s="25"/>
      <c r="B1119" s="26" t="s">
        <v>1741</v>
      </c>
      <c r="C1119" s="3"/>
      <c r="D1119" s="21"/>
      <c r="E1119" s="21"/>
      <c r="F1119" s="3" t="s">
        <v>78</v>
      </c>
      <c r="G1119" s="3">
        <v>1</v>
      </c>
      <c r="H1119" s="23"/>
      <c r="I1119" s="124">
        <f t="shared" si="36"/>
        <v>0</v>
      </c>
      <c r="J1119" s="21"/>
      <c r="K1119" s="24" t="s">
        <v>1742</v>
      </c>
    </row>
    <row r="1120" spans="1:11" ht="34.5" customHeight="1" x14ac:dyDescent="0.25">
      <c r="A1120" s="25"/>
      <c r="B1120" s="26" t="s">
        <v>1743</v>
      </c>
      <c r="C1120" s="3"/>
      <c r="D1120" s="21"/>
      <c r="E1120" s="21"/>
      <c r="F1120" s="3" t="s">
        <v>78</v>
      </c>
      <c r="G1120" s="3">
        <v>2</v>
      </c>
      <c r="H1120" s="23"/>
      <c r="I1120" s="124">
        <f t="shared" si="36"/>
        <v>0</v>
      </c>
      <c r="J1120" s="21"/>
      <c r="K1120" s="24" t="s">
        <v>1744</v>
      </c>
    </row>
    <row r="1121" spans="1:11" ht="34.5" customHeight="1" x14ac:dyDescent="0.25">
      <c r="A1121" s="25"/>
      <c r="B1121" s="26" t="s">
        <v>1745</v>
      </c>
      <c r="C1121" s="3"/>
      <c r="D1121" s="21"/>
      <c r="E1121" s="21"/>
      <c r="F1121" s="3" t="s">
        <v>78</v>
      </c>
      <c r="G1121" s="3">
        <v>2</v>
      </c>
      <c r="H1121" s="23"/>
      <c r="I1121" s="124">
        <f t="shared" si="36"/>
        <v>0</v>
      </c>
      <c r="J1121" s="21"/>
      <c r="K1121" s="24" t="s">
        <v>1746</v>
      </c>
    </row>
    <row r="1122" spans="1:11" ht="34.5" customHeight="1" x14ac:dyDescent="0.25">
      <c r="A1122" s="25"/>
      <c r="B1122" s="26" t="s">
        <v>1747</v>
      </c>
      <c r="C1122" s="3"/>
      <c r="D1122" s="21"/>
      <c r="E1122" s="21"/>
      <c r="F1122" s="3" t="s">
        <v>78</v>
      </c>
      <c r="G1122" s="3">
        <v>1</v>
      </c>
      <c r="H1122" s="23"/>
      <c r="I1122" s="124">
        <f t="shared" si="36"/>
        <v>0</v>
      </c>
      <c r="J1122" s="21"/>
      <c r="K1122" s="24" t="s">
        <v>1748</v>
      </c>
    </row>
    <row r="1123" spans="1:11" ht="34.5" customHeight="1" x14ac:dyDescent="0.25">
      <c r="A1123" s="25"/>
      <c r="B1123" s="26" t="s">
        <v>1749</v>
      </c>
      <c r="C1123" s="3"/>
      <c r="D1123" s="21"/>
      <c r="E1123" s="21"/>
      <c r="F1123" s="3" t="s">
        <v>78</v>
      </c>
      <c r="G1123" s="3">
        <v>1</v>
      </c>
      <c r="H1123" s="23"/>
      <c r="I1123" s="124">
        <f t="shared" si="36"/>
        <v>0</v>
      </c>
      <c r="J1123" s="21"/>
      <c r="K1123" s="24" t="s">
        <v>1750</v>
      </c>
    </row>
    <row r="1124" spans="1:11" ht="34.5" customHeight="1" x14ac:dyDescent="0.25">
      <c r="A1124" s="25"/>
      <c r="B1124" s="26" t="s">
        <v>1751</v>
      </c>
      <c r="C1124" s="3"/>
      <c r="D1124" s="21"/>
      <c r="E1124" s="21"/>
      <c r="F1124" s="3" t="s">
        <v>78</v>
      </c>
      <c r="G1124" s="3">
        <v>1</v>
      </c>
      <c r="H1124" s="23"/>
      <c r="I1124" s="124">
        <f t="shared" si="36"/>
        <v>0</v>
      </c>
      <c r="J1124" s="21"/>
      <c r="K1124" s="24" t="s">
        <v>1243</v>
      </c>
    </row>
    <row r="1125" spans="1:11" ht="15.75" customHeight="1" x14ac:dyDescent="0.25">
      <c r="A1125" s="25"/>
      <c r="B1125" s="26" t="s">
        <v>1659</v>
      </c>
      <c r="C1125" s="3"/>
      <c r="D1125" s="21"/>
      <c r="E1125" s="21"/>
      <c r="F1125" s="3" t="s">
        <v>158</v>
      </c>
      <c r="G1125" s="3">
        <v>460.1</v>
      </c>
      <c r="H1125" s="23"/>
      <c r="I1125" s="124">
        <f t="shared" si="36"/>
        <v>0</v>
      </c>
      <c r="J1125" s="21"/>
      <c r="K1125" s="24"/>
    </row>
    <row r="1126" spans="1:11" ht="15.75" customHeight="1" x14ac:dyDescent="0.25">
      <c r="A1126" s="25"/>
      <c r="B1126" s="26" t="s">
        <v>1752</v>
      </c>
      <c r="C1126" s="3" t="s">
        <v>1661</v>
      </c>
      <c r="D1126" s="21"/>
      <c r="E1126" s="21" t="s">
        <v>1662</v>
      </c>
      <c r="F1126" s="3" t="s">
        <v>576</v>
      </c>
      <c r="G1126" s="3">
        <v>640</v>
      </c>
      <c r="H1126" s="23">
        <v>250.14</v>
      </c>
      <c r="I1126" s="124">
        <f t="shared" si="36"/>
        <v>160089.59999999998</v>
      </c>
      <c r="J1126" s="21"/>
      <c r="K1126" s="24"/>
    </row>
    <row r="1127" spans="1:11" ht="15.75" customHeight="1" x14ac:dyDescent="0.25">
      <c r="A1127" s="25"/>
      <c r="B1127" s="26" t="s">
        <v>343</v>
      </c>
      <c r="C1127" s="3" t="s">
        <v>1663</v>
      </c>
      <c r="D1127" s="21"/>
      <c r="E1127" s="21" t="s">
        <v>1662</v>
      </c>
      <c r="F1127" s="3" t="s">
        <v>158</v>
      </c>
      <c r="G1127" s="3">
        <v>640</v>
      </c>
      <c r="H1127" s="23">
        <v>74</v>
      </c>
      <c r="I1127" s="124">
        <f t="shared" si="36"/>
        <v>47360</v>
      </c>
      <c r="J1127" s="21"/>
      <c r="K1127" s="24"/>
    </row>
    <row r="1128" spans="1:11" ht="15.75" customHeight="1" x14ac:dyDescent="0.25">
      <c r="A1128" s="19" t="s">
        <v>459</v>
      </c>
      <c r="B1128" s="20" t="s">
        <v>1753</v>
      </c>
      <c r="C1128" s="21"/>
      <c r="D1128" s="21"/>
      <c r="E1128" s="21"/>
      <c r="F1128" s="22"/>
      <c r="G1128" s="21"/>
      <c r="H1128" s="23"/>
      <c r="I1128" s="124"/>
      <c r="J1128" s="21"/>
      <c r="K1128" s="24"/>
    </row>
    <row r="1129" spans="1:11" ht="34.5" customHeight="1" x14ac:dyDescent="0.25">
      <c r="A1129" s="25"/>
      <c r="B1129" s="26" t="s">
        <v>1754</v>
      </c>
      <c r="C1129" s="3" t="s">
        <v>162</v>
      </c>
      <c r="D1129" s="21"/>
      <c r="E1129" s="21"/>
      <c r="F1129" s="3" t="s">
        <v>89</v>
      </c>
      <c r="G1129" s="3">
        <v>40</v>
      </c>
      <c r="H1129" s="23"/>
      <c r="I1129" s="124">
        <f t="shared" ref="I1129:I1144" si="37">H1129*G1129</f>
        <v>0</v>
      </c>
      <c r="J1129" s="21"/>
      <c r="K1129" s="24"/>
    </row>
    <row r="1130" spans="1:11" ht="34.5" customHeight="1" x14ac:dyDescent="0.25">
      <c r="A1130" s="25"/>
      <c r="B1130" s="26" t="s">
        <v>1755</v>
      </c>
      <c r="C1130" s="3" t="s">
        <v>162</v>
      </c>
      <c r="D1130" s="21"/>
      <c r="E1130" s="21"/>
      <c r="F1130" s="3" t="s">
        <v>89</v>
      </c>
      <c r="G1130" s="3">
        <v>330</v>
      </c>
      <c r="H1130" s="23"/>
      <c r="I1130" s="124">
        <f t="shared" si="37"/>
        <v>0</v>
      </c>
      <c r="J1130" s="21"/>
      <c r="K1130" s="24"/>
    </row>
    <row r="1131" spans="1:11" ht="34.5" customHeight="1" x14ac:dyDescent="0.25">
      <c r="A1131" s="25"/>
      <c r="B1131" s="26" t="s">
        <v>1756</v>
      </c>
      <c r="C1131" s="3" t="s">
        <v>162</v>
      </c>
      <c r="D1131" s="21"/>
      <c r="E1131" s="21"/>
      <c r="F1131" s="3" t="s">
        <v>89</v>
      </c>
      <c r="G1131" s="3">
        <v>101</v>
      </c>
      <c r="H1131" s="23"/>
      <c r="I1131" s="124">
        <f t="shared" si="37"/>
        <v>0</v>
      </c>
      <c r="J1131" s="21"/>
      <c r="K1131" s="24"/>
    </row>
    <row r="1132" spans="1:11" ht="34.5" customHeight="1" x14ac:dyDescent="0.25">
      <c r="A1132" s="25"/>
      <c r="B1132" s="26" t="s">
        <v>1757</v>
      </c>
      <c r="C1132" s="3" t="s">
        <v>162</v>
      </c>
      <c r="D1132" s="21"/>
      <c r="E1132" s="21"/>
      <c r="F1132" s="3" t="s">
        <v>89</v>
      </c>
      <c r="G1132" s="3">
        <v>191</v>
      </c>
      <c r="H1132" s="23"/>
      <c r="I1132" s="124">
        <f t="shared" si="37"/>
        <v>0</v>
      </c>
      <c r="J1132" s="21"/>
      <c r="K1132" s="24"/>
    </row>
    <row r="1133" spans="1:11" ht="15.75" customHeight="1" x14ac:dyDescent="0.25">
      <c r="A1133" s="25"/>
      <c r="B1133" s="26" t="s">
        <v>1758</v>
      </c>
      <c r="C1133" s="3" t="s">
        <v>437</v>
      </c>
      <c r="D1133" s="21"/>
      <c r="E1133" s="21"/>
      <c r="F1133" s="3" t="s">
        <v>89</v>
      </c>
      <c r="G1133" s="3">
        <v>210</v>
      </c>
      <c r="H1133" s="23"/>
      <c r="I1133" s="124">
        <f t="shared" si="37"/>
        <v>0</v>
      </c>
      <c r="J1133" s="21"/>
      <c r="K1133" s="24"/>
    </row>
    <row r="1134" spans="1:11" ht="15.75" customHeight="1" x14ac:dyDescent="0.25">
      <c r="A1134" s="25"/>
      <c r="B1134" s="26" t="s">
        <v>1759</v>
      </c>
      <c r="C1134" s="3" t="s">
        <v>437</v>
      </c>
      <c r="D1134" s="21"/>
      <c r="E1134" s="21"/>
      <c r="F1134" s="3" t="s">
        <v>89</v>
      </c>
      <c r="G1134" s="3">
        <v>90</v>
      </c>
      <c r="H1134" s="23"/>
      <c r="I1134" s="124">
        <f t="shared" si="37"/>
        <v>0</v>
      </c>
      <c r="J1134" s="21"/>
      <c r="K1134" s="24"/>
    </row>
    <row r="1135" spans="1:11" ht="15.75" customHeight="1" x14ac:dyDescent="0.25">
      <c r="A1135" s="25"/>
      <c r="B1135" s="26" t="s">
        <v>1760</v>
      </c>
      <c r="C1135" s="3" t="s">
        <v>437</v>
      </c>
      <c r="D1135" s="21"/>
      <c r="E1135" s="21"/>
      <c r="F1135" s="3" t="s">
        <v>89</v>
      </c>
      <c r="G1135" s="3">
        <v>150</v>
      </c>
      <c r="H1135" s="23"/>
      <c r="I1135" s="124">
        <f t="shared" si="37"/>
        <v>0</v>
      </c>
      <c r="J1135" s="21"/>
      <c r="K1135" s="24"/>
    </row>
    <row r="1136" spans="1:11" ht="15.75" customHeight="1" x14ac:dyDescent="0.25">
      <c r="A1136" s="25"/>
      <c r="B1136" s="26" t="s">
        <v>1761</v>
      </c>
      <c r="C1136" s="3" t="s">
        <v>437</v>
      </c>
      <c r="D1136" s="21"/>
      <c r="E1136" s="21"/>
      <c r="F1136" s="3" t="s">
        <v>89</v>
      </c>
      <c r="G1136" s="3">
        <v>140</v>
      </c>
      <c r="H1136" s="23"/>
      <c r="I1136" s="124">
        <f t="shared" si="37"/>
        <v>0</v>
      </c>
      <c r="J1136" s="21"/>
      <c r="K1136" s="24"/>
    </row>
    <row r="1137" spans="1:11" ht="15.75" customHeight="1" x14ac:dyDescent="0.25">
      <c r="A1137" s="25"/>
      <c r="B1137" s="26" t="s">
        <v>1762</v>
      </c>
      <c r="C1137" s="3" t="s">
        <v>1763</v>
      </c>
      <c r="D1137" s="21"/>
      <c r="E1137" s="21" t="s">
        <v>1764</v>
      </c>
      <c r="F1137" s="3" t="s">
        <v>89</v>
      </c>
      <c r="G1137" s="3">
        <v>40</v>
      </c>
      <c r="H1137" s="23">
        <v>42.5</v>
      </c>
      <c r="I1137" s="124">
        <f t="shared" si="37"/>
        <v>1700</v>
      </c>
      <c r="J1137" s="21"/>
      <c r="K1137" s="24"/>
    </row>
    <row r="1138" spans="1:11" ht="15.75" customHeight="1" x14ac:dyDescent="0.25">
      <c r="A1138" s="25"/>
      <c r="B1138" s="26" t="s">
        <v>1765</v>
      </c>
      <c r="C1138" s="3" t="s">
        <v>1766</v>
      </c>
      <c r="D1138" s="21"/>
      <c r="E1138" s="21" t="s">
        <v>1764</v>
      </c>
      <c r="F1138" s="3" t="s">
        <v>89</v>
      </c>
      <c r="G1138" s="3">
        <v>330</v>
      </c>
      <c r="H1138" s="23">
        <v>49.45</v>
      </c>
      <c r="I1138" s="124">
        <f t="shared" si="37"/>
        <v>16318.500000000002</v>
      </c>
      <c r="J1138" s="21"/>
      <c r="K1138" s="24"/>
    </row>
    <row r="1139" spans="1:11" ht="15.75" customHeight="1" x14ac:dyDescent="0.25">
      <c r="A1139" s="25"/>
      <c r="B1139" s="26" t="s">
        <v>1767</v>
      </c>
      <c r="C1139" s="3" t="s">
        <v>1768</v>
      </c>
      <c r="D1139" s="21"/>
      <c r="E1139" s="21" t="s">
        <v>1764</v>
      </c>
      <c r="F1139" s="3" t="s">
        <v>89</v>
      </c>
      <c r="G1139" s="3">
        <v>101</v>
      </c>
      <c r="H1139" s="23">
        <v>59.88</v>
      </c>
      <c r="I1139" s="124">
        <f t="shared" si="37"/>
        <v>6047.88</v>
      </c>
      <c r="J1139" s="21"/>
      <c r="K1139" s="24"/>
    </row>
    <row r="1140" spans="1:11" ht="15.75" customHeight="1" x14ac:dyDescent="0.25">
      <c r="A1140" s="25"/>
      <c r="B1140" s="26" t="s">
        <v>1769</v>
      </c>
      <c r="C1140" s="3" t="s">
        <v>1770</v>
      </c>
      <c r="D1140" s="21"/>
      <c r="E1140" s="21" t="s">
        <v>1764</v>
      </c>
      <c r="F1140" s="3" t="s">
        <v>89</v>
      </c>
      <c r="G1140" s="3">
        <v>191</v>
      </c>
      <c r="H1140" s="23">
        <v>64.52</v>
      </c>
      <c r="I1140" s="124">
        <f t="shared" si="37"/>
        <v>12323.32</v>
      </c>
      <c r="J1140" s="21"/>
      <c r="K1140" s="24"/>
    </row>
    <row r="1141" spans="1:11" ht="15.75" customHeight="1" x14ac:dyDescent="0.25">
      <c r="A1141" s="25"/>
      <c r="B1141" s="26" t="s">
        <v>1771</v>
      </c>
      <c r="C1141" s="3" t="s">
        <v>1772</v>
      </c>
      <c r="D1141" s="21"/>
      <c r="E1141" s="21" t="s">
        <v>1764</v>
      </c>
      <c r="F1141" s="3" t="s">
        <v>89</v>
      </c>
      <c r="G1141" s="3">
        <v>210</v>
      </c>
      <c r="H1141" s="23"/>
      <c r="I1141" s="124">
        <f t="shared" si="37"/>
        <v>0</v>
      </c>
      <c r="J1141" s="21"/>
      <c r="K1141" s="24"/>
    </row>
    <row r="1142" spans="1:11" ht="15.75" customHeight="1" x14ac:dyDescent="0.25">
      <c r="A1142" s="25"/>
      <c r="B1142" s="26" t="s">
        <v>1773</v>
      </c>
      <c r="C1142" s="3" t="s">
        <v>1774</v>
      </c>
      <c r="D1142" s="21"/>
      <c r="E1142" s="21" t="s">
        <v>1764</v>
      </c>
      <c r="F1142" s="3" t="s">
        <v>89</v>
      </c>
      <c r="G1142" s="3">
        <v>90</v>
      </c>
      <c r="H1142" s="23"/>
      <c r="I1142" s="124">
        <f t="shared" si="37"/>
        <v>0</v>
      </c>
      <c r="J1142" s="21"/>
      <c r="K1142" s="24"/>
    </row>
    <row r="1143" spans="1:11" ht="15.75" customHeight="1" x14ac:dyDescent="0.25">
      <c r="A1143" s="25"/>
      <c r="B1143" s="26" t="s">
        <v>1775</v>
      </c>
      <c r="C1143" s="3" t="s">
        <v>1776</v>
      </c>
      <c r="D1143" s="21"/>
      <c r="E1143" s="21" t="s">
        <v>1764</v>
      </c>
      <c r="F1143" s="3" t="s">
        <v>89</v>
      </c>
      <c r="G1143" s="3">
        <v>150</v>
      </c>
      <c r="H1143" s="23"/>
      <c r="I1143" s="124">
        <f t="shared" si="37"/>
        <v>0</v>
      </c>
      <c r="J1143" s="21"/>
      <c r="K1143" s="24"/>
    </row>
    <row r="1144" spans="1:11" ht="15.75" customHeight="1" x14ac:dyDescent="0.25">
      <c r="A1144" s="25"/>
      <c r="B1144" s="26" t="s">
        <v>1777</v>
      </c>
      <c r="C1144" s="3" t="s">
        <v>1778</v>
      </c>
      <c r="D1144" s="21"/>
      <c r="E1144" s="21" t="s">
        <v>1764</v>
      </c>
      <c r="F1144" s="3" t="s">
        <v>89</v>
      </c>
      <c r="G1144" s="3">
        <v>140</v>
      </c>
      <c r="H1144" s="23"/>
      <c r="I1144" s="124">
        <f t="shared" si="37"/>
        <v>0</v>
      </c>
      <c r="J1144" s="21"/>
      <c r="K1144" s="24"/>
    </row>
    <row r="1145" spans="1:11" ht="15.75" customHeight="1" x14ac:dyDescent="0.25">
      <c r="A1145" s="25"/>
      <c r="B1145" s="37" t="s">
        <v>1779</v>
      </c>
      <c r="C1145" s="3"/>
      <c r="D1145" s="21"/>
      <c r="E1145" s="21"/>
      <c r="F1145" s="3"/>
      <c r="G1145" s="3"/>
      <c r="H1145" s="23"/>
      <c r="I1145" s="124"/>
      <c r="J1145" s="21"/>
      <c r="K1145" s="24"/>
    </row>
    <row r="1146" spans="1:11" ht="15.75" customHeight="1" x14ac:dyDescent="0.25">
      <c r="A1146" s="25"/>
      <c r="B1146" s="26" t="s">
        <v>1780</v>
      </c>
      <c r="C1146" s="3" t="s">
        <v>1781</v>
      </c>
      <c r="D1146" s="21"/>
      <c r="E1146" s="21"/>
      <c r="F1146" s="3" t="s">
        <v>158</v>
      </c>
      <c r="G1146" s="3">
        <v>48</v>
      </c>
      <c r="H1146" s="23"/>
      <c r="I1146" s="124">
        <f t="shared" ref="I1146:I1159" si="38">H1146*G1146</f>
        <v>0</v>
      </c>
      <c r="J1146" s="21"/>
      <c r="K1146" s="24"/>
    </row>
    <row r="1147" spans="1:11" ht="34.5" customHeight="1" x14ac:dyDescent="0.25">
      <c r="A1147" s="25"/>
      <c r="B1147" s="26" t="s">
        <v>1782</v>
      </c>
      <c r="C1147" s="3" t="s">
        <v>1783</v>
      </c>
      <c r="D1147" s="21"/>
      <c r="E1147" s="21"/>
      <c r="F1147" s="3" t="s">
        <v>158</v>
      </c>
      <c r="G1147" s="3">
        <v>72</v>
      </c>
      <c r="H1147" s="23"/>
      <c r="I1147" s="124">
        <f t="shared" si="38"/>
        <v>0</v>
      </c>
      <c r="J1147" s="21"/>
      <c r="K1147" s="24"/>
    </row>
    <row r="1148" spans="1:11" ht="34.5" customHeight="1" x14ac:dyDescent="0.25">
      <c r="A1148" s="25"/>
      <c r="B1148" s="26" t="s">
        <v>1784</v>
      </c>
      <c r="C1148" s="3" t="s">
        <v>1785</v>
      </c>
      <c r="D1148" s="21"/>
      <c r="E1148" s="21" t="s">
        <v>1786</v>
      </c>
      <c r="F1148" s="3" t="s">
        <v>78</v>
      </c>
      <c r="G1148" s="3">
        <v>64</v>
      </c>
      <c r="H1148" s="23"/>
      <c r="I1148" s="124">
        <f t="shared" si="38"/>
        <v>0</v>
      </c>
      <c r="J1148" s="21"/>
      <c r="K1148" s="24"/>
    </row>
    <row r="1149" spans="1:11" ht="15.75" customHeight="1" x14ac:dyDescent="0.25">
      <c r="A1149" s="25"/>
      <c r="B1149" s="26" t="s">
        <v>1787</v>
      </c>
      <c r="C1149" s="3" t="s">
        <v>1788</v>
      </c>
      <c r="D1149" s="21"/>
      <c r="E1149" s="21" t="s">
        <v>1786</v>
      </c>
      <c r="F1149" s="3" t="s">
        <v>78</v>
      </c>
      <c r="G1149" s="3">
        <v>65</v>
      </c>
      <c r="H1149" s="23"/>
      <c r="I1149" s="124">
        <f t="shared" si="38"/>
        <v>0</v>
      </c>
      <c r="J1149" s="21"/>
      <c r="K1149" s="24"/>
    </row>
    <row r="1150" spans="1:11" ht="15.75" customHeight="1" x14ac:dyDescent="0.25">
      <c r="A1150" s="25"/>
      <c r="B1150" s="26" t="s">
        <v>1789</v>
      </c>
      <c r="C1150" s="3" t="s">
        <v>1790</v>
      </c>
      <c r="D1150" s="21"/>
      <c r="E1150" s="21" t="s">
        <v>1786</v>
      </c>
      <c r="F1150" s="3" t="s">
        <v>78</v>
      </c>
      <c r="G1150" s="3">
        <v>64</v>
      </c>
      <c r="H1150" s="23"/>
      <c r="I1150" s="124">
        <f t="shared" si="38"/>
        <v>0</v>
      </c>
      <c r="J1150" s="21"/>
      <c r="K1150" s="24"/>
    </row>
    <row r="1151" spans="1:11" ht="15.75" customHeight="1" x14ac:dyDescent="0.25">
      <c r="A1151" s="25"/>
      <c r="B1151" s="26" t="s">
        <v>1791</v>
      </c>
      <c r="C1151" s="3" t="s">
        <v>1792</v>
      </c>
      <c r="D1151" s="21" t="s">
        <v>1793</v>
      </c>
      <c r="E1151" s="21" t="s">
        <v>929</v>
      </c>
      <c r="F1151" s="3" t="s">
        <v>78</v>
      </c>
      <c r="G1151" s="3">
        <v>8</v>
      </c>
      <c r="H1151" s="23"/>
      <c r="I1151" s="124">
        <f t="shared" si="38"/>
        <v>0</v>
      </c>
      <c r="J1151" s="21"/>
      <c r="K1151" s="24"/>
    </row>
    <row r="1152" spans="1:11" ht="34.5" customHeight="1" x14ac:dyDescent="0.25">
      <c r="A1152" s="25"/>
      <c r="B1152" s="26" t="s">
        <v>1794</v>
      </c>
      <c r="C1152" s="3" t="s">
        <v>1795</v>
      </c>
      <c r="D1152" s="21" t="s">
        <v>1796</v>
      </c>
      <c r="E1152" s="21" t="s">
        <v>929</v>
      </c>
      <c r="F1152" s="3" t="s">
        <v>78</v>
      </c>
      <c r="G1152" s="3">
        <v>8</v>
      </c>
      <c r="H1152" s="23"/>
      <c r="I1152" s="124">
        <f t="shared" si="38"/>
        <v>0</v>
      </c>
      <c r="J1152" s="21" t="s">
        <v>126</v>
      </c>
      <c r="K1152" s="24" t="s">
        <v>126</v>
      </c>
    </row>
    <row r="1153" spans="1:11" ht="45" customHeight="1" x14ac:dyDescent="0.25">
      <c r="A1153" s="25"/>
      <c r="B1153" s="26" t="s">
        <v>1797</v>
      </c>
      <c r="C1153" s="3" t="s">
        <v>1798</v>
      </c>
      <c r="D1153" s="21"/>
      <c r="E1153" s="21" t="s">
        <v>1799</v>
      </c>
      <c r="F1153" s="3" t="s">
        <v>78</v>
      </c>
      <c r="G1153" s="3">
        <v>8</v>
      </c>
      <c r="H1153" s="23"/>
      <c r="I1153" s="124">
        <f t="shared" si="38"/>
        <v>0</v>
      </c>
      <c r="J1153" s="21" t="s">
        <v>126</v>
      </c>
      <c r="K1153" s="24" t="s">
        <v>126</v>
      </c>
    </row>
    <row r="1154" spans="1:11" ht="34.5" customHeight="1" x14ac:dyDescent="0.25">
      <c r="A1154" s="25"/>
      <c r="B1154" s="26" t="s">
        <v>1800</v>
      </c>
      <c r="C1154" s="3" t="s">
        <v>1801</v>
      </c>
      <c r="D1154" s="21"/>
      <c r="E1154" s="21" t="s">
        <v>1799</v>
      </c>
      <c r="F1154" s="3" t="s">
        <v>78</v>
      </c>
      <c r="G1154" s="3">
        <v>8</v>
      </c>
      <c r="H1154" s="23"/>
      <c r="I1154" s="124">
        <f t="shared" si="38"/>
        <v>0</v>
      </c>
      <c r="J1154" s="21"/>
      <c r="K1154" s="24"/>
    </row>
    <row r="1155" spans="1:11" ht="15.75" customHeight="1" x14ac:dyDescent="0.25">
      <c r="A1155" s="25"/>
      <c r="B1155" s="26" t="s">
        <v>1802</v>
      </c>
      <c r="C1155" s="3" t="s">
        <v>1803</v>
      </c>
      <c r="D1155" s="21"/>
      <c r="E1155" s="21" t="s">
        <v>1799</v>
      </c>
      <c r="F1155" s="3" t="s">
        <v>78</v>
      </c>
      <c r="G1155" s="3">
        <v>16</v>
      </c>
      <c r="H1155" s="23"/>
      <c r="I1155" s="124">
        <f t="shared" si="38"/>
        <v>0</v>
      </c>
      <c r="J1155" s="21" t="s">
        <v>126</v>
      </c>
      <c r="K1155" s="24" t="s">
        <v>126</v>
      </c>
    </row>
    <row r="1156" spans="1:11" ht="15.75" customHeight="1" x14ac:dyDescent="0.25">
      <c r="A1156" s="25"/>
      <c r="B1156" s="26" t="s">
        <v>1804</v>
      </c>
      <c r="C1156" s="3" t="s">
        <v>1788</v>
      </c>
      <c r="D1156" s="21"/>
      <c r="E1156" s="21" t="s">
        <v>1799</v>
      </c>
      <c r="F1156" s="3" t="s">
        <v>78</v>
      </c>
      <c r="G1156" s="3">
        <v>8</v>
      </c>
      <c r="H1156" s="23"/>
      <c r="I1156" s="124">
        <f t="shared" si="38"/>
        <v>0</v>
      </c>
      <c r="J1156" s="21" t="s">
        <v>126</v>
      </c>
      <c r="K1156" s="24" t="s">
        <v>126</v>
      </c>
    </row>
    <row r="1157" spans="1:11" ht="34.5" customHeight="1" x14ac:dyDescent="0.25">
      <c r="A1157" s="25"/>
      <c r="B1157" s="26" t="s">
        <v>1805</v>
      </c>
      <c r="C1157" s="3" t="s">
        <v>1785</v>
      </c>
      <c r="D1157" s="21"/>
      <c r="E1157" s="21" t="s">
        <v>1799</v>
      </c>
      <c r="F1157" s="3" t="s">
        <v>78</v>
      </c>
      <c r="G1157" s="3">
        <v>8</v>
      </c>
      <c r="H1157" s="23"/>
      <c r="I1157" s="124">
        <f t="shared" si="38"/>
        <v>0</v>
      </c>
      <c r="J1157" s="21" t="s">
        <v>126</v>
      </c>
      <c r="K1157" s="24" t="s">
        <v>126</v>
      </c>
    </row>
    <row r="1158" spans="1:11" ht="34.5" customHeight="1" x14ac:dyDescent="0.25">
      <c r="A1158" s="25"/>
      <c r="B1158" s="26" t="s">
        <v>1806</v>
      </c>
      <c r="C1158" s="3" t="s">
        <v>1790</v>
      </c>
      <c r="D1158" s="21"/>
      <c r="E1158" s="21" t="s">
        <v>1799</v>
      </c>
      <c r="F1158" s="3" t="s">
        <v>78</v>
      </c>
      <c r="G1158" s="3">
        <v>8</v>
      </c>
      <c r="H1158" s="23"/>
      <c r="I1158" s="124">
        <f t="shared" si="38"/>
        <v>0</v>
      </c>
      <c r="J1158" s="21" t="s">
        <v>126</v>
      </c>
      <c r="K1158" s="24" t="s">
        <v>126</v>
      </c>
    </row>
    <row r="1159" spans="1:11" ht="15.75" customHeight="1" x14ac:dyDescent="0.25">
      <c r="A1159" s="25"/>
      <c r="B1159" s="26" t="s">
        <v>1807</v>
      </c>
      <c r="C1159" s="3" t="s">
        <v>1808</v>
      </c>
      <c r="D1159" s="21" t="s">
        <v>126</v>
      </c>
      <c r="E1159" s="21"/>
      <c r="F1159" s="3" t="s">
        <v>78</v>
      </c>
      <c r="G1159" s="3">
        <v>16</v>
      </c>
      <c r="H1159" s="23"/>
      <c r="I1159" s="124">
        <f t="shared" si="38"/>
        <v>0</v>
      </c>
      <c r="J1159" s="21" t="s">
        <v>126</v>
      </c>
      <c r="K1159" s="24" t="s">
        <v>126</v>
      </c>
    </row>
    <row r="1160" spans="1:11" ht="15.75" customHeight="1" x14ac:dyDescent="0.25">
      <c r="A1160" s="19" t="s">
        <v>485</v>
      </c>
      <c r="B1160" s="20" t="s">
        <v>1809</v>
      </c>
      <c r="C1160" s="21"/>
      <c r="D1160" s="21"/>
      <c r="E1160" s="21"/>
      <c r="F1160" s="22"/>
      <c r="G1160" s="21"/>
      <c r="H1160" s="23"/>
      <c r="I1160" s="124"/>
      <c r="J1160" s="21"/>
      <c r="K1160" s="24"/>
    </row>
    <row r="1161" spans="1:11" ht="45" customHeight="1" x14ac:dyDescent="0.25">
      <c r="A1161" s="25" t="s">
        <v>1810</v>
      </c>
      <c r="B1161" s="26" t="s">
        <v>1811</v>
      </c>
      <c r="C1161" s="3"/>
      <c r="D1161" s="21"/>
      <c r="E1161" s="21" t="s">
        <v>1812</v>
      </c>
      <c r="F1161" s="3" t="s">
        <v>78</v>
      </c>
      <c r="G1161" s="3">
        <v>4</v>
      </c>
      <c r="H1161" s="23">
        <f>54761.94+4500+5000</f>
        <v>64261.94</v>
      </c>
      <c r="I1161" s="124">
        <f t="shared" ref="I1161:I1189" si="39">H1161*G1161</f>
        <v>257047.76</v>
      </c>
      <c r="J1161" s="21"/>
      <c r="K1161" s="24" t="s">
        <v>6865</v>
      </c>
    </row>
    <row r="1162" spans="1:11" ht="15.75" customHeight="1" x14ac:dyDescent="0.25">
      <c r="A1162" s="25"/>
      <c r="B1162" s="26" t="s">
        <v>1813</v>
      </c>
      <c r="C1162" s="3"/>
      <c r="D1162" s="21"/>
      <c r="E1162" s="21" t="s">
        <v>1812</v>
      </c>
      <c r="F1162" s="3" t="s">
        <v>78</v>
      </c>
      <c r="G1162" s="3">
        <v>4</v>
      </c>
      <c r="H1162" s="23">
        <f>27224.83+4500</f>
        <v>31724.83</v>
      </c>
      <c r="I1162" s="124">
        <f t="shared" si="39"/>
        <v>126899.32</v>
      </c>
      <c r="J1162" s="21"/>
      <c r="K1162" s="24" t="s">
        <v>6866</v>
      </c>
    </row>
    <row r="1163" spans="1:11" ht="15.75" customHeight="1" x14ac:dyDescent="0.25">
      <c r="A1163" s="25"/>
      <c r="B1163" s="26" t="s">
        <v>1814</v>
      </c>
      <c r="C1163" s="3"/>
      <c r="D1163" s="21"/>
      <c r="E1163" s="21" t="s">
        <v>1812</v>
      </c>
      <c r="F1163" s="3" t="s">
        <v>78</v>
      </c>
      <c r="G1163" s="3">
        <v>4</v>
      </c>
      <c r="H1163" s="23">
        <v>6799.29</v>
      </c>
      <c r="I1163" s="124">
        <f t="shared" si="39"/>
        <v>27197.16</v>
      </c>
      <c r="J1163" s="21"/>
      <c r="K1163" s="24" t="s">
        <v>6867</v>
      </c>
    </row>
    <row r="1164" spans="1:11" ht="15.75" customHeight="1" x14ac:dyDescent="0.25">
      <c r="A1164" s="25"/>
      <c r="B1164" s="26" t="s">
        <v>1815</v>
      </c>
      <c r="C1164" s="3"/>
      <c r="D1164" s="21"/>
      <c r="E1164" s="21" t="s">
        <v>1812</v>
      </c>
      <c r="F1164" s="3" t="s">
        <v>78</v>
      </c>
      <c r="G1164" s="3">
        <v>4</v>
      </c>
      <c r="H1164" s="23">
        <v>11340</v>
      </c>
      <c r="I1164" s="124">
        <f t="shared" si="39"/>
        <v>45360</v>
      </c>
      <c r="J1164" s="21"/>
      <c r="K1164" s="24"/>
    </row>
    <row r="1165" spans="1:11" ht="15.75" customHeight="1" x14ac:dyDescent="0.25">
      <c r="A1165" s="25"/>
      <c r="B1165" s="26" t="s">
        <v>1816</v>
      </c>
      <c r="C1165" s="3"/>
      <c r="D1165" s="21"/>
      <c r="E1165" s="21" t="s">
        <v>1812</v>
      </c>
      <c r="F1165" s="3" t="s">
        <v>78</v>
      </c>
      <c r="G1165" s="3">
        <v>2</v>
      </c>
      <c r="H1165" s="23">
        <v>4725</v>
      </c>
      <c r="I1165" s="124">
        <f t="shared" si="39"/>
        <v>9450</v>
      </c>
      <c r="J1165" s="21"/>
      <c r="K1165" s="24"/>
    </row>
    <row r="1166" spans="1:11" ht="34.5" customHeight="1" x14ac:dyDescent="0.25">
      <c r="A1166" s="25" t="s">
        <v>1817</v>
      </c>
      <c r="B1166" s="26" t="s">
        <v>1818</v>
      </c>
      <c r="C1166" s="3"/>
      <c r="D1166" s="21"/>
      <c r="E1166" s="21" t="s">
        <v>1812</v>
      </c>
      <c r="F1166" s="3" t="s">
        <v>78</v>
      </c>
      <c r="G1166" s="3">
        <v>2</v>
      </c>
      <c r="H1166" s="23">
        <f>26527.99+4500+5000</f>
        <v>36027.990000000005</v>
      </c>
      <c r="I1166" s="124">
        <f t="shared" si="39"/>
        <v>72055.98000000001</v>
      </c>
      <c r="J1166" s="21"/>
      <c r="K1166" s="24" t="s">
        <v>6868</v>
      </c>
    </row>
    <row r="1167" spans="1:11" ht="15.75" customHeight="1" x14ac:dyDescent="0.25">
      <c r="A1167" s="25"/>
      <c r="B1167" s="26" t="s">
        <v>1819</v>
      </c>
      <c r="C1167" s="3"/>
      <c r="D1167" s="21"/>
      <c r="E1167" s="21" t="s">
        <v>1812</v>
      </c>
      <c r="F1167" s="3" t="s">
        <v>78</v>
      </c>
      <c r="G1167" s="3">
        <v>2</v>
      </c>
      <c r="H1167" s="23">
        <f>11369.58+4500</f>
        <v>15869.58</v>
      </c>
      <c r="I1167" s="124">
        <f t="shared" si="39"/>
        <v>31739.16</v>
      </c>
      <c r="J1167" s="21"/>
      <c r="K1167" s="24" t="s">
        <v>6869</v>
      </c>
    </row>
    <row r="1168" spans="1:11" ht="15.75" customHeight="1" x14ac:dyDescent="0.25">
      <c r="A1168" s="25"/>
      <c r="B1168" s="26" t="s">
        <v>1815</v>
      </c>
      <c r="C1168" s="3"/>
      <c r="D1168" s="21"/>
      <c r="E1168" s="21" t="s">
        <v>1812</v>
      </c>
      <c r="F1168" s="3" t="s">
        <v>78</v>
      </c>
      <c r="G1168" s="3">
        <v>2</v>
      </c>
      <c r="H1168" s="23">
        <v>11340</v>
      </c>
      <c r="I1168" s="124">
        <f t="shared" si="39"/>
        <v>22680</v>
      </c>
      <c r="J1168" s="21"/>
      <c r="K1168" s="24"/>
    </row>
    <row r="1169" spans="1:11" ht="15.75" customHeight="1" x14ac:dyDescent="0.25">
      <c r="A1169" s="25"/>
      <c r="B1169" s="26" t="s">
        <v>1816</v>
      </c>
      <c r="C1169" s="3"/>
      <c r="D1169" s="21"/>
      <c r="E1169" s="21" t="s">
        <v>1812</v>
      </c>
      <c r="F1169" s="3" t="s">
        <v>78</v>
      </c>
      <c r="G1169" s="3">
        <v>1</v>
      </c>
      <c r="H1169" s="23">
        <v>4725</v>
      </c>
      <c r="I1169" s="124">
        <f t="shared" si="39"/>
        <v>4725</v>
      </c>
      <c r="J1169" s="21"/>
      <c r="K1169" s="24"/>
    </row>
    <row r="1170" spans="1:11" ht="15.75" customHeight="1" x14ac:dyDescent="0.25">
      <c r="A1170" s="25" t="s">
        <v>1820</v>
      </c>
      <c r="B1170" s="26" t="s">
        <v>1821</v>
      </c>
      <c r="C1170" s="3"/>
      <c r="D1170" s="21"/>
      <c r="E1170" s="21" t="s">
        <v>1812</v>
      </c>
      <c r="F1170" s="3" t="s">
        <v>78</v>
      </c>
      <c r="G1170" s="3">
        <v>1</v>
      </c>
      <c r="H1170" s="23">
        <v>2022590</v>
      </c>
      <c r="I1170" s="124">
        <f t="shared" si="39"/>
        <v>2022590</v>
      </c>
      <c r="J1170" s="21"/>
      <c r="K1170" s="24" t="s">
        <v>6871</v>
      </c>
    </row>
    <row r="1171" spans="1:11" ht="34.5" customHeight="1" x14ac:dyDescent="0.25">
      <c r="A1171" s="25"/>
      <c r="B1171" s="26" t="s">
        <v>1822</v>
      </c>
      <c r="C1171" s="3"/>
      <c r="D1171" s="21"/>
      <c r="E1171" s="21" t="s">
        <v>1812</v>
      </c>
      <c r="F1171" s="3" t="s">
        <v>78</v>
      </c>
      <c r="G1171" s="3">
        <v>4</v>
      </c>
      <c r="H1171" s="23">
        <f>142231+53207</f>
        <v>195438</v>
      </c>
      <c r="I1171" s="124">
        <f t="shared" si="39"/>
        <v>781752</v>
      </c>
      <c r="J1171" s="21"/>
      <c r="K1171" s="24" t="s">
        <v>6870</v>
      </c>
    </row>
    <row r="1172" spans="1:11" ht="34.5" customHeight="1" x14ac:dyDescent="0.25">
      <c r="A1172" s="25"/>
      <c r="B1172" s="26" t="s">
        <v>1823</v>
      </c>
      <c r="C1172" s="3"/>
      <c r="D1172" s="21"/>
      <c r="E1172" s="21" t="s">
        <v>1812</v>
      </c>
      <c r="F1172" s="3" t="s">
        <v>78</v>
      </c>
      <c r="G1172" s="3">
        <v>4</v>
      </c>
      <c r="H1172" s="23">
        <f>129380+31301</f>
        <v>160681</v>
      </c>
      <c r="I1172" s="124">
        <f t="shared" si="39"/>
        <v>642724</v>
      </c>
      <c r="J1172" s="21"/>
      <c r="K1172" s="24"/>
    </row>
    <row r="1173" spans="1:11" ht="34.5" customHeight="1" x14ac:dyDescent="0.25">
      <c r="A1173" s="25"/>
      <c r="B1173" s="26" t="s">
        <v>1824</v>
      </c>
      <c r="C1173" s="3"/>
      <c r="D1173" s="21"/>
      <c r="E1173" s="21" t="s">
        <v>1812</v>
      </c>
      <c r="F1173" s="3" t="s">
        <v>78</v>
      </c>
      <c r="G1173" s="3">
        <v>3</v>
      </c>
      <c r="H1173" s="23">
        <f>116311+31301</f>
        <v>147612</v>
      </c>
      <c r="I1173" s="124">
        <f t="shared" si="39"/>
        <v>442836</v>
      </c>
      <c r="J1173" s="21"/>
      <c r="K1173" s="24"/>
    </row>
    <row r="1174" spans="1:11" ht="15.75" customHeight="1" x14ac:dyDescent="0.25">
      <c r="A1174" s="25" t="s">
        <v>1825</v>
      </c>
      <c r="B1174" s="26" t="s">
        <v>1826</v>
      </c>
      <c r="C1174" s="3"/>
      <c r="D1174" s="21"/>
      <c r="E1174" s="21" t="s">
        <v>1812</v>
      </c>
      <c r="F1174" s="3" t="s">
        <v>78</v>
      </c>
      <c r="G1174" s="3">
        <v>1</v>
      </c>
      <c r="H1174" s="23">
        <v>1294688</v>
      </c>
      <c r="I1174" s="124">
        <f t="shared" si="39"/>
        <v>1294688</v>
      </c>
      <c r="J1174" s="21"/>
      <c r="K1174" s="24" t="s">
        <v>6872</v>
      </c>
    </row>
    <row r="1175" spans="1:11" ht="34.5" customHeight="1" x14ac:dyDescent="0.25">
      <c r="A1175" s="25"/>
      <c r="B1175" s="26" t="s">
        <v>1827</v>
      </c>
      <c r="C1175" s="3"/>
      <c r="D1175" s="21"/>
      <c r="E1175" s="21" t="s">
        <v>1812</v>
      </c>
      <c r="F1175" s="3" t="s">
        <v>78</v>
      </c>
      <c r="G1175" s="3">
        <v>1</v>
      </c>
      <c r="H1175" s="23">
        <f>104076+31301</f>
        <v>135377</v>
      </c>
      <c r="I1175" s="124">
        <f t="shared" si="39"/>
        <v>135377</v>
      </c>
      <c r="J1175" s="21"/>
      <c r="K1175" s="24"/>
    </row>
    <row r="1176" spans="1:11" ht="34.5" customHeight="1" x14ac:dyDescent="0.25">
      <c r="A1176" s="25"/>
      <c r="B1176" s="26" t="s">
        <v>1823</v>
      </c>
      <c r="C1176" s="3"/>
      <c r="D1176" s="21"/>
      <c r="E1176" s="21" t="s">
        <v>1812</v>
      </c>
      <c r="F1176" s="3" t="s">
        <v>78</v>
      </c>
      <c r="G1176" s="3">
        <v>2</v>
      </c>
      <c r="H1176" s="23">
        <f>129380+31301</f>
        <v>160681</v>
      </c>
      <c r="I1176" s="124">
        <f t="shared" si="39"/>
        <v>321362</v>
      </c>
      <c r="J1176" s="21"/>
      <c r="K1176" s="24"/>
    </row>
    <row r="1177" spans="1:11" ht="34.5" customHeight="1" x14ac:dyDescent="0.25">
      <c r="A1177" s="25"/>
      <c r="B1177" s="26" t="s">
        <v>1824</v>
      </c>
      <c r="C1177" s="3"/>
      <c r="D1177" s="21"/>
      <c r="E1177" s="21" t="s">
        <v>1812</v>
      </c>
      <c r="F1177" s="3" t="s">
        <v>78</v>
      </c>
      <c r="G1177" s="3">
        <v>5</v>
      </c>
      <c r="H1177" s="23">
        <f>116311+31301</f>
        <v>147612</v>
      </c>
      <c r="I1177" s="124">
        <f t="shared" si="39"/>
        <v>738060</v>
      </c>
      <c r="J1177" s="21"/>
      <c r="K1177" s="24"/>
    </row>
    <row r="1178" spans="1:11" ht="15.75" customHeight="1" x14ac:dyDescent="0.25">
      <c r="A1178" s="25" t="s">
        <v>1828</v>
      </c>
      <c r="B1178" s="26" t="s">
        <v>1829</v>
      </c>
      <c r="C1178" s="3"/>
      <c r="D1178" s="21"/>
      <c r="E1178" s="21" t="s">
        <v>1812</v>
      </c>
      <c r="F1178" s="3" t="s">
        <v>78</v>
      </c>
      <c r="G1178" s="3">
        <v>1</v>
      </c>
      <c r="H1178" s="23">
        <v>2154360</v>
      </c>
      <c r="I1178" s="124">
        <f t="shared" si="39"/>
        <v>2154360</v>
      </c>
      <c r="J1178" s="21"/>
      <c r="K1178" s="24" t="s">
        <v>6873</v>
      </c>
    </row>
    <row r="1179" spans="1:11" ht="15.75" customHeight="1" x14ac:dyDescent="0.25">
      <c r="A1179" s="25"/>
      <c r="B1179" s="26" t="s">
        <v>1830</v>
      </c>
      <c r="C1179" s="3"/>
      <c r="D1179" s="21"/>
      <c r="E1179" s="21" t="s">
        <v>1812</v>
      </c>
      <c r="F1179" s="3" t="s">
        <v>78</v>
      </c>
      <c r="G1179" s="3">
        <v>1</v>
      </c>
      <c r="H1179" s="23">
        <v>1671803</v>
      </c>
      <c r="I1179" s="124">
        <f t="shared" si="39"/>
        <v>1671803</v>
      </c>
      <c r="J1179" s="21"/>
      <c r="K1179" s="24" t="s">
        <v>6874</v>
      </c>
    </row>
    <row r="1180" spans="1:11" ht="34.5" customHeight="1" x14ac:dyDescent="0.25">
      <c r="A1180" s="25"/>
      <c r="B1180" s="26" t="s">
        <v>1831</v>
      </c>
      <c r="C1180" s="3"/>
      <c r="D1180" s="21"/>
      <c r="E1180" s="21" t="s">
        <v>1812</v>
      </c>
      <c r="F1180" s="3" t="s">
        <v>78</v>
      </c>
      <c r="G1180" s="3">
        <v>2</v>
      </c>
      <c r="H1180" s="23">
        <f>110605+31301</f>
        <v>141906</v>
      </c>
      <c r="I1180" s="124">
        <f t="shared" si="39"/>
        <v>283812</v>
      </c>
      <c r="J1180" s="21"/>
      <c r="K1180" s="24"/>
    </row>
    <row r="1181" spans="1:11" ht="34.5" customHeight="1" x14ac:dyDescent="0.25">
      <c r="A1181" s="25"/>
      <c r="B1181" s="26" t="s">
        <v>1832</v>
      </c>
      <c r="C1181" s="3"/>
      <c r="D1181" s="21"/>
      <c r="E1181" s="21" t="s">
        <v>1812</v>
      </c>
      <c r="F1181" s="3" t="s">
        <v>78</v>
      </c>
      <c r="G1181" s="3">
        <v>3</v>
      </c>
      <c r="H1181" s="23">
        <f>150324+53207</f>
        <v>203531</v>
      </c>
      <c r="I1181" s="124">
        <f t="shared" si="39"/>
        <v>610593</v>
      </c>
      <c r="J1181" s="21"/>
      <c r="K1181" s="24" t="s">
        <v>6875</v>
      </c>
    </row>
    <row r="1182" spans="1:11" ht="34.5" customHeight="1" x14ac:dyDescent="0.25">
      <c r="A1182" s="25"/>
      <c r="B1182" s="26" t="s">
        <v>1822</v>
      </c>
      <c r="C1182" s="3"/>
      <c r="D1182" s="21"/>
      <c r="E1182" s="21" t="s">
        <v>1812</v>
      </c>
      <c r="F1182" s="3" t="s">
        <v>78</v>
      </c>
      <c r="G1182" s="3">
        <v>4</v>
      </c>
      <c r="H1182" s="23">
        <f>142231+53207</f>
        <v>195438</v>
      </c>
      <c r="I1182" s="124">
        <f t="shared" si="39"/>
        <v>781752</v>
      </c>
      <c r="J1182" s="21"/>
      <c r="K1182" s="24" t="s">
        <v>6870</v>
      </c>
    </row>
    <row r="1183" spans="1:11" ht="34.5" customHeight="1" x14ac:dyDescent="0.25">
      <c r="A1183" s="25"/>
      <c r="B1183" s="26" t="s">
        <v>1823</v>
      </c>
      <c r="C1183" s="3"/>
      <c r="D1183" s="21"/>
      <c r="E1183" s="21" t="s">
        <v>1812</v>
      </c>
      <c r="F1183" s="3" t="s">
        <v>78</v>
      </c>
      <c r="G1183" s="3">
        <v>7</v>
      </c>
      <c r="H1183" s="23">
        <f>129380+31301</f>
        <v>160681</v>
      </c>
      <c r="I1183" s="124">
        <f t="shared" si="39"/>
        <v>1124767</v>
      </c>
      <c r="J1183" s="21"/>
      <c r="K1183" s="24"/>
    </row>
    <row r="1184" spans="1:11" ht="34.5" customHeight="1" x14ac:dyDescent="0.25">
      <c r="A1184" s="25"/>
      <c r="B1184" s="26" t="s">
        <v>1824</v>
      </c>
      <c r="C1184" s="3"/>
      <c r="D1184" s="21"/>
      <c r="E1184" s="21" t="s">
        <v>1812</v>
      </c>
      <c r="F1184" s="3" t="s">
        <v>78</v>
      </c>
      <c r="G1184" s="3">
        <v>3</v>
      </c>
      <c r="H1184" s="23">
        <f>116311+31301</f>
        <v>147612</v>
      </c>
      <c r="I1184" s="124">
        <f t="shared" si="39"/>
        <v>442836</v>
      </c>
      <c r="J1184" s="21"/>
      <c r="K1184" s="24"/>
    </row>
    <row r="1185" spans="1:11" ht="15.75" customHeight="1" x14ac:dyDescent="0.25">
      <c r="A1185" s="25"/>
      <c r="B1185" s="26" t="s">
        <v>1833</v>
      </c>
      <c r="C1185" s="3"/>
      <c r="D1185" s="21"/>
      <c r="E1185" s="21" t="s">
        <v>1812</v>
      </c>
      <c r="F1185" s="3" t="s">
        <v>78</v>
      </c>
      <c r="G1185" s="3">
        <v>18</v>
      </c>
      <c r="H1185" s="23">
        <v>11278</v>
      </c>
      <c r="I1185" s="124">
        <f t="shared" si="39"/>
        <v>203004</v>
      </c>
      <c r="J1185" s="21"/>
      <c r="K1185" s="24"/>
    </row>
    <row r="1186" spans="1:11" ht="15.75" customHeight="1" x14ac:dyDescent="0.25">
      <c r="A1186" s="25"/>
      <c r="B1186" s="26" t="s">
        <v>1834</v>
      </c>
      <c r="C1186" s="3"/>
      <c r="D1186" s="21"/>
      <c r="E1186" s="21" t="s">
        <v>1812</v>
      </c>
      <c r="F1186" s="3" t="s">
        <v>78</v>
      </c>
      <c r="G1186" s="3">
        <v>9</v>
      </c>
      <c r="H1186" s="23">
        <v>26849</v>
      </c>
      <c r="I1186" s="124">
        <f t="shared" si="39"/>
        <v>241641</v>
      </c>
      <c r="J1186" s="21"/>
      <c r="K1186" s="24"/>
    </row>
    <row r="1187" spans="1:11" ht="15.75" customHeight="1" x14ac:dyDescent="0.25">
      <c r="A1187" s="25"/>
      <c r="B1187" s="26" t="s">
        <v>1835</v>
      </c>
      <c r="C1187" s="3"/>
      <c r="D1187" s="21"/>
      <c r="E1187" s="21" t="s">
        <v>1812</v>
      </c>
      <c r="F1187" s="3" t="s">
        <v>78</v>
      </c>
      <c r="G1187" s="3">
        <v>6</v>
      </c>
      <c r="H1187" s="23">
        <v>11474</v>
      </c>
      <c r="I1187" s="124">
        <f t="shared" si="39"/>
        <v>68844</v>
      </c>
      <c r="J1187" s="21"/>
      <c r="K1187" s="24"/>
    </row>
    <row r="1188" spans="1:11" ht="15.75" customHeight="1" x14ac:dyDescent="0.25">
      <c r="A1188" s="25"/>
      <c r="B1188" s="26" t="s">
        <v>1836</v>
      </c>
      <c r="C1188" s="3"/>
      <c r="D1188" s="21"/>
      <c r="E1188" s="21" t="s">
        <v>1812</v>
      </c>
      <c r="F1188" s="3" t="s">
        <v>78</v>
      </c>
      <c r="G1188" s="3">
        <v>1</v>
      </c>
      <c r="H1188" s="23">
        <v>63115</v>
      </c>
      <c r="I1188" s="124">
        <f t="shared" si="39"/>
        <v>63115</v>
      </c>
      <c r="J1188" s="21"/>
      <c r="K1188" s="24"/>
    </row>
    <row r="1189" spans="1:11" ht="15.75" customHeight="1" x14ac:dyDescent="0.25">
      <c r="A1189" s="25"/>
      <c r="B1189" s="26" t="s">
        <v>1837</v>
      </c>
      <c r="C1189" s="3"/>
      <c r="D1189" s="21"/>
      <c r="E1189" s="21" t="s">
        <v>1812</v>
      </c>
      <c r="F1189" s="3" t="s">
        <v>78</v>
      </c>
      <c r="G1189" s="3">
        <v>2</v>
      </c>
      <c r="H1189" s="23">
        <v>33773</v>
      </c>
      <c r="I1189" s="124">
        <f t="shared" si="39"/>
        <v>67546</v>
      </c>
      <c r="J1189" s="21"/>
      <c r="K1189" s="24"/>
    </row>
    <row r="1190" spans="1:11" ht="34.5" customHeight="1" x14ac:dyDescent="0.25">
      <c r="A1190" s="19" t="s">
        <v>1838</v>
      </c>
      <c r="B1190" s="20" t="s">
        <v>1839</v>
      </c>
      <c r="C1190" s="21"/>
      <c r="D1190" s="21"/>
      <c r="E1190" s="21"/>
      <c r="F1190" s="22"/>
      <c r="G1190" s="21"/>
      <c r="H1190" s="23"/>
      <c r="I1190" s="124"/>
      <c r="J1190" s="21"/>
      <c r="K1190" s="24"/>
    </row>
    <row r="1191" spans="1:11" ht="15.75" customHeight="1" x14ac:dyDescent="0.25">
      <c r="A1191" s="25"/>
      <c r="B1191" s="26" t="s">
        <v>1840</v>
      </c>
      <c r="C1191" s="3"/>
      <c r="D1191" s="21"/>
      <c r="E1191" s="21" t="s">
        <v>1841</v>
      </c>
      <c r="F1191" s="3" t="s">
        <v>89</v>
      </c>
      <c r="G1191" s="3">
        <v>82</v>
      </c>
      <c r="H1191" s="23">
        <v>168.99</v>
      </c>
      <c r="I1191" s="124">
        <f t="shared" ref="I1191:I1208" si="40">H1191*G1191</f>
        <v>13857.18</v>
      </c>
      <c r="J1191" s="21"/>
      <c r="K1191" s="24"/>
    </row>
    <row r="1192" spans="1:11" ht="15.75" customHeight="1" x14ac:dyDescent="0.25">
      <c r="A1192" s="25"/>
      <c r="B1192" s="26" t="s">
        <v>1842</v>
      </c>
      <c r="C1192" s="3"/>
      <c r="D1192" s="21"/>
      <c r="E1192" s="21" t="s">
        <v>1841</v>
      </c>
      <c r="F1192" s="3" t="s">
        <v>89</v>
      </c>
      <c r="G1192" s="3">
        <v>316</v>
      </c>
      <c r="H1192" s="23">
        <v>284.39</v>
      </c>
      <c r="I1192" s="124">
        <f t="shared" si="40"/>
        <v>89867.239999999991</v>
      </c>
      <c r="J1192" s="21"/>
      <c r="K1192" s="24"/>
    </row>
    <row r="1193" spans="1:11" ht="15.75" customHeight="1" x14ac:dyDescent="0.25">
      <c r="A1193" s="25"/>
      <c r="B1193" s="26" t="s">
        <v>1843</v>
      </c>
      <c r="C1193" s="3"/>
      <c r="D1193" s="21"/>
      <c r="E1193" s="21" t="s">
        <v>1841</v>
      </c>
      <c r="F1193" s="3" t="s">
        <v>89</v>
      </c>
      <c r="G1193" s="3">
        <v>178</v>
      </c>
      <c r="H1193" s="23">
        <v>388.8</v>
      </c>
      <c r="I1193" s="124">
        <f t="shared" si="40"/>
        <v>69206.400000000009</v>
      </c>
      <c r="J1193" s="21"/>
      <c r="K1193" s="24"/>
    </row>
    <row r="1194" spans="1:11" ht="15.75" customHeight="1" x14ac:dyDescent="0.25">
      <c r="A1194" s="25"/>
      <c r="B1194" s="26" t="s">
        <v>1844</v>
      </c>
      <c r="C1194" s="3"/>
      <c r="D1194" s="21"/>
      <c r="E1194" s="21" t="s">
        <v>1841</v>
      </c>
      <c r="F1194" s="3" t="s">
        <v>89</v>
      </c>
      <c r="G1194" s="3">
        <v>233</v>
      </c>
      <c r="H1194" s="23">
        <v>575</v>
      </c>
      <c r="I1194" s="124">
        <f t="shared" si="40"/>
        <v>133975</v>
      </c>
      <c r="J1194" s="21"/>
      <c r="K1194" s="24"/>
    </row>
    <row r="1195" spans="1:11" ht="15.75" customHeight="1" x14ac:dyDescent="0.25">
      <c r="A1195" s="25"/>
      <c r="B1195" s="26" t="s">
        <v>1845</v>
      </c>
      <c r="C1195" s="3"/>
      <c r="D1195" s="21"/>
      <c r="E1195" s="21" t="s">
        <v>1841</v>
      </c>
      <c r="F1195" s="3" t="s">
        <v>89</v>
      </c>
      <c r="G1195" s="3">
        <v>106</v>
      </c>
      <c r="H1195" s="23">
        <v>690</v>
      </c>
      <c r="I1195" s="124">
        <f t="shared" si="40"/>
        <v>73140</v>
      </c>
      <c r="J1195" s="21"/>
      <c r="K1195" s="24"/>
    </row>
    <row r="1196" spans="1:11" ht="15.75" customHeight="1" x14ac:dyDescent="0.25">
      <c r="A1196" s="25"/>
      <c r="B1196" s="26" t="s">
        <v>1846</v>
      </c>
      <c r="C1196" s="3"/>
      <c r="D1196" s="21"/>
      <c r="E1196" s="21" t="s">
        <v>1841</v>
      </c>
      <c r="F1196" s="3" t="s">
        <v>89</v>
      </c>
      <c r="G1196" s="3">
        <v>1.5</v>
      </c>
      <c r="H1196" s="23">
        <v>1115.01</v>
      </c>
      <c r="I1196" s="124">
        <f t="shared" si="40"/>
        <v>1672.5149999999999</v>
      </c>
      <c r="J1196" s="21"/>
      <c r="K1196" s="24"/>
    </row>
    <row r="1197" spans="1:11" ht="15.75" customHeight="1" x14ac:dyDescent="0.25">
      <c r="A1197" s="25"/>
      <c r="B1197" s="26" t="s">
        <v>1847</v>
      </c>
      <c r="C1197" s="3"/>
      <c r="D1197" s="21"/>
      <c r="E1197" s="21" t="s">
        <v>1841</v>
      </c>
      <c r="F1197" s="3" t="s">
        <v>89</v>
      </c>
      <c r="G1197" s="3">
        <v>92</v>
      </c>
      <c r="H1197" s="23">
        <v>1277.94</v>
      </c>
      <c r="I1197" s="124">
        <f t="shared" si="40"/>
        <v>117570.48000000001</v>
      </c>
      <c r="J1197" s="21"/>
      <c r="K1197" s="24"/>
    </row>
    <row r="1198" spans="1:11" ht="15.75" customHeight="1" x14ac:dyDescent="0.25">
      <c r="A1198" s="25"/>
      <c r="B1198" s="26" t="s">
        <v>1848</v>
      </c>
      <c r="C1198" s="3"/>
      <c r="D1198" s="21"/>
      <c r="E1198" s="21" t="s">
        <v>1841</v>
      </c>
      <c r="F1198" s="3" t="s">
        <v>89</v>
      </c>
      <c r="G1198" s="3">
        <v>15</v>
      </c>
      <c r="H1198" s="23">
        <v>1602.25</v>
      </c>
      <c r="I1198" s="124">
        <f t="shared" si="40"/>
        <v>24033.75</v>
      </c>
      <c r="J1198" s="21"/>
      <c r="K1198" s="24"/>
    </row>
    <row r="1199" spans="1:11" ht="15.75" customHeight="1" x14ac:dyDescent="0.25">
      <c r="A1199" s="25"/>
      <c r="B1199" s="26" t="s">
        <v>1849</v>
      </c>
      <c r="C1199" s="3"/>
      <c r="D1199" s="21"/>
      <c r="E1199" s="21" t="s">
        <v>1841</v>
      </c>
      <c r="F1199" s="3" t="s">
        <v>89</v>
      </c>
      <c r="G1199" s="3">
        <v>47</v>
      </c>
      <c r="H1199" s="23">
        <v>2430.89</v>
      </c>
      <c r="I1199" s="124">
        <f t="shared" si="40"/>
        <v>114251.82999999999</v>
      </c>
      <c r="J1199" s="21"/>
      <c r="K1199" s="24"/>
    </row>
    <row r="1200" spans="1:11" ht="15.75" customHeight="1" x14ac:dyDescent="0.25">
      <c r="A1200" s="25"/>
      <c r="B1200" s="26" t="s">
        <v>1850</v>
      </c>
      <c r="C1200" s="3" t="s">
        <v>1851</v>
      </c>
      <c r="D1200" s="21"/>
      <c r="E1200" s="21" t="s">
        <v>1852</v>
      </c>
      <c r="F1200" s="3" t="s">
        <v>89</v>
      </c>
      <c r="G1200" s="3">
        <v>82</v>
      </c>
      <c r="H1200" s="23">
        <v>22</v>
      </c>
      <c r="I1200" s="124">
        <f t="shared" si="40"/>
        <v>1804</v>
      </c>
      <c r="J1200" s="21"/>
      <c r="K1200" s="24"/>
    </row>
    <row r="1201" spans="1:11" ht="15.75" customHeight="1" x14ac:dyDescent="0.25">
      <c r="A1201" s="25"/>
      <c r="B1201" s="26" t="s">
        <v>1853</v>
      </c>
      <c r="C1201" s="3" t="s">
        <v>1851</v>
      </c>
      <c r="D1201" s="21"/>
      <c r="E1201" s="21" t="s">
        <v>1852</v>
      </c>
      <c r="F1201" s="3" t="s">
        <v>89</v>
      </c>
      <c r="G1201" s="3">
        <v>316</v>
      </c>
      <c r="H1201" s="23">
        <v>35.159999999999997</v>
      </c>
      <c r="I1201" s="124">
        <f t="shared" si="40"/>
        <v>11110.56</v>
      </c>
      <c r="J1201" s="21"/>
      <c r="K1201" s="24"/>
    </row>
    <row r="1202" spans="1:11" ht="15.75" customHeight="1" x14ac:dyDescent="0.25">
      <c r="A1202" s="25"/>
      <c r="B1202" s="26" t="s">
        <v>1854</v>
      </c>
      <c r="C1202" s="3" t="s">
        <v>1851</v>
      </c>
      <c r="D1202" s="21"/>
      <c r="E1202" s="21" t="s">
        <v>1852</v>
      </c>
      <c r="F1202" s="3" t="s">
        <v>89</v>
      </c>
      <c r="G1202" s="3">
        <v>178</v>
      </c>
      <c r="H1202" s="23">
        <v>36.32</v>
      </c>
      <c r="I1202" s="124">
        <f t="shared" si="40"/>
        <v>6464.96</v>
      </c>
      <c r="J1202" s="21"/>
      <c r="K1202" s="24"/>
    </row>
    <row r="1203" spans="1:11" ht="15.75" customHeight="1" x14ac:dyDescent="0.25">
      <c r="A1203" s="25"/>
      <c r="B1203" s="26" t="s">
        <v>1855</v>
      </c>
      <c r="C1203" s="3" t="s">
        <v>1851</v>
      </c>
      <c r="D1203" s="21"/>
      <c r="E1203" s="21" t="s">
        <v>1852</v>
      </c>
      <c r="F1203" s="3" t="s">
        <v>89</v>
      </c>
      <c r="G1203" s="3">
        <v>233</v>
      </c>
      <c r="H1203" s="23">
        <v>39.409999999999997</v>
      </c>
      <c r="I1203" s="124">
        <f t="shared" si="40"/>
        <v>9182.5299999999988</v>
      </c>
      <c r="J1203" s="21"/>
      <c r="K1203" s="24"/>
    </row>
    <row r="1204" spans="1:11" ht="15.75" customHeight="1" x14ac:dyDescent="0.25">
      <c r="A1204" s="25"/>
      <c r="B1204" s="26" t="s">
        <v>1856</v>
      </c>
      <c r="C1204" s="3" t="s">
        <v>1851</v>
      </c>
      <c r="D1204" s="21"/>
      <c r="E1204" s="21" t="s">
        <v>1852</v>
      </c>
      <c r="F1204" s="3" t="s">
        <v>89</v>
      </c>
      <c r="G1204" s="3">
        <v>106</v>
      </c>
      <c r="H1204" s="23">
        <v>41.34</v>
      </c>
      <c r="I1204" s="124">
        <f t="shared" si="40"/>
        <v>4382.04</v>
      </c>
      <c r="J1204" s="21"/>
      <c r="K1204" s="24"/>
    </row>
    <row r="1205" spans="1:11" ht="15.75" customHeight="1" x14ac:dyDescent="0.25">
      <c r="A1205" s="25"/>
      <c r="B1205" s="26" t="s">
        <v>1857</v>
      </c>
      <c r="C1205" s="3" t="s">
        <v>1851</v>
      </c>
      <c r="D1205" s="21"/>
      <c r="E1205" s="21" t="s">
        <v>1852</v>
      </c>
      <c r="F1205" s="3" t="s">
        <v>89</v>
      </c>
      <c r="G1205" s="3">
        <v>1.5</v>
      </c>
      <c r="H1205" s="23">
        <v>42.5</v>
      </c>
      <c r="I1205" s="124">
        <f t="shared" si="40"/>
        <v>63.75</v>
      </c>
      <c r="J1205" s="21"/>
      <c r="K1205" s="24"/>
    </row>
    <row r="1206" spans="1:11" ht="15.75" customHeight="1" x14ac:dyDescent="0.25">
      <c r="A1206" s="25"/>
      <c r="B1206" s="26" t="s">
        <v>1858</v>
      </c>
      <c r="C1206" s="3" t="s">
        <v>1851</v>
      </c>
      <c r="D1206" s="21"/>
      <c r="E1206" s="21" t="s">
        <v>1852</v>
      </c>
      <c r="F1206" s="3" t="s">
        <v>89</v>
      </c>
      <c r="G1206" s="3">
        <v>92</v>
      </c>
      <c r="H1206" s="23">
        <v>49.45</v>
      </c>
      <c r="I1206" s="124">
        <f t="shared" si="40"/>
        <v>4549.4000000000005</v>
      </c>
      <c r="J1206" s="21"/>
      <c r="K1206" s="24"/>
    </row>
    <row r="1207" spans="1:11" ht="15.75" customHeight="1" x14ac:dyDescent="0.25">
      <c r="A1207" s="25"/>
      <c r="B1207" s="26" t="s">
        <v>1859</v>
      </c>
      <c r="C1207" s="3" t="s">
        <v>1851</v>
      </c>
      <c r="D1207" s="21"/>
      <c r="E1207" s="21" t="s">
        <v>1852</v>
      </c>
      <c r="F1207" s="3" t="s">
        <v>89</v>
      </c>
      <c r="G1207" s="3">
        <v>15</v>
      </c>
      <c r="H1207" s="23">
        <v>49.84</v>
      </c>
      <c r="I1207" s="124">
        <f t="shared" si="40"/>
        <v>747.6</v>
      </c>
      <c r="J1207" s="21"/>
      <c r="K1207" s="24"/>
    </row>
    <row r="1208" spans="1:11" ht="15.75" customHeight="1" x14ac:dyDescent="0.25">
      <c r="A1208" s="25"/>
      <c r="B1208" s="26" t="s">
        <v>1860</v>
      </c>
      <c r="C1208" s="3" t="s">
        <v>1851</v>
      </c>
      <c r="D1208" s="21"/>
      <c r="E1208" s="21" t="s">
        <v>1852</v>
      </c>
      <c r="F1208" s="3" t="s">
        <v>89</v>
      </c>
      <c r="G1208" s="3">
        <v>47</v>
      </c>
      <c r="H1208" s="23">
        <v>64.52</v>
      </c>
      <c r="I1208" s="124">
        <f t="shared" si="40"/>
        <v>3032.4399999999996</v>
      </c>
      <c r="J1208" s="21"/>
      <c r="K1208" s="24"/>
    </row>
    <row r="1209" spans="1:11" ht="15.75" customHeight="1" x14ac:dyDescent="0.25">
      <c r="A1209" s="19" t="s">
        <v>1861</v>
      </c>
      <c r="B1209" s="20" t="s">
        <v>1862</v>
      </c>
      <c r="C1209" s="21"/>
      <c r="D1209" s="21"/>
      <c r="E1209" s="21"/>
      <c r="F1209" s="22"/>
      <c r="G1209" s="21"/>
      <c r="H1209" s="23"/>
      <c r="I1209" s="124"/>
      <c r="J1209" s="21"/>
      <c r="K1209" s="24"/>
    </row>
    <row r="1210" spans="1:11" ht="15.75" customHeight="1" x14ac:dyDescent="0.25">
      <c r="A1210" s="25"/>
      <c r="B1210" s="26" t="s">
        <v>1842</v>
      </c>
      <c r="C1210" s="3"/>
      <c r="D1210" s="21"/>
      <c r="E1210" s="21" t="s">
        <v>1841</v>
      </c>
      <c r="F1210" s="3" t="s">
        <v>89</v>
      </c>
      <c r="G1210" s="3">
        <v>90</v>
      </c>
      <c r="H1210" s="23">
        <v>284.39</v>
      </c>
      <c r="I1210" s="124">
        <f t="shared" ref="I1210:I1231" si="41">H1210*G1210</f>
        <v>25595.1</v>
      </c>
      <c r="J1210" s="21"/>
      <c r="K1210" s="24"/>
    </row>
    <row r="1211" spans="1:11" ht="15.75" customHeight="1" x14ac:dyDescent="0.25">
      <c r="A1211" s="25"/>
      <c r="B1211" s="26" t="s">
        <v>1843</v>
      </c>
      <c r="C1211" s="3"/>
      <c r="D1211" s="21"/>
      <c r="E1211" s="21" t="s">
        <v>1841</v>
      </c>
      <c r="F1211" s="3" t="s">
        <v>89</v>
      </c>
      <c r="G1211" s="3">
        <v>60</v>
      </c>
      <c r="H1211" s="23">
        <v>388.8</v>
      </c>
      <c r="I1211" s="124">
        <f t="shared" si="41"/>
        <v>23328</v>
      </c>
      <c r="J1211" s="21"/>
      <c r="K1211" s="24"/>
    </row>
    <row r="1212" spans="1:11" ht="15.75" customHeight="1" x14ac:dyDescent="0.25">
      <c r="A1212" s="25"/>
      <c r="B1212" s="26" t="s">
        <v>1863</v>
      </c>
      <c r="C1212" s="3"/>
      <c r="D1212" s="21"/>
      <c r="E1212" s="21" t="s">
        <v>1841</v>
      </c>
      <c r="F1212" s="3" t="s">
        <v>89</v>
      </c>
      <c r="G1212" s="3">
        <v>60</v>
      </c>
      <c r="H1212" s="23">
        <v>690</v>
      </c>
      <c r="I1212" s="124">
        <f t="shared" si="41"/>
        <v>41400</v>
      </c>
      <c r="J1212" s="21"/>
      <c r="K1212" s="24"/>
    </row>
    <row r="1213" spans="1:11" ht="15.75" customHeight="1" x14ac:dyDescent="0.25">
      <c r="A1213" s="25"/>
      <c r="B1213" s="26" t="s">
        <v>1864</v>
      </c>
      <c r="C1213" s="3"/>
      <c r="D1213" s="21"/>
      <c r="E1213" s="21" t="s">
        <v>1841</v>
      </c>
      <c r="F1213" s="3" t="s">
        <v>89</v>
      </c>
      <c r="G1213" s="3">
        <v>41</v>
      </c>
      <c r="H1213" s="23">
        <v>1115.01</v>
      </c>
      <c r="I1213" s="124">
        <f t="shared" si="41"/>
        <v>45715.409999999996</v>
      </c>
      <c r="J1213" s="21"/>
      <c r="K1213" s="24"/>
    </row>
    <row r="1214" spans="1:11" ht="15.75" customHeight="1" x14ac:dyDescent="0.25">
      <c r="A1214" s="25"/>
      <c r="B1214" s="26" t="s">
        <v>1865</v>
      </c>
      <c r="C1214" s="3"/>
      <c r="D1214" s="21"/>
      <c r="E1214" s="21" t="s">
        <v>1841</v>
      </c>
      <c r="F1214" s="3" t="s">
        <v>89</v>
      </c>
      <c r="G1214" s="3">
        <v>60</v>
      </c>
      <c r="H1214" s="23">
        <v>1277.94</v>
      </c>
      <c r="I1214" s="124">
        <f t="shared" si="41"/>
        <v>76676.400000000009</v>
      </c>
      <c r="J1214" s="21"/>
      <c r="K1214" s="24"/>
    </row>
    <row r="1215" spans="1:11" ht="15.75" customHeight="1" x14ac:dyDescent="0.25">
      <c r="A1215" s="25"/>
      <c r="B1215" s="26" t="s">
        <v>1866</v>
      </c>
      <c r="C1215" s="3"/>
      <c r="D1215" s="21"/>
      <c r="E1215" s="21" t="s">
        <v>1841</v>
      </c>
      <c r="F1215" s="3" t="s">
        <v>89</v>
      </c>
      <c r="G1215" s="3">
        <v>11</v>
      </c>
      <c r="H1215" s="23">
        <v>2287.1999999999998</v>
      </c>
      <c r="I1215" s="124">
        <f t="shared" si="41"/>
        <v>25159.199999999997</v>
      </c>
      <c r="J1215" s="21"/>
      <c r="K1215" s="24"/>
    </row>
    <row r="1216" spans="1:11" ht="15.75" customHeight="1" x14ac:dyDescent="0.25">
      <c r="A1216" s="25"/>
      <c r="B1216" s="26" t="s">
        <v>1853</v>
      </c>
      <c r="C1216" s="3" t="s">
        <v>1851</v>
      </c>
      <c r="D1216" s="21"/>
      <c r="E1216" s="21" t="s">
        <v>1852</v>
      </c>
      <c r="F1216" s="3" t="s">
        <v>89</v>
      </c>
      <c r="G1216" s="3">
        <v>90</v>
      </c>
      <c r="H1216" s="23">
        <v>35.159999999999997</v>
      </c>
      <c r="I1216" s="124">
        <f t="shared" si="41"/>
        <v>3164.3999999999996</v>
      </c>
      <c r="J1216" s="21"/>
      <c r="K1216" s="24"/>
    </row>
    <row r="1217" spans="1:11" ht="15.75" customHeight="1" x14ac:dyDescent="0.25">
      <c r="A1217" s="25"/>
      <c r="B1217" s="26" t="s">
        <v>1854</v>
      </c>
      <c r="C1217" s="3" t="s">
        <v>1851</v>
      </c>
      <c r="D1217" s="21"/>
      <c r="E1217" s="21" t="s">
        <v>1852</v>
      </c>
      <c r="F1217" s="3" t="s">
        <v>89</v>
      </c>
      <c r="G1217" s="3">
        <v>60</v>
      </c>
      <c r="H1217" s="23">
        <v>36.32</v>
      </c>
      <c r="I1217" s="124">
        <f t="shared" si="41"/>
        <v>2179.1999999999998</v>
      </c>
      <c r="J1217" s="21"/>
      <c r="K1217" s="24"/>
    </row>
    <row r="1218" spans="1:11" ht="15.75" customHeight="1" x14ac:dyDescent="0.25">
      <c r="A1218" s="25"/>
      <c r="B1218" s="26" t="s">
        <v>1856</v>
      </c>
      <c r="C1218" s="3" t="s">
        <v>1851</v>
      </c>
      <c r="D1218" s="21"/>
      <c r="E1218" s="21" t="s">
        <v>1852</v>
      </c>
      <c r="F1218" s="3" t="s">
        <v>89</v>
      </c>
      <c r="G1218" s="3">
        <v>60</v>
      </c>
      <c r="H1218" s="23">
        <v>41.34</v>
      </c>
      <c r="I1218" s="124">
        <f t="shared" si="41"/>
        <v>2480.4</v>
      </c>
      <c r="J1218" s="21"/>
      <c r="K1218" s="24"/>
    </row>
    <row r="1219" spans="1:11" ht="15.75" customHeight="1" x14ac:dyDescent="0.25">
      <c r="A1219" s="25"/>
      <c r="B1219" s="26" t="s">
        <v>1857</v>
      </c>
      <c r="C1219" s="3" t="s">
        <v>1851</v>
      </c>
      <c r="D1219" s="21"/>
      <c r="E1219" s="21" t="s">
        <v>1852</v>
      </c>
      <c r="F1219" s="3" t="s">
        <v>89</v>
      </c>
      <c r="G1219" s="3">
        <v>41</v>
      </c>
      <c r="H1219" s="23">
        <v>42.5</v>
      </c>
      <c r="I1219" s="124">
        <f t="shared" si="41"/>
        <v>1742.5</v>
      </c>
      <c r="J1219" s="21"/>
      <c r="K1219" s="24"/>
    </row>
    <row r="1220" spans="1:11" ht="15.75" customHeight="1" x14ac:dyDescent="0.25">
      <c r="A1220" s="25"/>
      <c r="B1220" s="26" t="s">
        <v>1858</v>
      </c>
      <c r="C1220" s="3" t="s">
        <v>1851</v>
      </c>
      <c r="D1220" s="21"/>
      <c r="E1220" s="21" t="s">
        <v>1852</v>
      </c>
      <c r="F1220" s="3" t="s">
        <v>89</v>
      </c>
      <c r="G1220" s="3">
        <v>60</v>
      </c>
      <c r="H1220" s="23">
        <v>49.45</v>
      </c>
      <c r="I1220" s="124">
        <f t="shared" si="41"/>
        <v>2967</v>
      </c>
      <c r="J1220" s="21"/>
      <c r="K1220" s="24"/>
    </row>
    <row r="1221" spans="1:11" ht="15.75" customHeight="1" x14ac:dyDescent="0.25">
      <c r="A1221" s="25"/>
      <c r="B1221" s="26" t="s">
        <v>1867</v>
      </c>
      <c r="C1221" s="3" t="s">
        <v>1851</v>
      </c>
      <c r="D1221" s="21"/>
      <c r="E1221" s="21" t="s">
        <v>1852</v>
      </c>
      <c r="F1221" s="3" t="s">
        <v>89</v>
      </c>
      <c r="G1221" s="3">
        <v>11</v>
      </c>
      <c r="H1221" s="23">
        <v>59.88</v>
      </c>
      <c r="I1221" s="124">
        <f t="shared" si="41"/>
        <v>658.68000000000006</v>
      </c>
      <c r="J1221" s="21"/>
      <c r="K1221" s="24"/>
    </row>
    <row r="1222" spans="1:11" ht="15.75" customHeight="1" x14ac:dyDescent="0.25">
      <c r="A1222" s="25"/>
      <c r="B1222" s="26" t="s">
        <v>1868</v>
      </c>
      <c r="C1222" s="3"/>
      <c r="D1222" s="21"/>
      <c r="E1222" s="21"/>
      <c r="F1222" s="3" t="s">
        <v>158</v>
      </c>
      <c r="G1222" s="3">
        <v>70</v>
      </c>
      <c r="H1222" s="23"/>
      <c r="I1222" s="124">
        <f t="shared" si="41"/>
        <v>0</v>
      </c>
      <c r="J1222" s="21"/>
      <c r="K1222" s="24"/>
    </row>
    <row r="1223" spans="1:11" ht="15.75" customHeight="1" x14ac:dyDescent="0.25">
      <c r="A1223" s="25"/>
      <c r="B1223" s="26" t="s">
        <v>1869</v>
      </c>
      <c r="C1223" s="3" t="s">
        <v>1870</v>
      </c>
      <c r="D1223" s="21"/>
      <c r="E1223" s="21" t="s">
        <v>1871</v>
      </c>
      <c r="F1223" s="3" t="s">
        <v>89</v>
      </c>
      <c r="G1223" s="3">
        <v>420</v>
      </c>
      <c r="H1223" s="23">
        <v>85</v>
      </c>
      <c r="I1223" s="124">
        <f t="shared" si="41"/>
        <v>35700</v>
      </c>
      <c r="J1223" s="21"/>
      <c r="K1223" s="24"/>
    </row>
    <row r="1224" spans="1:11" ht="15.75" customHeight="1" x14ac:dyDescent="0.25">
      <c r="A1224" s="25"/>
      <c r="B1224" s="26" t="s">
        <v>1872</v>
      </c>
      <c r="C1224" s="3" t="s">
        <v>1873</v>
      </c>
      <c r="D1224" s="21"/>
      <c r="E1224" s="21" t="s">
        <v>1871</v>
      </c>
      <c r="F1224" s="3" t="s">
        <v>89</v>
      </c>
      <c r="G1224" s="3">
        <v>150</v>
      </c>
      <c r="H1224" s="23"/>
      <c r="I1224" s="124">
        <f t="shared" si="41"/>
        <v>0</v>
      </c>
      <c r="J1224" s="21"/>
      <c r="K1224" s="24"/>
    </row>
    <row r="1225" spans="1:11" ht="15.75" customHeight="1" x14ac:dyDescent="0.25">
      <c r="A1225" s="25"/>
      <c r="B1225" s="26" t="s">
        <v>1874</v>
      </c>
      <c r="C1225" s="3" t="s">
        <v>1875</v>
      </c>
      <c r="D1225" s="21"/>
      <c r="E1225" s="21" t="s">
        <v>1841</v>
      </c>
      <c r="F1225" s="3" t="s">
        <v>78</v>
      </c>
      <c r="G1225" s="3">
        <v>2</v>
      </c>
      <c r="H1225" s="23">
        <v>7540.01</v>
      </c>
      <c r="I1225" s="124">
        <f t="shared" si="41"/>
        <v>15080.02</v>
      </c>
      <c r="J1225" s="21"/>
      <c r="K1225" s="24"/>
    </row>
    <row r="1226" spans="1:11" ht="60" customHeight="1" x14ac:dyDescent="0.25">
      <c r="A1226" s="33" t="s">
        <v>1876</v>
      </c>
      <c r="B1226" s="34" t="s">
        <v>1877</v>
      </c>
      <c r="C1226" s="35"/>
      <c r="D1226" s="35"/>
      <c r="E1226" s="35"/>
      <c r="F1226" s="35" t="s">
        <v>1878</v>
      </c>
      <c r="G1226" s="35">
        <v>4.0948000000000002</v>
      </c>
      <c r="H1226" s="36"/>
      <c r="I1226" s="126">
        <f t="shared" si="41"/>
        <v>0</v>
      </c>
      <c r="J1226" s="35"/>
      <c r="K1226" s="34" t="s">
        <v>1879</v>
      </c>
    </row>
    <row r="1227" spans="1:11" ht="60" customHeight="1" x14ac:dyDescent="0.25">
      <c r="A1227" s="33" t="s">
        <v>1880</v>
      </c>
      <c r="B1227" s="34" t="s">
        <v>1877</v>
      </c>
      <c r="C1227" s="35"/>
      <c r="D1227" s="35"/>
      <c r="E1227" s="35"/>
      <c r="F1227" s="35" t="s">
        <v>1878</v>
      </c>
      <c r="G1227" s="35">
        <v>0.46010000000000001</v>
      </c>
      <c r="H1227" s="36"/>
      <c r="I1227" s="126">
        <f t="shared" si="41"/>
        <v>0</v>
      </c>
      <c r="J1227" s="35"/>
      <c r="K1227" s="34" t="s">
        <v>1881</v>
      </c>
    </row>
    <row r="1228" spans="1:11" ht="69.75" customHeight="1" x14ac:dyDescent="0.25">
      <c r="A1228" s="33" t="s">
        <v>1882</v>
      </c>
      <c r="B1228" s="34" t="s">
        <v>1883</v>
      </c>
      <c r="C1228" s="35"/>
      <c r="D1228" s="35"/>
      <c r="E1228" s="35"/>
      <c r="F1228" s="35" t="s">
        <v>47</v>
      </c>
      <c r="G1228" s="35">
        <v>18</v>
      </c>
      <c r="H1228" s="36"/>
      <c r="I1228" s="126">
        <f t="shared" si="41"/>
        <v>0</v>
      </c>
      <c r="J1228" s="35"/>
      <c r="K1228" s="34" t="s">
        <v>1884</v>
      </c>
    </row>
    <row r="1229" spans="1:11" ht="69.75" customHeight="1" x14ac:dyDescent="0.25">
      <c r="A1229" s="33" t="s">
        <v>1885</v>
      </c>
      <c r="B1229" s="34" t="s">
        <v>1883</v>
      </c>
      <c r="C1229" s="35"/>
      <c r="D1229" s="35"/>
      <c r="E1229" s="35"/>
      <c r="F1229" s="35" t="s">
        <v>47</v>
      </c>
      <c r="G1229" s="35">
        <v>9</v>
      </c>
      <c r="H1229" s="36"/>
      <c r="I1229" s="126">
        <f t="shared" si="41"/>
        <v>0</v>
      </c>
      <c r="J1229" s="35"/>
      <c r="K1229" s="34" t="s">
        <v>1884</v>
      </c>
    </row>
    <row r="1230" spans="1:11" ht="69.75" customHeight="1" x14ac:dyDescent="0.25">
      <c r="A1230" s="33" t="s">
        <v>1886</v>
      </c>
      <c r="B1230" s="34" t="s">
        <v>1883</v>
      </c>
      <c r="C1230" s="35"/>
      <c r="D1230" s="35"/>
      <c r="E1230" s="35"/>
      <c r="F1230" s="35" t="s">
        <v>47</v>
      </c>
      <c r="G1230" s="35">
        <v>9</v>
      </c>
      <c r="H1230" s="36"/>
      <c r="I1230" s="126">
        <f t="shared" si="41"/>
        <v>0</v>
      </c>
      <c r="J1230" s="35"/>
      <c r="K1230" s="34" t="s">
        <v>1884</v>
      </c>
    </row>
    <row r="1231" spans="1:11" ht="80.25" customHeight="1" x14ac:dyDescent="0.25">
      <c r="A1231" s="38" t="s">
        <v>1887</v>
      </c>
      <c r="B1231" s="39" t="s">
        <v>1888</v>
      </c>
      <c r="C1231" s="40"/>
      <c r="D1231" s="40"/>
      <c r="E1231" s="40"/>
      <c r="F1231" s="40" t="s">
        <v>78</v>
      </c>
      <c r="G1231" s="40">
        <v>2</v>
      </c>
      <c r="H1231" s="41"/>
      <c r="I1231" s="127">
        <f t="shared" si="41"/>
        <v>0</v>
      </c>
      <c r="J1231" s="40"/>
      <c r="K1231" s="39" t="s">
        <v>1889</v>
      </c>
    </row>
    <row r="1232" spans="1:11" ht="34.5" customHeight="1" x14ac:dyDescent="0.25">
      <c r="A1232" s="14"/>
      <c r="B1232" s="15" t="s">
        <v>1890</v>
      </c>
      <c r="C1232" s="16"/>
      <c r="D1232" s="16"/>
      <c r="E1232" s="16"/>
      <c r="F1232" s="16"/>
      <c r="G1232" s="16"/>
      <c r="H1232" s="17"/>
      <c r="I1232" s="123"/>
      <c r="J1232" s="16"/>
      <c r="K1232" s="18"/>
    </row>
    <row r="1233" spans="1:11" ht="15.75" customHeight="1" x14ac:dyDescent="0.25">
      <c r="A1233" s="19" t="s">
        <v>349</v>
      </c>
      <c r="B1233" s="20" t="s">
        <v>1891</v>
      </c>
      <c r="C1233" s="21"/>
      <c r="D1233" s="21"/>
      <c r="E1233" s="21"/>
      <c r="F1233" s="22"/>
      <c r="G1233" s="21">
        <v>1</v>
      </c>
      <c r="H1233" s="23">
        <v>1828137.76</v>
      </c>
      <c r="I1233" s="124">
        <f t="shared" ref="I1233:I1246" si="42">H1233*G1233</f>
        <v>1828137.76</v>
      </c>
      <c r="J1233" s="21"/>
      <c r="K1233" s="24" t="s">
        <v>6879</v>
      </c>
    </row>
    <row r="1234" spans="1:11" ht="15.75" customHeight="1" x14ac:dyDescent="0.25">
      <c r="A1234" s="25" t="s">
        <v>1892</v>
      </c>
      <c r="B1234" s="26" t="s">
        <v>1893</v>
      </c>
      <c r="C1234" s="3" t="s">
        <v>1894</v>
      </c>
      <c r="D1234" s="21" t="s">
        <v>1895</v>
      </c>
      <c r="E1234" s="21" t="s">
        <v>1896</v>
      </c>
      <c r="F1234" s="3" t="s">
        <v>78</v>
      </c>
      <c r="G1234" s="3">
        <v>1</v>
      </c>
      <c r="H1234" s="23"/>
      <c r="I1234" s="124">
        <f t="shared" si="42"/>
        <v>0</v>
      </c>
      <c r="J1234" s="21">
        <v>32</v>
      </c>
      <c r="K1234" s="24"/>
    </row>
    <row r="1235" spans="1:11" ht="45" customHeight="1" x14ac:dyDescent="0.25">
      <c r="A1235" s="25" t="s">
        <v>1897</v>
      </c>
      <c r="B1235" s="26" t="s">
        <v>1898</v>
      </c>
      <c r="C1235" s="3" t="s">
        <v>1899</v>
      </c>
      <c r="D1235" s="21" t="s">
        <v>1900</v>
      </c>
      <c r="E1235" s="21" t="s">
        <v>1901</v>
      </c>
      <c r="F1235" s="3" t="s">
        <v>78</v>
      </c>
      <c r="G1235" s="3">
        <v>2</v>
      </c>
      <c r="H1235" s="23"/>
      <c r="I1235" s="124">
        <f t="shared" si="42"/>
        <v>0</v>
      </c>
      <c r="J1235" s="21"/>
      <c r="K1235" s="24"/>
    </row>
    <row r="1236" spans="1:11" ht="34.5" customHeight="1" x14ac:dyDescent="0.25">
      <c r="A1236" s="25" t="s">
        <v>1902</v>
      </c>
      <c r="B1236" s="26" t="s">
        <v>1903</v>
      </c>
      <c r="C1236" s="3" t="s">
        <v>1904</v>
      </c>
      <c r="D1236" s="21" t="s">
        <v>1905</v>
      </c>
      <c r="E1236" s="21" t="s">
        <v>1906</v>
      </c>
      <c r="F1236" s="3" t="s">
        <v>78</v>
      </c>
      <c r="G1236" s="3">
        <v>2</v>
      </c>
      <c r="H1236" s="23">
        <v>2043</v>
      </c>
      <c r="I1236" s="124">
        <f t="shared" si="42"/>
        <v>4086</v>
      </c>
      <c r="J1236" s="21"/>
      <c r="K1236" s="24"/>
    </row>
    <row r="1237" spans="1:11" ht="15.75" customHeight="1" x14ac:dyDescent="0.25">
      <c r="A1237" s="25" t="s">
        <v>1907</v>
      </c>
      <c r="B1237" s="26" t="s">
        <v>1908</v>
      </c>
      <c r="C1237" s="3" t="s">
        <v>1909</v>
      </c>
      <c r="D1237" s="21" t="s">
        <v>1910</v>
      </c>
      <c r="E1237" s="21" t="s">
        <v>1901</v>
      </c>
      <c r="F1237" s="3" t="s">
        <v>78</v>
      </c>
      <c r="G1237" s="3">
        <v>1</v>
      </c>
      <c r="H1237" s="23"/>
      <c r="I1237" s="124">
        <f t="shared" si="42"/>
        <v>0</v>
      </c>
      <c r="J1237" s="21"/>
      <c r="K1237" s="24"/>
    </row>
    <row r="1238" spans="1:11" ht="15.75" customHeight="1" x14ac:dyDescent="0.25">
      <c r="A1238" s="25"/>
      <c r="B1238" s="26" t="s">
        <v>1911</v>
      </c>
      <c r="C1238" s="3"/>
      <c r="D1238" s="21" t="s">
        <v>1912</v>
      </c>
      <c r="E1238" s="21" t="s">
        <v>1901</v>
      </c>
      <c r="F1238" s="3" t="s">
        <v>78</v>
      </c>
      <c r="G1238" s="3">
        <v>2</v>
      </c>
      <c r="H1238" s="23"/>
      <c r="I1238" s="124">
        <f t="shared" si="42"/>
        <v>0</v>
      </c>
      <c r="J1238" s="21"/>
      <c r="K1238" s="24"/>
    </row>
    <row r="1239" spans="1:11" ht="15.75" customHeight="1" x14ac:dyDescent="0.25">
      <c r="A1239" s="25" t="s">
        <v>1913</v>
      </c>
      <c r="B1239" s="26" t="s">
        <v>1914</v>
      </c>
      <c r="C1239" s="3" t="s">
        <v>1915</v>
      </c>
      <c r="D1239" s="21" t="s">
        <v>1916</v>
      </c>
      <c r="E1239" s="21" t="s">
        <v>1917</v>
      </c>
      <c r="F1239" s="3" t="s">
        <v>78</v>
      </c>
      <c r="G1239" s="3">
        <v>1</v>
      </c>
      <c r="H1239" s="23">
        <v>1100</v>
      </c>
      <c r="I1239" s="124">
        <f t="shared" si="42"/>
        <v>1100</v>
      </c>
      <c r="J1239" s="21"/>
      <c r="K1239" s="24"/>
    </row>
    <row r="1240" spans="1:11" ht="15.75" customHeight="1" x14ac:dyDescent="0.25">
      <c r="A1240" s="25" t="s">
        <v>1918</v>
      </c>
      <c r="B1240" s="26" t="s">
        <v>1919</v>
      </c>
      <c r="C1240" s="3" t="s">
        <v>1915</v>
      </c>
      <c r="D1240" s="21" t="s">
        <v>1920</v>
      </c>
      <c r="E1240" s="21" t="s">
        <v>1917</v>
      </c>
      <c r="F1240" s="3" t="s">
        <v>78</v>
      </c>
      <c r="G1240" s="3">
        <v>1</v>
      </c>
      <c r="H1240" s="23">
        <v>1100</v>
      </c>
      <c r="I1240" s="124">
        <f t="shared" si="42"/>
        <v>1100</v>
      </c>
      <c r="J1240" s="21"/>
      <c r="K1240" s="24"/>
    </row>
    <row r="1241" spans="1:11" ht="15.75" customHeight="1" x14ac:dyDescent="0.25">
      <c r="A1241" s="25" t="s">
        <v>1921</v>
      </c>
      <c r="B1241" s="26" t="s">
        <v>1922</v>
      </c>
      <c r="C1241" s="3" t="s">
        <v>1923</v>
      </c>
      <c r="D1241" s="21" t="s">
        <v>1924</v>
      </c>
      <c r="E1241" s="21" t="s">
        <v>1901</v>
      </c>
      <c r="F1241" s="3" t="s">
        <v>78</v>
      </c>
      <c r="G1241" s="3">
        <v>2</v>
      </c>
      <c r="H1241" s="23"/>
      <c r="I1241" s="124">
        <f t="shared" si="42"/>
        <v>0</v>
      </c>
      <c r="J1241" s="21"/>
      <c r="K1241" s="24"/>
    </row>
    <row r="1242" spans="1:11" ht="34.5" customHeight="1" x14ac:dyDescent="0.25">
      <c r="A1242" s="25"/>
      <c r="B1242" s="26" t="s">
        <v>1925</v>
      </c>
      <c r="C1242" s="3"/>
      <c r="D1242" s="21" t="s">
        <v>1926</v>
      </c>
      <c r="E1242" s="21"/>
      <c r="F1242" s="3" t="s">
        <v>78</v>
      </c>
      <c r="G1242" s="3">
        <v>2</v>
      </c>
      <c r="H1242" s="23"/>
      <c r="I1242" s="124">
        <f t="shared" si="42"/>
        <v>0</v>
      </c>
      <c r="J1242" s="21"/>
      <c r="K1242" s="24"/>
    </row>
    <row r="1243" spans="1:11" ht="15.75" customHeight="1" x14ac:dyDescent="0.25">
      <c r="A1243" s="25" t="s">
        <v>1927</v>
      </c>
      <c r="B1243" s="26" t="s">
        <v>1928</v>
      </c>
      <c r="C1243" s="3" t="s">
        <v>1929</v>
      </c>
      <c r="D1243" s="21" t="s">
        <v>1930</v>
      </c>
      <c r="E1243" s="21" t="s">
        <v>1917</v>
      </c>
      <c r="F1243" s="3" t="s">
        <v>78</v>
      </c>
      <c r="G1243" s="3">
        <v>4</v>
      </c>
      <c r="H1243" s="23">
        <v>940</v>
      </c>
      <c r="I1243" s="124">
        <f t="shared" si="42"/>
        <v>3760</v>
      </c>
      <c r="J1243" s="21"/>
      <c r="K1243" s="24" t="s">
        <v>1931</v>
      </c>
    </row>
    <row r="1244" spans="1:11" ht="15.75" customHeight="1" x14ac:dyDescent="0.25">
      <c r="A1244" s="25"/>
      <c r="B1244" s="26" t="s">
        <v>1932</v>
      </c>
      <c r="C1244" s="3"/>
      <c r="D1244" s="21" t="s">
        <v>1933</v>
      </c>
      <c r="E1244" s="21"/>
      <c r="F1244" s="3" t="s">
        <v>78</v>
      </c>
      <c r="G1244" s="3">
        <v>4</v>
      </c>
      <c r="H1244" s="23"/>
      <c r="I1244" s="124">
        <f t="shared" si="42"/>
        <v>0</v>
      </c>
      <c r="J1244" s="21"/>
      <c r="K1244" s="24"/>
    </row>
    <row r="1245" spans="1:11" ht="34.5" customHeight="1" x14ac:dyDescent="0.25">
      <c r="A1245" s="25"/>
      <c r="B1245" s="26" t="s">
        <v>1934</v>
      </c>
      <c r="C1245" s="3"/>
      <c r="D1245" s="21" t="s">
        <v>1935</v>
      </c>
      <c r="E1245" s="21" t="s">
        <v>1936</v>
      </c>
      <c r="F1245" s="3" t="s">
        <v>78</v>
      </c>
      <c r="G1245" s="3">
        <v>6</v>
      </c>
      <c r="H1245" s="23"/>
      <c r="I1245" s="124">
        <f t="shared" si="42"/>
        <v>0</v>
      </c>
      <c r="J1245" s="21"/>
      <c r="K1245" s="24"/>
    </row>
    <row r="1246" spans="1:11" ht="15.75" customHeight="1" x14ac:dyDescent="0.25">
      <c r="A1246" s="19" t="s">
        <v>375</v>
      </c>
      <c r="B1246" s="20" t="s">
        <v>1937</v>
      </c>
      <c r="C1246" s="21"/>
      <c r="D1246" s="21"/>
      <c r="E1246" s="21"/>
      <c r="F1246" s="22"/>
      <c r="G1246" s="21">
        <v>1</v>
      </c>
      <c r="H1246" s="23">
        <v>2812140.89</v>
      </c>
      <c r="I1246" s="124">
        <f t="shared" si="42"/>
        <v>2812140.89</v>
      </c>
      <c r="J1246" s="21"/>
      <c r="K1246" s="24" t="s">
        <v>6879</v>
      </c>
    </row>
    <row r="1247" spans="1:11" ht="15.75" customHeight="1" x14ac:dyDescent="0.25">
      <c r="A1247" s="25" t="s">
        <v>1938</v>
      </c>
      <c r="B1247" s="26" t="s">
        <v>1939</v>
      </c>
      <c r="C1247" s="3" t="s">
        <v>1940</v>
      </c>
      <c r="D1247" s="21" t="s">
        <v>1941</v>
      </c>
      <c r="E1247" s="21" t="s">
        <v>1942</v>
      </c>
      <c r="F1247" s="3" t="s">
        <v>78</v>
      </c>
      <c r="G1247" s="3">
        <v>2</v>
      </c>
      <c r="H1247" s="23"/>
      <c r="I1247" s="124">
        <f t="shared" ref="I1247:I1265" si="43">H1247*G1247</f>
        <v>0</v>
      </c>
      <c r="J1247" s="21">
        <v>59</v>
      </c>
      <c r="K1247" s="24"/>
    </row>
    <row r="1248" spans="1:11" ht="15.75" customHeight="1" x14ac:dyDescent="0.25">
      <c r="A1248" s="25" t="s">
        <v>1943</v>
      </c>
      <c r="B1248" s="26" t="s">
        <v>1944</v>
      </c>
      <c r="C1248" s="3" t="s">
        <v>1945</v>
      </c>
      <c r="D1248" s="21" t="s">
        <v>1946</v>
      </c>
      <c r="E1248" s="21" t="s">
        <v>1906</v>
      </c>
      <c r="F1248" s="3" t="s">
        <v>78</v>
      </c>
      <c r="G1248" s="3">
        <v>4</v>
      </c>
      <c r="H1248" s="23">
        <v>8554.7099999999991</v>
      </c>
      <c r="I1248" s="124">
        <f t="shared" si="43"/>
        <v>34218.839999999997</v>
      </c>
      <c r="J1248" s="21"/>
      <c r="K1248" s="24"/>
    </row>
    <row r="1249" spans="1:11" ht="15.75" customHeight="1" x14ac:dyDescent="0.25">
      <c r="A1249" s="25"/>
      <c r="B1249" s="26" t="s">
        <v>1947</v>
      </c>
      <c r="C1249" s="3" t="s">
        <v>1948</v>
      </c>
      <c r="D1249" s="21" t="s">
        <v>1949</v>
      </c>
      <c r="E1249" s="21" t="s">
        <v>1906</v>
      </c>
      <c r="F1249" s="3" t="s">
        <v>78</v>
      </c>
      <c r="G1249" s="3">
        <v>4</v>
      </c>
      <c r="H1249" s="23">
        <v>11956.39</v>
      </c>
      <c r="I1249" s="124">
        <f t="shared" si="43"/>
        <v>47825.56</v>
      </c>
      <c r="J1249" s="21"/>
      <c r="K1249" s="24"/>
    </row>
    <row r="1250" spans="1:11" ht="34.5" customHeight="1" x14ac:dyDescent="0.25">
      <c r="A1250" s="25" t="s">
        <v>1950</v>
      </c>
      <c r="B1250" s="26" t="s">
        <v>1951</v>
      </c>
      <c r="C1250" s="3" t="s">
        <v>1952</v>
      </c>
      <c r="D1250" s="21" t="s">
        <v>1953</v>
      </c>
      <c r="E1250" s="21" t="s">
        <v>1954</v>
      </c>
      <c r="F1250" s="3" t="s">
        <v>78</v>
      </c>
      <c r="G1250" s="3">
        <v>1</v>
      </c>
      <c r="H1250" s="23"/>
      <c r="I1250" s="124">
        <f t="shared" si="43"/>
        <v>0</v>
      </c>
      <c r="J1250" s="21"/>
      <c r="K1250" s="24"/>
    </row>
    <row r="1251" spans="1:11" ht="15.75" customHeight="1" x14ac:dyDescent="0.25">
      <c r="A1251" s="25" t="s">
        <v>1955</v>
      </c>
      <c r="B1251" s="26" t="s">
        <v>1956</v>
      </c>
      <c r="C1251" s="3" t="s">
        <v>1957</v>
      </c>
      <c r="D1251" s="21" t="s">
        <v>1958</v>
      </c>
      <c r="E1251" s="21" t="s">
        <v>1906</v>
      </c>
      <c r="F1251" s="3" t="s">
        <v>78</v>
      </c>
      <c r="G1251" s="3">
        <v>1</v>
      </c>
      <c r="H1251" s="23">
        <v>15412</v>
      </c>
      <c r="I1251" s="124">
        <f t="shared" si="43"/>
        <v>15412</v>
      </c>
      <c r="J1251" s="21"/>
      <c r="K1251" s="24"/>
    </row>
    <row r="1252" spans="1:11" ht="34.5" customHeight="1" x14ac:dyDescent="0.25">
      <c r="A1252" s="25" t="s">
        <v>1959</v>
      </c>
      <c r="B1252" s="26" t="s">
        <v>1960</v>
      </c>
      <c r="C1252" s="3" t="s">
        <v>1961</v>
      </c>
      <c r="D1252" s="21" t="s">
        <v>1962</v>
      </c>
      <c r="E1252" s="21" t="s">
        <v>1906</v>
      </c>
      <c r="F1252" s="3" t="s">
        <v>78</v>
      </c>
      <c r="G1252" s="3">
        <v>1</v>
      </c>
      <c r="H1252" s="23">
        <v>4127.8</v>
      </c>
      <c r="I1252" s="124">
        <f t="shared" si="43"/>
        <v>4127.8</v>
      </c>
      <c r="J1252" s="21"/>
      <c r="K1252" s="24"/>
    </row>
    <row r="1253" spans="1:11" ht="34.5" customHeight="1" x14ac:dyDescent="0.25">
      <c r="A1253" s="25" t="s">
        <v>1963</v>
      </c>
      <c r="B1253" s="26" t="s">
        <v>1964</v>
      </c>
      <c r="C1253" s="3"/>
      <c r="D1253" s="21" t="s">
        <v>1965</v>
      </c>
      <c r="E1253" s="21" t="s">
        <v>1936</v>
      </c>
      <c r="F1253" s="3" t="s">
        <v>78</v>
      </c>
      <c r="G1253" s="3">
        <v>3</v>
      </c>
      <c r="H1253" s="23"/>
      <c r="I1253" s="124">
        <f t="shared" si="43"/>
        <v>0</v>
      </c>
      <c r="J1253" s="21"/>
      <c r="K1253" s="24"/>
    </row>
    <row r="1254" spans="1:11" ht="15.75" customHeight="1" x14ac:dyDescent="0.25">
      <c r="A1254" s="25" t="s">
        <v>1966</v>
      </c>
      <c r="B1254" s="26" t="s">
        <v>1967</v>
      </c>
      <c r="C1254" s="3" t="s">
        <v>1968</v>
      </c>
      <c r="D1254" s="21" t="s">
        <v>1969</v>
      </c>
      <c r="E1254" s="21" t="s">
        <v>1906</v>
      </c>
      <c r="F1254" s="3" t="s">
        <v>78</v>
      </c>
      <c r="G1254" s="3">
        <v>3</v>
      </c>
      <c r="H1254" s="23">
        <v>8941.98</v>
      </c>
      <c r="I1254" s="124">
        <f t="shared" si="43"/>
        <v>26825.94</v>
      </c>
      <c r="J1254" s="21"/>
      <c r="K1254" s="24" t="s">
        <v>6876</v>
      </c>
    </row>
    <row r="1255" spans="1:11" ht="15.75" customHeight="1" x14ac:dyDescent="0.25">
      <c r="A1255" s="25" t="s">
        <v>1970</v>
      </c>
      <c r="B1255" s="26" t="s">
        <v>1971</v>
      </c>
      <c r="C1255" s="3" t="s">
        <v>1972</v>
      </c>
      <c r="D1255" s="21" t="s">
        <v>1973</v>
      </c>
      <c r="E1255" s="21" t="s">
        <v>1906</v>
      </c>
      <c r="F1255" s="3" t="s">
        <v>78</v>
      </c>
      <c r="G1255" s="3">
        <v>6</v>
      </c>
      <c r="H1255" s="23">
        <v>7412.65</v>
      </c>
      <c r="I1255" s="124">
        <f t="shared" si="43"/>
        <v>44475.899999999994</v>
      </c>
      <c r="J1255" s="21"/>
      <c r="K1255" s="24" t="s">
        <v>6877</v>
      </c>
    </row>
    <row r="1256" spans="1:11" ht="34.5" customHeight="1" x14ac:dyDescent="0.25">
      <c r="A1256" s="25" t="s">
        <v>1974</v>
      </c>
      <c r="B1256" s="26" t="s">
        <v>1975</v>
      </c>
      <c r="C1256" s="3" t="s">
        <v>1976</v>
      </c>
      <c r="D1256" s="21" t="s">
        <v>1977</v>
      </c>
      <c r="E1256" s="21" t="s">
        <v>1906</v>
      </c>
      <c r="F1256" s="3" t="s">
        <v>78</v>
      </c>
      <c r="G1256" s="3">
        <v>1</v>
      </c>
      <c r="H1256" s="23">
        <v>15949.23</v>
      </c>
      <c r="I1256" s="124">
        <f t="shared" si="43"/>
        <v>15949.23</v>
      </c>
      <c r="J1256" s="21"/>
      <c r="K1256" s="24"/>
    </row>
    <row r="1257" spans="1:11" ht="34.5" customHeight="1" x14ac:dyDescent="0.25">
      <c r="A1257" s="25" t="s">
        <v>1978</v>
      </c>
      <c r="B1257" s="26" t="s">
        <v>1979</v>
      </c>
      <c r="C1257" s="3" t="s">
        <v>1980</v>
      </c>
      <c r="D1257" s="21" t="s">
        <v>1981</v>
      </c>
      <c r="E1257" s="21" t="s">
        <v>1982</v>
      </c>
      <c r="F1257" s="3" t="s">
        <v>78</v>
      </c>
      <c r="G1257" s="3">
        <v>1</v>
      </c>
      <c r="H1257" s="23"/>
      <c r="I1257" s="124">
        <f t="shared" si="43"/>
        <v>0</v>
      </c>
      <c r="J1257" s="21"/>
      <c r="K1257" s="24"/>
    </row>
    <row r="1258" spans="1:11" ht="15.75" customHeight="1" x14ac:dyDescent="0.25">
      <c r="A1258" s="25" t="s">
        <v>1907</v>
      </c>
      <c r="B1258" s="26" t="s">
        <v>1983</v>
      </c>
      <c r="C1258" s="3" t="s">
        <v>1984</v>
      </c>
      <c r="D1258" s="21" t="s">
        <v>1985</v>
      </c>
      <c r="E1258" s="21" t="s">
        <v>1986</v>
      </c>
      <c r="F1258" s="3" t="s">
        <v>78</v>
      </c>
      <c r="G1258" s="3">
        <v>2</v>
      </c>
      <c r="H1258" s="23"/>
      <c r="I1258" s="124">
        <f t="shared" si="43"/>
        <v>0</v>
      </c>
      <c r="J1258" s="21"/>
      <c r="K1258" s="24"/>
    </row>
    <row r="1259" spans="1:11" ht="15.75" customHeight="1" x14ac:dyDescent="0.25">
      <c r="A1259" s="25" t="s">
        <v>1913</v>
      </c>
      <c r="B1259" s="26" t="s">
        <v>1919</v>
      </c>
      <c r="C1259" s="3" t="s">
        <v>1915</v>
      </c>
      <c r="D1259" s="21" t="s">
        <v>1920</v>
      </c>
      <c r="E1259" s="21" t="s">
        <v>1917</v>
      </c>
      <c r="F1259" s="3" t="s">
        <v>78</v>
      </c>
      <c r="G1259" s="3">
        <v>2</v>
      </c>
      <c r="H1259" s="23">
        <v>1100</v>
      </c>
      <c r="I1259" s="124">
        <f t="shared" si="43"/>
        <v>2200</v>
      </c>
      <c r="J1259" s="21"/>
      <c r="K1259" s="24"/>
    </row>
    <row r="1260" spans="1:11" ht="15.75" customHeight="1" x14ac:dyDescent="0.25">
      <c r="A1260" s="25" t="s">
        <v>1921</v>
      </c>
      <c r="B1260" s="26" t="s">
        <v>1987</v>
      </c>
      <c r="C1260" s="3" t="s">
        <v>1923</v>
      </c>
      <c r="D1260" s="21" t="s">
        <v>1988</v>
      </c>
      <c r="E1260" s="21" t="s">
        <v>1901</v>
      </c>
      <c r="F1260" s="3" t="s">
        <v>78</v>
      </c>
      <c r="G1260" s="3">
        <v>2</v>
      </c>
      <c r="H1260" s="23"/>
      <c r="I1260" s="124">
        <f t="shared" si="43"/>
        <v>0</v>
      </c>
      <c r="J1260" s="21"/>
      <c r="K1260" s="24"/>
    </row>
    <row r="1261" spans="1:11" ht="34.5" customHeight="1" x14ac:dyDescent="0.25">
      <c r="A1261" s="25" t="s">
        <v>1927</v>
      </c>
      <c r="B1261" s="26" t="s">
        <v>1928</v>
      </c>
      <c r="C1261" s="3" t="s">
        <v>1929</v>
      </c>
      <c r="D1261" s="21" t="s">
        <v>1930</v>
      </c>
      <c r="E1261" s="21" t="s">
        <v>1917</v>
      </c>
      <c r="F1261" s="3" t="s">
        <v>78</v>
      </c>
      <c r="G1261" s="3">
        <v>9</v>
      </c>
      <c r="H1261" s="23">
        <v>940</v>
      </c>
      <c r="I1261" s="124">
        <f t="shared" si="43"/>
        <v>8460</v>
      </c>
      <c r="J1261" s="21"/>
      <c r="K1261" s="24" t="s">
        <v>1931</v>
      </c>
    </row>
    <row r="1262" spans="1:11" ht="34.5" customHeight="1" x14ac:dyDescent="0.25">
      <c r="A1262" s="25"/>
      <c r="B1262" s="26" t="s">
        <v>1989</v>
      </c>
      <c r="C1262" s="3"/>
      <c r="D1262" s="21" t="s">
        <v>1990</v>
      </c>
      <c r="E1262" s="21" t="s">
        <v>1986</v>
      </c>
      <c r="F1262" s="3" t="s">
        <v>78</v>
      </c>
      <c r="G1262" s="3">
        <v>1</v>
      </c>
      <c r="H1262" s="23"/>
      <c r="I1262" s="124">
        <f t="shared" si="43"/>
        <v>0</v>
      </c>
      <c r="J1262" s="21"/>
      <c r="K1262" s="24"/>
    </row>
    <row r="1263" spans="1:11" ht="15.75" customHeight="1" x14ac:dyDescent="0.25">
      <c r="A1263" s="25"/>
      <c r="B1263" s="26" t="s">
        <v>1932</v>
      </c>
      <c r="C1263" s="3"/>
      <c r="D1263" s="21" t="s">
        <v>1933</v>
      </c>
      <c r="E1263" s="21"/>
      <c r="F1263" s="3" t="s">
        <v>78</v>
      </c>
      <c r="G1263" s="3">
        <v>1</v>
      </c>
      <c r="H1263" s="23"/>
      <c r="I1263" s="124">
        <f t="shared" si="43"/>
        <v>0</v>
      </c>
      <c r="J1263" s="21"/>
      <c r="K1263" s="24"/>
    </row>
    <row r="1264" spans="1:11" ht="34.5" customHeight="1" x14ac:dyDescent="0.25">
      <c r="A1264" s="25"/>
      <c r="B1264" s="26" t="s">
        <v>1934</v>
      </c>
      <c r="C1264" s="3"/>
      <c r="D1264" s="21" t="s">
        <v>1935</v>
      </c>
      <c r="E1264" s="21" t="s">
        <v>1936</v>
      </c>
      <c r="F1264" s="3" t="s">
        <v>78</v>
      </c>
      <c r="G1264" s="3">
        <v>11</v>
      </c>
      <c r="H1264" s="23"/>
      <c r="I1264" s="124">
        <f t="shared" si="43"/>
        <v>0</v>
      </c>
      <c r="J1264" s="21"/>
      <c r="K1264" s="24"/>
    </row>
    <row r="1265" spans="1:11" ht="15.75" customHeight="1" x14ac:dyDescent="0.25">
      <c r="A1265" s="19" t="s">
        <v>432</v>
      </c>
      <c r="B1265" s="20" t="s">
        <v>1991</v>
      </c>
      <c r="C1265" s="21"/>
      <c r="D1265" s="21"/>
      <c r="E1265" s="21"/>
      <c r="F1265" s="22"/>
      <c r="G1265" s="21">
        <v>1</v>
      </c>
      <c r="H1265" s="23">
        <v>2010365.24</v>
      </c>
      <c r="I1265" s="124">
        <f t="shared" si="43"/>
        <v>2010365.24</v>
      </c>
      <c r="J1265" s="21"/>
      <c r="K1265" s="24" t="s">
        <v>6879</v>
      </c>
    </row>
    <row r="1266" spans="1:11" ht="15.75" customHeight="1" x14ac:dyDescent="0.25">
      <c r="A1266" s="25" t="s">
        <v>1938</v>
      </c>
      <c r="B1266" s="26" t="s">
        <v>1992</v>
      </c>
      <c r="C1266" s="3" t="s">
        <v>1993</v>
      </c>
      <c r="D1266" s="21" t="s">
        <v>1994</v>
      </c>
      <c r="E1266" s="21" t="s">
        <v>1942</v>
      </c>
      <c r="F1266" s="3" t="s">
        <v>78</v>
      </c>
      <c r="G1266" s="3">
        <v>2</v>
      </c>
      <c r="H1266" s="23"/>
      <c r="I1266" s="124">
        <f t="shared" ref="I1266:I1281" si="44">H1266*G1266</f>
        <v>0</v>
      </c>
      <c r="J1266" s="21">
        <v>17</v>
      </c>
      <c r="K1266" s="24"/>
    </row>
    <row r="1267" spans="1:11" ht="34.5" customHeight="1" x14ac:dyDescent="0.25">
      <c r="A1267" s="25" t="s">
        <v>1995</v>
      </c>
      <c r="B1267" s="26" t="s">
        <v>1996</v>
      </c>
      <c r="C1267" s="3" t="s">
        <v>1997</v>
      </c>
      <c r="D1267" s="21" t="s">
        <v>1998</v>
      </c>
      <c r="E1267" s="21" t="s">
        <v>1954</v>
      </c>
      <c r="F1267" s="3" t="s">
        <v>78</v>
      </c>
      <c r="G1267" s="3">
        <v>1</v>
      </c>
      <c r="H1267" s="23"/>
      <c r="I1267" s="124">
        <f t="shared" si="44"/>
        <v>0</v>
      </c>
      <c r="J1267" s="21"/>
      <c r="K1267" s="24"/>
    </row>
    <row r="1268" spans="1:11" ht="15.75" customHeight="1" x14ac:dyDescent="0.25">
      <c r="A1268" s="25" t="s">
        <v>1999</v>
      </c>
      <c r="B1268" s="26" t="s">
        <v>2000</v>
      </c>
      <c r="C1268" s="3" t="s">
        <v>2001</v>
      </c>
      <c r="D1268" s="21" t="s">
        <v>2002</v>
      </c>
      <c r="E1268" s="21" t="s">
        <v>1906</v>
      </c>
      <c r="F1268" s="3" t="s">
        <v>78</v>
      </c>
      <c r="G1268" s="3">
        <v>1</v>
      </c>
      <c r="H1268" s="23">
        <v>13252</v>
      </c>
      <c r="I1268" s="124">
        <f t="shared" si="44"/>
        <v>13252</v>
      </c>
      <c r="J1268" s="21"/>
      <c r="K1268" s="24"/>
    </row>
    <row r="1269" spans="1:11" ht="34.5" customHeight="1" x14ac:dyDescent="0.25">
      <c r="A1269" s="25" t="s">
        <v>2003</v>
      </c>
      <c r="B1269" s="26" t="s">
        <v>2004</v>
      </c>
      <c r="C1269" s="3" t="s">
        <v>2005</v>
      </c>
      <c r="D1269" s="21" t="s">
        <v>2006</v>
      </c>
      <c r="E1269" s="21" t="s">
        <v>1906</v>
      </c>
      <c r="F1269" s="3" t="s">
        <v>78</v>
      </c>
      <c r="G1269" s="3">
        <v>1</v>
      </c>
      <c r="H1269" s="23">
        <v>3005.37</v>
      </c>
      <c r="I1269" s="124">
        <f t="shared" si="44"/>
        <v>3005.37</v>
      </c>
      <c r="J1269" s="21"/>
      <c r="K1269" s="24"/>
    </row>
    <row r="1270" spans="1:11" ht="34.5" customHeight="1" x14ac:dyDescent="0.25">
      <c r="A1270" s="25" t="s">
        <v>2007</v>
      </c>
      <c r="B1270" s="26" t="s">
        <v>1964</v>
      </c>
      <c r="C1270" s="3"/>
      <c r="D1270" s="21" t="s">
        <v>1965</v>
      </c>
      <c r="E1270" s="21" t="s">
        <v>1936</v>
      </c>
      <c r="F1270" s="3" t="s">
        <v>78</v>
      </c>
      <c r="G1270" s="3">
        <v>3</v>
      </c>
      <c r="H1270" s="23"/>
      <c r="I1270" s="124">
        <f t="shared" si="44"/>
        <v>0</v>
      </c>
      <c r="J1270" s="21"/>
      <c r="K1270" s="24"/>
    </row>
    <row r="1271" spans="1:11" ht="34.5" customHeight="1" x14ac:dyDescent="0.25">
      <c r="A1271" s="25" t="s">
        <v>2008</v>
      </c>
      <c r="B1271" s="26" t="s">
        <v>2009</v>
      </c>
      <c r="C1271" s="3" t="s">
        <v>2010</v>
      </c>
      <c r="D1271" s="21" t="s">
        <v>2011</v>
      </c>
      <c r="E1271" s="21" t="s">
        <v>1906</v>
      </c>
      <c r="F1271" s="3" t="s">
        <v>78</v>
      </c>
      <c r="G1271" s="3">
        <v>3</v>
      </c>
      <c r="H1271" s="23">
        <v>4014.5</v>
      </c>
      <c r="I1271" s="124">
        <f t="shared" si="44"/>
        <v>12043.5</v>
      </c>
      <c r="J1271" s="21"/>
      <c r="K1271" s="24"/>
    </row>
    <row r="1272" spans="1:11" ht="34.5" customHeight="1" x14ac:dyDescent="0.25">
      <c r="A1272" s="25" t="s">
        <v>2012</v>
      </c>
      <c r="B1272" s="26" t="s">
        <v>2013</v>
      </c>
      <c r="C1272" s="3" t="s">
        <v>2014</v>
      </c>
      <c r="D1272" s="21" t="s">
        <v>2015</v>
      </c>
      <c r="E1272" s="21" t="s">
        <v>1906</v>
      </c>
      <c r="F1272" s="3" t="s">
        <v>78</v>
      </c>
      <c r="G1272" s="3">
        <v>6</v>
      </c>
      <c r="H1272" s="23">
        <v>4299.6000000000004</v>
      </c>
      <c r="I1272" s="124">
        <f t="shared" si="44"/>
        <v>25797.600000000002</v>
      </c>
      <c r="J1272" s="21"/>
      <c r="K1272" s="24"/>
    </row>
    <row r="1273" spans="1:11" ht="34.5" customHeight="1" x14ac:dyDescent="0.25">
      <c r="A1273" s="25" t="s">
        <v>2016</v>
      </c>
      <c r="B1273" s="26" t="s">
        <v>2017</v>
      </c>
      <c r="C1273" s="3" t="s">
        <v>2018</v>
      </c>
      <c r="D1273" s="21" t="s">
        <v>2019</v>
      </c>
      <c r="E1273" s="21" t="s">
        <v>1906</v>
      </c>
      <c r="F1273" s="3" t="s">
        <v>78</v>
      </c>
      <c r="G1273" s="3">
        <v>1</v>
      </c>
      <c r="H1273" s="23">
        <v>7785.92</v>
      </c>
      <c r="I1273" s="124">
        <f t="shared" si="44"/>
        <v>7785.92</v>
      </c>
      <c r="J1273" s="21"/>
      <c r="K1273" s="24"/>
    </row>
    <row r="1274" spans="1:11" ht="34.5" customHeight="1" x14ac:dyDescent="0.25">
      <c r="A1274" s="25" t="s">
        <v>2020</v>
      </c>
      <c r="B1274" s="26" t="s">
        <v>2021</v>
      </c>
      <c r="C1274" s="3" t="s">
        <v>1980</v>
      </c>
      <c r="D1274" s="21" t="s">
        <v>2022</v>
      </c>
      <c r="E1274" s="21" t="s">
        <v>1982</v>
      </c>
      <c r="F1274" s="3" t="s">
        <v>78</v>
      </c>
      <c r="G1274" s="3">
        <v>1</v>
      </c>
      <c r="H1274" s="23"/>
      <c r="I1274" s="124">
        <f t="shared" si="44"/>
        <v>0</v>
      </c>
      <c r="J1274" s="21"/>
      <c r="K1274" s="24"/>
    </row>
    <row r="1275" spans="1:11" ht="15.75" customHeight="1" x14ac:dyDescent="0.25">
      <c r="A1275" s="25" t="s">
        <v>1907</v>
      </c>
      <c r="B1275" s="26" t="s">
        <v>2023</v>
      </c>
      <c r="C1275" s="3" t="s">
        <v>2024</v>
      </c>
      <c r="D1275" s="21" t="s">
        <v>2025</v>
      </c>
      <c r="E1275" s="21" t="s">
        <v>1986</v>
      </c>
      <c r="F1275" s="3" t="s">
        <v>78</v>
      </c>
      <c r="G1275" s="3">
        <v>2</v>
      </c>
      <c r="H1275" s="23"/>
      <c r="I1275" s="124">
        <f t="shared" si="44"/>
        <v>0</v>
      </c>
      <c r="J1275" s="21"/>
      <c r="K1275" s="24"/>
    </row>
    <row r="1276" spans="1:11" ht="15.75" customHeight="1" x14ac:dyDescent="0.25">
      <c r="A1276" s="25" t="s">
        <v>1913</v>
      </c>
      <c r="B1276" s="26" t="s">
        <v>2026</v>
      </c>
      <c r="C1276" s="3" t="s">
        <v>1915</v>
      </c>
      <c r="D1276" s="21" t="s">
        <v>2027</v>
      </c>
      <c r="E1276" s="21" t="s">
        <v>2028</v>
      </c>
      <c r="F1276" s="3" t="s">
        <v>78</v>
      </c>
      <c r="G1276" s="3">
        <v>2</v>
      </c>
      <c r="H1276" s="23">
        <v>1100</v>
      </c>
      <c r="I1276" s="124">
        <f t="shared" si="44"/>
        <v>2200</v>
      </c>
      <c r="J1276" s="21"/>
      <c r="K1276" s="24"/>
    </row>
    <row r="1277" spans="1:11" ht="15.75" customHeight="1" x14ac:dyDescent="0.25">
      <c r="A1277" s="25" t="s">
        <v>1921</v>
      </c>
      <c r="B1277" s="26" t="s">
        <v>1987</v>
      </c>
      <c r="C1277" s="3" t="s">
        <v>1923</v>
      </c>
      <c r="D1277" s="21" t="s">
        <v>1988</v>
      </c>
      <c r="E1277" s="21" t="s">
        <v>1901</v>
      </c>
      <c r="F1277" s="3" t="s">
        <v>78</v>
      </c>
      <c r="G1277" s="3">
        <v>2</v>
      </c>
      <c r="H1277" s="23"/>
      <c r="I1277" s="124">
        <f t="shared" si="44"/>
        <v>0</v>
      </c>
      <c r="J1277" s="21"/>
      <c r="K1277" s="24"/>
    </row>
    <row r="1278" spans="1:11" ht="34.5" customHeight="1" x14ac:dyDescent="0.25">
      <c r="A1278" s="25"/>
      <c r="B1278" s="26" t="s">
        <v>1925</v>
      </c>
      <c r="C1278" s="3"/>
      <c r="D1278" s="21" t="s">
        <v>1926</v>
      </c>
      <c r="E1278" s="21"/>
      <c r="F1278" s="3" t="s">
        <v>78</v>
      </c>
      <c r="G1278" s="3">
        <v>2</v>
      </c>
      <c r="H1278" s="23"/>
      <c r="I1278" s="124">
        <f t="shared" si="44"/>
        <v>0</v>
      </c>
      <c r="J1278" s="21"/>
      <c r="K1278" s="24"/>
    </row>
    <row r="1279" spans="1:11" ht="34.5" customHeight="1" x14ac:dyDescent="0.25">
      <c r="A1279" s="25" t="s">
        <v>1927</v>
      </c>
      <c r="B1279" s="26" t="s">
        <v>1928</v>
      </c>
      <c r="C1279" s="3" t="s">
        <v>1929</v>
      </c>
      <c r="D1279" s="21" t="s">
        <v>1930</v>
      </c>
      <c r="E1279" s="21" t="s">
        <v>1917</v>
      </c>
      <c r="F1279" s="3" t="s">
        <v>78</v>
      </c>
      <c r="G1279" s="3">
        <v>9</v>
      </c>
      <c r="H1279" s="23">
        <v>940</v>
      </c>
      <c r="I1279" s="124">
        <f t="shared" si="44"/>
        <v>8460</v>
      </c>
      <c r="J1279" s="21"/>
      <c r="K1279" s="24" t="s">
        <v>1931</v>
      </c>
    </row>
    <row r="1280" spans="1:11" ht="34.5" customHeight="1" x14ac:dyDescent="0.25">
      <c r="A1280" s="25"/>
      <c r="B1280" s="26" t="s">
        <v>1934</v>
      </c>
      <c r="C1280" s="3"/>
      <c r="D1280" s="21" t="s">
        <v>1935</v>
      </c>
      <c r="E1280" s="21" t="s">
        <v>1936</v>
      </c>
      <c r="F1280" s="3" t="s">
        <v>78</v>
      </c>
      <c r="G1280" s="3">
        <v>11</v>
      </c>
      <c r="H1280" s="23"/>
      <c r="I1280" s="124">
        <f t="shared" si="44"/>
        <v>0</v>
      </c>
      <c r="J1280" s="21"/>
      <c r="K1280" s="24"/>
    </row>
    <row r="1281" spans="1:11" ht="15.75" customHeight="1" x14ac:dyDescent="0.25">
      <c r="A1281" s="19" t="s">
        <v>459</v>
      </c>
      <c r="B1281" s="20" t="s">
        <v>2029</v>
      </c>
      <c r="C1281" s="21"/>
      <c r="D1281" s="21"/>
      <c r="E1281" s="21"/>
      <c r="F1281" s="22"/>
      <c r="G1281" s="21">
        <v>1</v>
      </c>
      <c r="H1281" s="23">
        <v>4629374</v>
      </c>
      <c r="I1281" s="124">
        <f t="shared" si="44"/>
        <v>4629374</v>
      </c>
      <c r="J1281" s="21"/>
      <c r="K1281" s="24" t="s">
        <v>6878</v>
      </c>
    </row>
    <row r="1282" spans="1:11" ht="34.5" customHeight="1" x14ac:dyDescent="0.25">
      <c r="A1282" s="25" t="s">
        <v>2030</v>
      </c>
      <c r="B1282" s="26" t="s">
        <v>2031</v>
      </c>
      <c r="C1282" s="3" t="s">
        <v>2032</v>
      </c>
      <c r="D1282" s="21" t="s">
        <v>2033</v>
      </c>
      <c r="E1282" s="21" t="s">
        <v>1954</v>
      </c>
      <c r="F1282" s="3" t="s">
        <v>78</v>
      </c>
      <c r="G1282" s="3">
        <v>2</v>
      </c>
      <c r="H1282" s="23"/>
      <c r="I1282" s="124">
        <f t="shared" ref="I1282:I1305" si="45">H1282*G1282</f>
        <v>0</v>
      </c>
      <c r="J1282" s="21">
        <v>208</v>
      </c>
      <c r="K1282" s="24"/>
    </row>
    <row r="1283" spans="1:11" ht="15.75" customHeight="1" x14ac:dyDescent="0.25">
      <c r="A1283" s="25" t="s">
        <v>1938</v>
      </c>
      <c r="B1283" s="26" t="s">
        <v>2034</v>
      </c>
      <c r="C1283" s="3" t="s">
        <v>1993</v>
      </c>
      <c r="D1283" s="21" t="s">
        <v>1994</v>
      </c>
      <c r="E1283" s="21" t="s">
        <v>1942</v>
      </c>
      <c r="F1283" s="3" t="s">
        <v>78</v>
      </c>
      <c r="G1283" s="3">
        <v>1</v>
      </c>
      <c r="H1283" s="23"/>
      <c r="I1283" s="124">
        <f t="shared" si="45"/>
        <v>0</v>
      </c>
      <c r="J1283" s="21">
        <v>17</v>
      </c>
      <c r="K1283" s="24"/>
    </row>
    <row r="1284" spans="1:11" ht="34.5" customHeight="1" x14ac:dyDescent="0.25">
      <c r="A1284" s="25" t="s">
        <v>2035</v>
      </c>
      <c r="B1284" s="26" t="s">
        <v>2036</v>
      </c>
      <c r="C1284" s="3" t="s">
        <v>2037</v>
      </c>
      <c r="D1284" s="21" t="s">
        <v>2038</v>
      </c>
      <c r="E1284" s="21" t="s">
        <v>1954</v>
      </c>
      <c r="F1284" s="3" t="s">
        <v>78</v>
      </c>
      <c r="G1284" s="3">
        <v>1</v>
      </c>
      <c r="H1284" s="23"/>
      <c r="I1284" s="124">
        <f t="shared" si="45"/>
        <v>0</v>
      </c>
      <c r="J1284" s="21"/>
      <c r="K1284" s="24"/>
    </row>
    <row r="1285" spans="1:11" ht="34.5" customHeight="1" x14ac:dyDescent="0.25">
      <c r="A1285" s="25" t="s">
        <v>2039</v>
      </c>
      <c r="B1285" s="26" t="s">
        <v>2040</v>
      </c>
      <c r="C1285" s="3" t="s">
        <v>2041</v>
      </c>
      <c r="D1285" s="21" t="s">
        <v>2042</v>
      </c>
      <c r="E1285" s="21" t="s">
        <v>2043</v>
      </c>
      <c r="F1285" s="3" t="s">
        <v>78</v>
      </c>
      <c r="G1285" s="3">
        <v>1</v>
      </c>
      <c r="H1285" s="23"/>
      <c r="I1285" s="124">
        <f t="shared" si="45"/>
        <v>0</v>
      </c>
      <c r="J1285" s="21"/>
      <c r="K1285" s="24"/>
    </row>
    <row r="1286" spans="1:11" ht="15.75" customHeight="1" x14ac:dyDescent="0.25">
      <c r="A1286" s="25" t="s">
        <v>2044</v>
      </c>
      <c r="B1286" s="26" t="s">
        <v>2045</v>
      </c>
      <c r="C1286" s="3" t="s">
        <v>2046</v>
      </c>
      <c r="D1286" s="21" t="s">
        <v>2047</v>
      </c>
      <c r="E1286" s="21" t="s">
        <v>1906</v>
      </c>
      <c r="F1286" s="3" t="s">
        <v>78</v>
      </c>
      <c r="G1286" s="3">
        <v>1</v>
      </c>
      <c r="H1286" s="23">
        <v>22464</v>
      </c>
      <c r="I1286" s="124">
        <f t="shared" si="45"/>
        <v>22464</v>
      </c>
      <c r="J1286" s="21"/>
      <c r="K1286" s="24"/>
    </row>
    <row r="1287" spans="1:11" ht="34.5" customHeight="1" x14ac:dyDescent="0.25">
      <c r="A1287" s="25" t="s">
        <v>2048</v>
      </c>
      <c r="B1287" s="26" t="s">
        <v>2049</v>
      </c>
      <c r="C1287" s="3" t="s">
        <v>2050</v>
      </c>
      <c r="D1287" s="21" t="s">
        <v>2051</v>
      </c>
      <c r="E1287" s="21" t="s">
        <v>1906</v>
      </c>
      <c r="F1287" s="3" t="s">
        <v>78</v>
      </c>
      <c r="G1287" s="3">
        <v>5</v>
      </c>
      <c r="H1287" s="23">
        <v>5835.86</v>
      </c>
      <c r="I1287" s="124">
        <f t="shared" si="45"/>
        <v>29179.3</v>
      </c>
      <c r="J1287" s="21"/>
      <c r="K1287" s="24"/>
    </row>
    <row r="1288" spans="1:11" ht="34.5" customHeight="1" x14ac:dyDescent="0.25">
      <c r="A1288" s="25" t="s">
        <v>2052</v>
      </c>
      <c r="B1288" s="26" t="s">
        <v>1903</v>
      </c>
      <c r="C1288" s="3" t="s">
        <v>1904</v>
      </c>
      <c r="D1288" s="21" t="s">
        <v>1905</v>
      </c>
      <c r="E1288" s="21" t="s">
        <v>1906</v>
      </c>
      <c r="F1288" s="3" t="s">
        <v>78</v>
      </c>
      <c r="G1288" s="3">
        <v>4</v>
      </c>
      <c r="H1288" s="23">
        <v>2043.57</v>
      </c>
      <c r="I1288" s="124">
        <f t="shared" si="45"/>
        <v>8174.28</v>
      </c>
      <c r="J1288" s="21"/>
      <c r="K1288" s="24"/>
    </row>
    <row r="1289" spans="1:11" ht="34.5" customHeight="1" x14ac:dyDescent="0.25">
      <c r="A1289" s="25" t="s">
        <v>2053</v>
      </c>
      <c r="B1289" s="26" t="s">
        <v>1964</v>
      </c>
      <c r="C1289" s="3"/>
      <c r="D1289" s="21" t="s">
        <v>1965</v>
      </c>
      <c r="E1289" s="21" t="s">
        <v>1936</v>
      </c>
      <c r="F1289" s="3" t="s">
        <v>78</v>
      </c>
      <c r="G1289" s="3">
        <v>6</v>
      </c>
      <c r="H1289" s="23"/>
      <c r="I1289" s="124">
        <f t="shared" si="45"/>
        <v>0</v>
      </c>
      <c r="J1289" s="21"/>
      <c r="K1289" s="24"/>
    </row>
    <row r="1290" spans="1:11" ht="34.5" customHeight="1" x14ac:dyDescent="0.25">
      <c r="A1290" s="25" t="s">
        <v>2054</v>
      </c>
      <c r="B1290" s="26" t="s">
        <v>2055</v>
      </c>
      <c r="C1290" s="3"/>
      <c r="D1290" s="21" t="s">
        <v>2056</v>
      </c>
      <c r="E1290" s="21" t="s">
        <v>1936</v>
      </c>
      <c r="F1290" s="3" t="s">
        <v>78</v>
      </c>
      <c r="G1290" s="3">
        <v>1</v>
      </c>
      <c r="H1290" s="23"/>
      <c r="I1290" s="124">
        <f t="shared" si="45"/>
        <v>0</v>
      </c>
      <c r="J1290" s="21"/>
      <c r="K1290" s="24"/>
    </row>
    <row r="1291" spans="1:11" ht="34.5" customHeight="1" x14ac:dyDescent="0.25">
      <c r="A1291" s="25" t="s">
        <v>2057</v>
      </c>
      <c r="B1291" s="26" t="s">
        <v>2058</v>
      </c>
      <c r="C1291" s="3" t="s">
        <v>2059</v>
      </c>
      <c r="D1291" s="21" t="s">
        <v>2060</v>
      </c>
      <c r="E1291" s="21" t="s">
        <v>2061</v>
      </c>
      <c r="F1291" s="3" t="s">
        <v>78</v>
      </c>
      <c r="G1291" s="3">
        <v>1</v>
      </c>
      <c r="H1291" s="23"/>
      <c r="I1291" s="124">
        <f t="shared" si="45"/>
        <v>0</v>
      </c>
      <c r="J1291" s="21"/>
      <c r="K1291" s="24"/>
    </row>
    <row r="1292" spans="1:11" ht="34.5" customHeight="1" x14ac:dyDescent="0.25">
      <c r="A1292" s="25" t="s">
        <v>2062</v>
      </c>
      <c r="B1292" s="26" t="s">
        <v>2063</v>
      </c>
      <c r="C1292" s="3" t="s">
        <v>2064</v>
      </c>
      <c r="D1292" s="21" t="s">
        <v>2065</v>
      </c>
      <c r="E1292" s="21" t="s">
        <v>1906</v>
      </c>
      <c r="F1292" s="3" t="s">
        <v>78</v>
      </c>
      <c r="G1292" s="3">
        <v>1</v>
      </c>
      <c r="H1292" s="23">
        <v>4990.93</v>
      </c>
      <c r="I1292" s="124">
        <f t="shared" si="45"/>
        <v>4990.93</v>
      </c>
      <c r="J1292" s="21"/>
      <c r="K1292" s="24"/>
    </row>
    <row r="1293" spans="1:11" ht="34.5" customHeight="1" x14ac:dyDescent="0.25">
      <c r="A1293" s="25" t="s">
        <v>2066</v>
      </c>
      <c r="B1293" s="26" t="s">
        <v>2067</v>
      </c>
      <c r="C1293" s="3" t="s">
        <v>2068</v>
      </c>
      <c r="D1293" s="21" t="s">
        <v>2069</v>
      </c>
      <c r="E1293" s="21" t="s">
        <v>1906</v>
      </c>
      <c r="F1293" s="3" t="s">
        <v>78</v>
      </c>
      <c r="G1293" s="3">
        <v>6</v>
      </c>
      <c r="H1293" s="23">
        <v>4677.8100000000004</v>
      </c>
      <c r="I1293" s="124">
        <f t="shared" si="45"/>
        <v>28066.86</v>
      </c>
      <c r="J1293" s="21"/>
      <c r="K1293" s="24"/>
    </row>
    <row r="1294" spans="1:11" ht="15.75" customHeight="1" x14ac:dyDescent="0.25">
      <c r="A1294" s="25" t="s">
        <v>2070</v>
      </c>
      <c r="B1294" s="26" t="s">
        <v>2071</v>
      </c>
      <c r="C1294" s="3" t="s">
        <v>2072</v>
      </c>
      <c r="D1294" s="21" t="s">
        <v>2073</v>
      </c>
      <c r="E1294" s="21" t="s">
        <v>2074</v>
      </c>
      <c r="F1294" s="3" t="s">
        <v>78</v>
      </c>
      <c r="G1294" s="3">
        <v>1</v>
      </c>
      <c r="H1294" s="23"/>
      <c r="I1294" s="124">
        <f t="shared" si="45"/>
        <v>0</v>
      </c>
      <c r="J1294" s="21"/>
      <c r="K1294" s="24"/>
    </row>
    <row r="1295" spans="1:11" ht="34.5" customHeight="1" x14ac:dyDescent="0.25">
      <c r="A1295" s="25" t="s">
        <v>2075</v>
      </c>
      <c r="B1295" s="26" t="s">
        <v>2076</v>
      </c>
      <c r="C1295" s="3" t="s">
        <v>2077</v>
      </c>
      <c r="D1295" s="21" t="s">
        <v>2078</v>
      </c>
      <c r="E1295" s="21" t="s">
        <v>1906</v>
      </c>
      <c r="F1295" s="3" t="s">
        <v>78</v>
      </c>
      <c r="G1295" s="3">
        <v>1</v>
      </c>
      <c r="H1295" s="23">
        <v>10220.82</v>
      </c>
      <c r="I1295" s="124">
        <f t="shared" si="45"/>
        <v>10220.82</v>
      </c>
      <c r="J1295" s="21"/>
      <c r="K1295" s="24"/>
    </row>
    <row r="1296" spans="1:11" ht="34.5" customHeight="1" x14ac:dyDescent="0.25">
      <c r="A1296" s="25" t="s">
        <v>2079</v>
      </c>
      <c r="B1296" s="26" t="s">
        <v>1979</v>
      </c>
      <c r="C1296" s="3" t="s">
        <v>1980</v>
      </c>
      <c r="D1296" s="21" t="s">
        <v>1981</v>
      </c>
      <c r="E1296" s="21" t="s">
        <v>1982</v>
      </c>
      <c r="F1296" s="3" t="s">
        <v>78</v>
      </c>
      <c r="G1296" s="3">
        <v>1</v>
      </c>
      <c r="H1296" s="23"/>
      <c r="I1296" s="124">
        <f t="shared" si="45"/>
        <v>0</v>
      </c>
      <c r="J1296" s="21"/>
      <c r="K1296" s="24"/>
    </row>
    <row r="1297" spans="1:11" ht="15.75" customHeight="1" x14ac:dyDescent="0.25">
      <c r="A1297" s="25" t="s">
        <v>1907</v>
      </c>
      <c r="B1297" s="26" t="s">
        <v>2023</v>
      </c>
      <c r="C1297" s="3" t="s">
        <v>2024</v>
      </c>
      <c r="D1297" s="21" t="s">
        <v>2025</v>
      </c>
      <c r="E1297" s="21" t="s">
        <v>1986</v>
      </c>
      <c r="F1297" s="3" t="s">
        <v>78</v>
      </c>
      <c r="G1297" s="3">
        <v>2</v>
      </c>
      <c r="H1297" s="23"/>
      <c r="I1297" s="124">
        <f t="shared" si="45"/>
        <v>0</v>
      </c>
      <c r="J1297" s="21"/>
      <c r="K1297" s="24"/>
    </row>
    <row r="1298" spans="1:11" ht="15.75" customHeight="1" x14ac:dyDescent="0.25">
      <c r="A1298" s="25" t="s">
        <v>1913</v>
      </c>
      <c r="B1298" s="26" t="s">
        <v>2026</v>
      </c>
      <c r="C1298" s="3" t="s">
        <v>1915</v>
      </c>
      <c r="D1298" s="21" t="s">
        <v>2027</v>
      </c>
      <c r="E1298" s="21" t="s">
        <v>2028</v>
      </c>
      <c r="F1298" s="3" t="s">
        <v>78</v>
      </c>
      <c r="G1298" s="3">
        <v>6</v>
      </c>
      <c r="H1298" s="23">
        <v>1100</v>
      </c>
      <c r="I1298" s="124">
        <f t="shared" si="45"/>
        <v>6600</v>
      </c>
      <c r="J1298" s="21"/>
      <c r="K1298" s="24"/>
    </row>
    <row r="1299" spans="1:11" ht="15.75" customHeight="1" x14ac:dyDescent="0.25">
      <c r="A1299" s="25" t="s">
        <v>1918</v>
      </c>
      <c r="B1299" s="26" t="s">
        <v>2080</v>
      </c>
      <c r="C1299" s="3" t="s">
        <v>1915</v>
      </c>
      <c r="D1299" s="21" t="s">
        <v>2081</v>
      </c>
      <c r="E1299" s="21" t="s">
        <v>2028</v>
      </c>
      <c r="F1299" s="3" t="s">
        <v>78</v>
      </c>
      <c r="G1299" s="3">
        <v>2</v>
      </c>
      <c r="H1299" s="23">
        <v>1100</v>
      </c>
      <c r="I1299" s="124">
        <f t="shared" si="45"/>
        <v>2200</v>
      </c>
      <c r="J1299" s="21"/>
      <c r="K1299" s="24"/>
    </row>
    <row r="1300" spans="1:11" ht="15.75" customHeight="1" x14ac:dyDescent="0.25">
      <c r="A1300" s="25" t="s">
        <v>1921</v>
      </c>
      <c r="B1300" s="26" t="s">
        <v>1987</v>
      </c>
      <c r="C1300" s="3" t="s">
        <v>1923</v>
      </c>
      <c r="D1300" s="21" t="s">
        <v>1988</v>
      </c>
      <c r="E1300" s="21" t="s">
        <v>1901</v>
      </c>
      <c r="F1300" s="3" t="s">
        <v>78</v>
      </c>
      <c r="G1300" s="3">
        <v>2</v>
      </c>
      <c r="H1300" s="23"/>
      <c r="I1300" s="124">
        <f t="shared" si="45"/>
        <v>0</v>
      </c>
      <c r="J1300" s="21"/>
      <c r="K1300" s="24"/>
    </row>
    <row r="1301" spans="1:11" ht="34.5" customHeight="1" x14ac:dyDescent="0.25">
      <c r="A1301" s="25"/>
      <c r="B1301" s="26" t="s">
        <v>1925</v>
      </c>
      <c r="C1301" s="3"/>
      <c r="D1301" s="21" t="s">
        <v>1926</v>
      </c>
      <c r="E1301" s="21"/>
      <c r="F1301" s="3" t="s">
        <v>78</v>
      </c>
      <c r="G1301" s="3">
        <v>2</v>
      </c>
      <c r="H1301" s="23"/>
      <c r="I1301" s="124">
        <f t="shared" si="45"/>
        <v>0</v>
      </c>
      <c r="J1301" s="21"/>
      <c r="K1301" s="24"/>
    </row>
    <row r="1302" spans="1:11" ht="15.75" customHeight="1" x14ac:dyDescent="0.25">
      <c r="A1302" s="25" t="s">
        <v>1927</v>
      </c>
      <c r="B1302" s="26" t="s">
        <v>1928</v>
      </c>
      <c r="C1302" s="3" t="s">
        <v>1929</v>
      </c>
      <c r="D1302" s="21" t="s">
        <v>1930</v>
      </c>
      <c r="E1302" s="21" t="s">
        <v>1917</v>
      </c>
      <c r="F1302" s="3" t="s">
        <v>78</v>
      </c>
      <c r="G1302" s="3">
        <v>14</v>
      </c>
      <c r="H1302" s="23">
        <v>940</v>
      </c>
      <c r="I1302" s="124">
        <f t="shared" si="45"/>
        <v>13160</v>
      </c>
      <c r="J1302" s="21"/>
      <c r="K1302" s="24" t="s">
        <v>1931</v>
      </c>
    </row>
    <row r="1303" spans="1:11" ht="15.75" customHeight="1" x14ac:dyDescent="0.25">
      <c r="A1303" s="25"/>
      <c r="B1303" s="26" t="s">
        <v>1932</v>
      </c>
      <c r="C1303" s="3"/>
      <c r="D1303" s="21" t="s">
        <v>1933</v>
      </c>
      <c r="E1303" s="21"/>
      <c r="F1303" s="3" t="s">
        <v>78</v>
      </c>
      <c r="G1303" s="3">
        <v>2</v>
      </c>
      <c r="H1303" s="23"/>
      <c r="I1303" s="124">
        <f t="shared" si="45"/>
        <v>0</v>
      </c>
      <c r="J1303" s="21"/>
      <c r="K1303" s="24"/>
    </row>
    <row r="1304" spans="1:11" ht="34.5" customHeight="1" x14ac:dyDescent="0.25">
      <c r="A1304" s="25"/>
      <c r="B1304" s="26" t="s">
        <v>1934</v>
      </c>
      <c r="C1304" s="3"/>
      <c r="D1304" s="21" t="s">
        <v>1935</v>
      </c>
      <c r="E1304" s="21" t="s">
        <v>1936</v>
      </c>
      <c r="F1304" s="3" t="s">
        <v>78</v>
      </c>
      <c r="G1304" s="3">
        <v>16</v>
      </c>
      <c r="H1304" s="23"/>
      <c r="I1304" s="124">
        <f t="shared" si="45"/>
        <v>0</v>
      </c>
      <c r="J1304" s="21"/>
      <c r="K1304" s="24"/>
    </row>
    <row r="1305" spans="1:11" ht="15.75" customHeight="1" x14ac:dyDescent="0.25">
      <c r="A1305" s="19" t="s">
        <v>485</v>
      </c>
      <c r="B1305" s="20" t="s">
        <v>2082</v>
      </c>
      <c r="C1305" s="21"/>
      <c r="D1305" s="21"/>
      <c r="E1305" s="21"/>
      <c r="F1305" s="22"/>
      <c r="G1305" s="21">
        <v>1</v>
      </c>
      <c r="H1305" s="23">
        <v>3798033.08</v>
      </c>
      <c r="I1305" s="124">
        <f t="shared" si="45"/>
        <v>3798033.08</v>
      </c>
      <c r="J1305" s="21"/>
      <c r="K1305" s="24" t="s">
        <v>6879</v>
      </c>
    </row>
    <row r="1306" spans="1:11" ht="15.75" customHeight="1" x14ac:dyDescent="0.25">
      <c r="A1306" s="25" t="s">
        <v>1938</v>
      </c>
      <c r="B1306" s="26" t="s">
        <v>2083</v>
      </c>
      <c r="C1306" s="3" t="s">
        <v>2084</v>
      </c>
      <c r="D1306" s="21" t="s">
        <v>2085</v>
      </c>
      <c r="E1306" s="21" t="s">
        <v>1942</v>
      </c>
      <c r="F1306" s="3" t="s">
        <v>78</v>
      </c>
      <c r="G1306" s="3">
        <v>2</v>
      </c>
      <c r="H1306" s="23"/>
      <c r="I1306" s="124">
        <f t="shared" ref="I1306:I1323" si="46">H1306*G1306</f>
        <v>0</v>
      </c>
      <c r="J1306" s="21">
        <v>86</v>
      </c>
      <c r="K1306" s="24"/>
    </row>
    <row r="1307" spans="1:11" ht="15.75" customHeight="1" x14ac:dyDescent="0.25">
      <c r="A1307" s="25" t="s">
        <v>2086</v>
      </c>
      <c r="B1307" s="26" t="s">
        <v>2087</v>
      </c>
      <c r="C1307" s="3" t="s">
        <v>2088</v>
      </c>
      <c r="D1307" s="21" t="s">
        <v>2089</v>
      </c>
      <c r="E1307" s="21" t="s">
        <v>1906</v>
      </c>
      <c r="F1307" s="3" t="s">
        <v>78</v>
      </c>
      <c r="G1307" s="3">
        <v>4</v>
      </c>
      <c r="H1307" s="23">
        <v>11827.61</v>
      </c>
      <c r="I1307" s="124">
        <f t="shared" si="46"/>
        <v>47310.44</v>
      </c>
      <c r="J1307" s="21"/>
      <c r="K1307" s="24"/>
    </row>
    <row r="1308" spans="1:11" ht="15.75" customHeight="1" x14ac:dyDescent="0.25">
      <c r="A1308" s="25"/>
      <c r="B1308" s="26" t="s">
        <v>2090</v>
      </c>
      <c r="C1308" s="3" t="s">
        <v>2091</v>
      </c>
      <c r="D1308" s="21" t="s">
        <v>2092</v>
      </c>
      <c r="E1308" s="21" t="s">
        <v>1906</v>
      </c>
      <c r="F1308" s="3" t="s">
        <v>78</v>
      </c>
      <c r="G1308" s="3">
        <v>4</v>
      </c>
      <c r="H1308" s="23">
        <v>12468.81</v>
      </c>
      <c r="I1308" s="124">
        <f t="shared" si="46"/>
        <v>49875.24</v>
      </c>
      <c r="J1308" s="21"/>
      <c r="K1308" s="24"/>
    </row>
    <row r="1309" spans="1:11" ht="34.5" customHeight="1" x14ac:dyDescent="0.25">
      <c r="A1309" s="25" t="s">
        <v>2093</v>
      </c>
      <c r="B1309" s="26" t="s">
        <v>2094</v>
      </c>
      <c r="C1309" s="3" t="s">
        <v>2095</v>
      </c>
      <c r="D1309" s="21" t="s">
        <v>2096</v>
      </c>
      <c r="E1309" s="21" t="s">
        <v>1954</v>
      </c>
      <c r="F1309" s="3" t="s">
        <v>78</v>
      </c>
      <c r="G1309" s="3">
        <v>1</v>
      </c>
      <c r="H1309" s="23"/>
      <c r="I1309" s="124">
        <f t="shared" si="46"/>
        <v>0</v>
      </c>
      <c r="J1309" s="21"/>
      <c r="K1309" s="24"/>
    </row>
    <row r="1310" spans="1:11" ht="15.75" customHeight="1" x14ac:dyDescent="0.25">
      <c r="A1310" s="25" t="s">
        <v>2097</v>
      </c>
      <c r="B1310" s="26" t="s">
        <v>2098</v>
      </c>
      <c r="C1310" s="3" t="s">
        <v>2099</v>
      </c>
      <c r="D1310" s="21" t="s">
        <v>2100</v>
      </c>
      <c r="E1310" s="21" t="s">
        <v>1906</v>
      </c>
      <c r="F1310" s="3" t="s">
        <v>78</v>
      </c>
      <c r="G1310" s="3">
        <v>1</v>
      </c>
      <c r="H1310" s="23">
        <v>5835.86</v>
      </c>
      <c r="I1310" s="124">
        <f t="shared" si="46"/>
        <v>5835.86</v>
      </c>
      <c r="J1310" s="21"/>
      <c r="K1310" s="24"/>
    </row>
    <row r="1311" spans="1:11" ht="34.5" customHeight="1" x14ac:dyDescent="0.25">
      <c r="A1311" s="25" t="s">
        <v>2101</v>
      </c>
      <c r="B1311" s="26" t="s">
        <v>2102</v>
      </c>
      <c r="C1311" s="3" t="s">
        <v>2103</v>
      </c>
      <c r="D1311" s="21" t="s">
        <v>2104</v>
      </c>
      <c r="E1311" s="21" t="s">
        <v>1906</v>
      </c>
      <c r="F1311" s="3" t="s">
        <v>78</v>
      </c>
      <c r="G1311" s="3">
        <v>1</v>
      </c>
      <c r="H1311" s="23">
        <v>7412.65</v>
      </c>
      <c r="I1311" s="124">
        <f t="shared" si="46"/>
        <v>7412.65</v>
      </c>
      <c r="J1311" s="21"/>
      <c r="K1311" s="24"/>
    </row>
    <row r="1312" spans="1:11" ht="34.5" customHeight="1" x14ac:dyDescent="0.25">
      <c r="A1312" s="25" t="s">
        <v>2105</v>
      </c>
      <c r="B1312" s="26" t="s">
        <v>1964</v>
      </c>
      <c r="C1312" s="3"/>
      <c r="D1312" s="21" t="s">
        <v>1965</v>
      </c>
      <c r="E1312" s="21" t="s">
        <v>1936</v>
      </c>
      <c r="F1312" s="3" t="s">
        <v>78</v>
      </c>
      <c r="G1312" s="3">
        <v>3</v>
      </c>
      <c r="H1312" s="23"/>
      <c r="I1312" s="124">
        <f t="shared" si="46"/>
        <v>0</v>
      </c>
      <c r="J1312" s="21"/>
      <c r="K1312" s="24"/>
    </row>
    <row r="1313" spans="1:11" ht="15.75" customHeight="1" x14ac:dyDescent="0.25">
      <c r="A1313" s="25" t="s">
        <v>2106</v>
      </c>
      <c r="B1313" s="26" t="s">
        <v>1967</v>
      </c>
      <c r="C1313" s="3" t="s">
        <v>1968</v>
      </c>
      <c r="D1313" s="21" t="s">
        <v>2107</v>
      </c>
      <c r="E1313" s="21" t="s">
        <v>1906</v>
      </c>
      <c r="F1313" s="3" t="s">
        <v>78</v>
      </c>
      <c r="G1313" s="3">
        <v>3</v>
      </c>
      <c r="H1313" s="23">
        <v>8941.98</v>
      </c>
      <c r="I1313" s="124">
        <f t="shared" si="46"/>
        <v>26825.94</v>
      </c>
      <c r="J1313" s="21"/>
      <c r="K1313" s="24"/>
    </row>
    <row r="1314" spans="1:11" ht="15.75" customHeight="1" x14ac:dyDescent="0.25">
      <c r="A1314" s="25" t="s">
        <v>2108</v>
      </c>
      <c r="B1314" s="26" t="s">
        <v>1971</v>
      </c>
      <c r="C1314" s="3" t="s">
        <v>1972</v>
      </c>
      <c r="D1314" s="21" t="s">
        <v>2109</v>
      </c>
      <c r="E1314" s="21" t="s">
        <v>1906</v>
      </c>
      <c r="F1314" s="3" t="s">
        <v>78</v>
      </c>
      <c r="G1314" s="3">
        <v>6</v>
      </c>
      <c r="H1314" s="23">
        <v>7412.65</v>
      </c>
      <c r="I1314" s="124">
        <f t="shared" si="46"/>
        <v>44475.899999999994</v>
      </c>
      <c r="J1314" s="21"/>
      <c r="K1314" s="24"/>
    </row>
    <row r="1315" spans="1:11" ht="34.5" customHeight="1" x14ac:dyDescent="0.25">
      <c r="A1315" s="25" t="s">
        <v>2110</v>
      </c>
      <c r="B1315" s="26" t="s">
        <v>2111</v>
      </c>
      <c r="C1315" s="3" t="s">
        <v>2112</v>
      </c>
      <c r="D1315" s="21" t="s">
        <v>2113</v>
      </c>
      <c r="E1315" s="21" t="s">
        <v>1906</v>
      </c>
      <c r="F1315" s="3" t="s">
        <v>78</v>
      </c>
      <c r="G1315" s="3">
        <v>1</v>
      </c>
      <c r="H1315" s="23">
        <v>20156</v>
      </c>
      <c r="I1315" s="124">
        <f t="shared" si="46"/>
        <v>20156</v>
      </c>
      <c r="J1315" s="21"/>
      <c r="K1315" s="24"/>
    </row>
    <row r="1316" spans="1:11" ht="34.5" customHeight="1" x14ac:dyDescent="0.25">
      <c r="A1316" s="25" t="s">
        <v>2114</v>
      </c>
      <c r="B1316" s="26" t="s">
        <v>2115</v>
      </c>
      <c r="C1316" s="3" t="s">
        <v>1980</v>
      </c>
      <c r="D1316" s="21" t="s">
        <v>2116</v>
      </c>
      <c r="E1316" s="21" t="s">
        <v>1982</v>
      </c>
      <c r="F1316" s="3" t="s">
        <v>78</v>
      </c>
      <c r="G1316" s="3">
        <v>1</v>
      </c>
      <c r="H1316" s="23"/>
      <c r="I1316" s="124">
        <f t="shared" si="46"/>
        <v>0</v>
      </c>
      <c r="J1316" s="21"/>
      <c r="K1316" s="24"/>
    </row>
    <row r="1317" spans="1:11" ht="15.75" customHeight="1" x14ac:dyDescent="0.25">
      <c r="A1317" s="25" t="s">
        <v>1907</v>
      </c>
      <c r="B1317" s="26" t="s">
        <v>1983</v>
      </c>
      <c r="C1317" s="3" t="s">
        <v>1984</v>
      </c>
      <c r="D1317" s="21" t="s">
        <v>1985</v>
      </c>
      <c r="E1317" s="21" t="s">
        <v>1986</v>
      </c>
      <c r="F1317" s="3" t="s">
        <v>78</v>
      </c>
      <c r="G1317" s="3">
        <v>2</v>
      </c>
      <c r="H1317" s="23"/>
      <c r="I1317" s="124">
        <f t="shared" si="46"/>
        <v>0</v>
      </c>
      <c r="J1317" s="21"/>
      <c r="K1317" s="24"/>
    </row>
    <row r="1318" spans="1:11" ht="15.75" customHeight="1" x14ac:dyDescent="0.25">
      <c r="A1318" s="25" t="s">
        <v>1913</v>
      </c>
      <c r="B1318" s="26" t="s">
        <v>1919</v>
      </c>
      <c r="C1318" s="3" t="s">
        <v>1915</v>
      </c>
      <c r="D1318" s="21" t="s">
        <v>1920</v>
      </c>
      <c r="E1318" s="21" t="s">
        <v>1917</v>
      </c>
      <c r="F1318" s="3" t="s">
        <v>78</v>
      </c>
      <c r="G1318" s="3">
        <v>2</v>
      </c>
      <c r="H1318" s="23">
        <v>1100</v>
      </c>
      <c r="I1318" s="124">
        <f t="shared" si="46"/>
        <v>2200</v>
      </c>
      <c r="J1318" s="21"/>
      <c r="K1318" s="24"/>
    </row>
    <row r="1319" spans="1:11" ht="15.75" customHeight="1" x14ac:dyDescent="0.25">
      <c r="A1319" s="25" t="s">
        <v>1921</v>
      </c>
      <c r="B1319" s="26" t="s">
        <v>1987</v>
      </c>
      <c r="C1319" s="3" t="s">
        <v>1923</v>
      </c>
      <c r="D1319" s="21" t="s">
        <v>1988</v>
      </c>
      <c r="E1319" s="21" t="s">
        <v>1901</v>
      </c>
      <c r="F1319" s="3" t="s">
        <v>78</v>
      </c>
      <c r="G1319" s="3">
        <v>2</v>
      </c>
      <c r="H1319" s="23"/>
      <c r="I1319" s="124">
        <f t="shared" si="46"/>
        <v>0</v>
      </c>
      <c r="J1319" s="21"/>
      <c r="K1319" s="24"/>
    </row>
    <row r="1320" spans="1:11" ht="15.75" customHeight="1" x14ac:dyDescent="0.25">
      <c r="A1320" s="25" t="s">
        <v>1927</v>
      </c>
      <c r="B1320" s="26" t="s">
        <v>1928</v>
      </c>
      <c r="C1320" s="3" t="s">
        <v>1929</v>
      </c>
      <c r="D1320" s="21" t="s">
        <v>1930</v>
      </c>
      <c r="E1320" s="21" t="s">
        <v>1917</v>
      </c>
      <c r="F1320" s="3" t="s">
        <v>78</v>
      </c>
      <c r="G1320" s="3">
        <v>9</v>
      </c>
      <c r="H1320" s="23">
        <v>940</v>
      </c>
      <c r="I1320" s="124">
        <f t="shared" si="46"/>
        <v>8460</v>
      </c>
      <c r="J1320" s="21"/>
      <c r="K1320" s="24" t="s">
        <v>1931</v>
      </c>
    </row>
    <row r="1321" spans="1:11" ht="15.75" customHeight="1" x14ac:dyDescent="0.25">
      <c r="A1321" s="25"/>
      <c r="B1321" s="26" t="s">
        <v>1932</v>
      </c>
      <c r="C1321" s="3"/>
      <c r="D1321" s="21" t="s">
        <v>1933</v>
      </c>
      <c r="E1321" s="21"/>
      <c r="F1321" s="3" t="s">
        <v>78</v>
      </c>
      <c r="G1321" s="3">
        <v>1</v>
      </c>
      <c r="H1321" s="23"/>
      <c r="I1321" s="124">
        <f t="shared" si="46"/>
        <v>0</v>
      </c>
      <c r="J1321" s="21"/>
      <c r="K1321" s="24"/>
    </row>
    <row r="1322" spans="1:11" ht="34.5" customHeight="1" x14ac:dyDescent="0.25">
      <c r="A1322" s="25"/>
      <c r="B1322" s="26" t="s">
        <v>1934</v>
      </c>
      <c r="C1322" s="3"/>
      <c r="D1322" s="21" t="s">
        <v>1935</v>
      </c>
      <c r="E1322" s="21" t="s">
        <v>1936</v>
      </c>
      <c r="F1322" s="3" t="s">
        <v>78</v>
      </c>
      <c r="G1322" s="3">
        <v>11</v>
      </c>
      <c r="H1322" s="23"/>
      <c r="I1322" s="124">
        <f t="shared" si="46"/>
        <v>0</v>
      </c>
      <c r="J1322" s="21"/>
      <c r="K1322" s="24"/>
    </row>
    <row r="1323" spans="1:11" ht="15.75" customHeight="1" x14ac:dyDescent="0.25">
      <c r="A1323" s="19" t="s">
        <v>1838</v>
      </c>
      <c r="B1323" s="20" t="s">
        <v>2117</v>
      </c>
      <c r="C1323" s="21"/>
      <c r="D1323" s="21"/>
      <c r="E1323" s="21"/>
      <c r="F1323" s="22"/>
      <c r="G1323" s="21">
        <v>1</v>
      </c>
      <c r="H1323" s="23">
        <v>867625.92</v>
      </c>
      <c r="I1323" s="124">
        <f t="shared" si="46"/>
        <v>867625.92</v>
      </c>
      <c r="J1323" s="21"/>
      <c r="K1323" s="24" t="s">
        <v>6879</v>
      </c>
    </row>
    <row r="1324" spans="1:11" ht="34.5" customHeight="1" x14ac:dyDescent="0.25">
      <c r="A1324" s="25" t="s">
        <v>349</v>
      </c>
      <c r="B1324" s="26" t="s">
        <v>2118</v>
      </c>
      <c r="C1324" s="3" t="s">
        <v>2119</v>
      </c>
      <c r="D1324" s="21" t="s">
        <v>2120</v>
      </c>
      <c r="E1324" s="21" t="s">
        <v>2043</v>
      </c>
      <c r="F1324" s="3" t="s">
        <v>78</v>
      </c>
      <c r="G1324" s="3">
        <v>2</v>
      </c>
      <c r="H1324" s="23"/>
      <c r="I1324" s="124">
        <f t="shared" ref="I1324:I1330" si="47">H1324*G1324</f>
        <v>0</v>
      </c>
      <c r="J1324" s="21"/>
      <c r="K1324" s="24"/>
    </row>
    <row r="1325" spans="1:11" ht="34.5" customHeight="1" x14ac:dyDescent="0.25">
      <c r="A1325" s="25" t="s">
        <v>375</v>
      </c>
      <c r="B1325" s="26" t="s">
        <v>1960</v>
      </c>
      <c r="C1325" s="3" t="s">
        <v>1961</v>
      </c>
      <c r="D1325" s="21" t="s">
        <v>1962</v>
      </c>
      <c r="E1325" s="21" t="s">
        <v>1906</v>
      </c>
      <c r="F1325" s="3" t="s">
        <v>78</v>
      </c>
      <c r="G1325" s="3">
        <v>2</v>
      </c>
      <c r="H1325" s="23">
        <v>4127.8</v>
      </c>
      <c r="I1325" s="124">
        <f t="shared" si="47"/>
        <v>8255.6</v>
      </c>
      <c r="J1325" s="21"/>
      <c r="K1325" s="24"/>
    </row>
    <row r="1326" spans="1:11" ht="34.5" customHeight="1" x14ac:dyDescent="0.25">
      <c r="A1326" s="25" t="s">
        <v>432</v>
      </c>
      <c r="B1326" s="26" t="s">
        <v>1964</v>
      </c>
      <c r="C1326" s="3"/>
      <c r="D1326" s="21" t="s">
        <v>1965</v>
      </c>
      <c r="E1326" s="21" t="s">
        <v>1936</v>
      </c>
      <c r="F1326" s="3" t="s">
        <v>78</v>
      </c>
      <c r="G1326" s="3">
        <v>6</v>
      </c>
      <c r="H1326" s="23"/>
      <c r="I1326" s="124">
        <f t="shared" si="47"/>
        <v>0</v>
      </c>
      <c r="J1326" s="21"/>
      <c r="K1326" s="24"/>
    </row>
    <row r="1327" spans="1:11" ht="15.75" customHeight="1" x14ac:dyDescent="0.25">
      <c r="A1327" s="25" t="s">
        <v>1913</v>
      </c>
      <c r="B1327" s="26" t="s">
        <v>2026</v>
      </c>
      <c r="C1327" s="3" t="s">
        <v>1915</v>
      </c>
      <c r="D1327" s="21" t="s">
        <v>2027</v>
      </c>
      <c r="E1327" s="21" t="s">
        <v>2028</v>
      </c>
      <c r="F1327" s="3" t="s">
        <v>78</v>
      </c>
      <c r="G1327" s="3">
        <v>2</v>
      </c>
      <c r="H1327" s="23">
        <v>1100</v>
      </c>
      <c r="I1327" s="124">
        <f t="shared" si="47"/>
        <v>2200</v>
      </c>
      <c r="J1327" s="21"/>
      <c r="K1327" s="24"/>
    </row>
    <row r="1328" spans="1:11" ht="34.5" customHeight="1" x14ac:dyDescent="0.25">
      <c r="A1328" s="25" t="s">
        <v>1927</v>
      </c>
      <c r="B1328" s="26" t="s">
        <v>1928</v>
      </c>
      <c r="C1328" s="3" t="s">
        <v>1929</v>
      </c>
      <c r="D1328" s="21" t="s">
        <v>1930</v>
      </c>
      <c r="E1328" s="21" t="s">
        <v>1917</v>
      </c>
      <c r="F1328" s="3" t="s">
        <v>78</v>
      </c>
      <c r="G1328" s="3">
        <v>4</v>
      </c>
      <c r="H1328" s="23">
        <v>940</v>
      </c>
      <c r="I1328" s="124">
        <f t="shared" si="47"/>
        <v>3760</v>
      </c>
      <c r="J1328" s="21"/>
      <c r="K1328" s="24" t="s">
        <v>1931</v>
      </c>
    </row>
    <row r="1329" spans="1:11" ht="34.5" customHeight="1" x14ac:dyDescent="0.25">
      <c r="A1329" s="25"/>
      <c r="B1329" s="26" t="s">
        <v>1934</v>
      </c>
      <c r="C1329" s="3"/>
      <c r="D1329" s="21" t="s">
        <v>1935</v>
      </c>
      <c r="E1329" s="21" t="s">
        <v>1936</v>
      </c>
      <c r="F1329" s="3" t="s">
        <v>78</v>
      </c>
      <c r="G1329" s="3">
        <v>4</v>
      </c>
      <c r="H1329" s="23"/>
      <c r="I1329" s="124">
        <f t="shared" si="47"/>
        <v>0</v>
      </c>
      <c r="J1329" s="21"/>
      <c r="K1329" s="24"/>
    </row>
    <row r="1330" spans="1:11" ht="15.75" customHeight="1" x14ac:dyDescent="0.25">
      <c r="A1330" s="19" t="s">
        <v>1861</v>
      </c>
      <c r="B1330" s="20" t="s">
        <v>2121</v>
      </c>
      <c r="C1330" s="21"/>
      <c r="D1330" s="21"/>
      <c r="E1330" s="21"/>
      <c r="F1330" s="22"/>
      <c r="G1330" s="21">
        <v>1</v>
      </c>
      <c r="H1330" s="23">
        <v>1161294.81</v>
      </c>
      <c r="I1330" s="124">
        <f t="shared" si="47"/>
        <v>1161294.81</v>
      </c>
      <c r="J1330" s="21"/>
      <c r="K1330" s="24" t="s">
        <v>6879</v>
      </c>
    </row>
    <row r="1331" spans="1:11" ht="34.5" customHeight="1" x14ac:dyDescent="0.25">
      <c r="A1331" s="25" t="s">
        <v>349</v>
      </c>
      <c r="B1331" s="26" t="s">
        <v>2122</v>
      </c>
      <c r="C1331" s="3" t="s">
        <v>2123</v>
      </c>
      <c r="D1331" s="21" t="s">
        <v>2124</v>
      </c>
      <c r="E1331" s="21" t="s">
        <v>2043</v>
      </c>
      <c r="F1331" s="3" t="s">
        <v>78</v>
      </c>
      <c r="G1331" s="3">
        <v>1</v>
      </c>
      <c r="H1331" s="23"/>
      <c r="I1331" s="124">
        <f t="shared" ref="I1331:I1339" si="48">H1331*G1331</f>
        <v>0</v>
      </c>
      <c r="J1331" s="21"/>
      <c r="K1331" s="24"/>
    </row>
    <row r="1332" spans="1:11" ht="34.5" customHeight="1" x14ac:dyDescent="0.25">
      <c r="A1332" s="25" t="s">
        <v>375</v>
      </c>
      <c r="B1332" s="26" t="s">
        <v>2125</v>
      </c>
      <c r="C1332" s="3" t="s">
        <v>2126</v>
      </c>
      <c r="D1332" s="21" t="s">
        <v>2127</v>
      </c>
      <c r="E1332" s="21" t="s">
        <v>2043</v>
      </c>
      <c r="F1332" s="3" t="s">
        <v>78</v>
      </c>
      <c r="G1332" s="3">
        <v>1</v>
      </c>
      <c r="H1332" s="23"/>
      <c r="I1332" s="124">
        <f t="shared" si="48"/>
        <v>0</v>
      </c>
      <c r="J1332" s="21"/>
      <c r="K1332" s="24"/>
    </row>
    <row r="1333" spans="1:11" ht="34.5" customHeight="1" x14ac:dyDescent="0.25">
      <c r="A1333" s="25" t="s">
        <v>432</v>
      </c>
      <c r="B1333" s="26" t="s">
        <v>2128</v>
      </c>
      <c r="C1333" s="3" t="s">
        <v>2129</v>
      </c>
      <c r="D1333" s="21" t="s">
        <v>2130</v>
      </c>
      <c r="E1333" s="21" t="s">
        <v>1906</v>
      </c>
      <c r="F1333" s="3" t="s">
        <v>78</v>
      </c>
      <c r="G1333" s="3">
        <v>1</v>
      </c>
      <c r="H1333" s="23">
        <v>19645</v>
      </c>
      <c r="I1333" s="124">
        <f t="shared" si="48"/>
        <v>19645</v>
      </c>
      <c r="J1333" s="21"/>
      <c r="K1333" s="24"/>
    </row>
    <row r="1334" spans="1:11" ht="34.5" customHeight="1" x14ac:dyDescent="0.25">
      <c r="A1334" s="25" t="s">
        <v>459</v>
      </c>
      <c r="B1334" s="26" t="s">
        <v>2004</v>
      </c>
      <c r="C1334" s="3" t="s">
        <v>2005</v>
      </c>
      <c r="D1334" s="21" t="s">
        <v>2006</v>
      </c>
      <c r="E1334" s="21" t="s">
        <v>1906</v>
      </c>
      <c r="F1334" s="3" t="s">
        <v>78</v>
      </c>
      <c r="G1334" s="3">
        <v>1</v>
      </c>
      <c r="H1334" s="23">
        <v>3005.37</v>
      </c>
      <c r="I1334" s="124">
        <f t="shared" si="48"/>
        <v>3005.37</v>
      </c>
      <c r="J1334" s="21"/>
      <c r="K1334" s="24"/>
    </row>
    <row r="1335" spans="1:11" ht="34.5" customHeight="1" x14ac:dyDescent="0.25">
      <c r="A1335" s="25" t="s">
        <v>485</v>
      </c>
      <c r="B1335" s="26" t="s">
        <v>1964</v>
      </c>
      <c r="C1335" s="3"/>
      <c r="D1335" s="21" t="s">
        <v>1965</v>
      </c>
      <c r="E1335" s="21" t="s">
        <v>1936</v>
      </c>
      <c r="F1335" s="3" t="s">
        <v>78</v>
      </c>
      <c r="G1335" s="3">
        <v>6</v>
      </c>
      <c r="H1335" s="23"/>
      <c r="I1335" s="124">
        <f t="shared" si="48"/>
        <v>0</v>
      </c>
      <c r="J1335" s="21"/>
      <c r="K1335" s="24"/>
    </row>
    <row r="1336" spans="1:11" ht="15.75" customHeight="1" x14ac:dyDescent="0.25">
      <c r="A1336" s="25" t="s">
        <v>1913</v>
      </c>
      <c r="B1336" s="26" t="s">
        <v>1919</v>
      </c>
      <c r="C1336" s="3" t="s">
        <v>1915</v>
      </c>
      <c r="D1336" s="21" t="s">
        <v>1920</v>
      </c>
      <c r="E1336" s="21" t="s">
        <v>1917</v>
      </c>
      <c r="F1336" s="3" t="s">
        <v>78</v>
      </c>
      <c r="G1336" s="3">
        <v>1</v>
      </c>
      <c r="H1336" s="23">
        <v>1100</v>
      </c>
      <c r="I1336" s="124">
        <f t="shared" si="48"/>
        <v>1100</v>
      </c>
      <c r="J1336" s="21"/>
      <c r="K1336" s="24"/>
    </row>
    <row r="1337" spans="1:11" ht="15.75" customHeight="1" x14ac:dyDescent="0.25">
      <c r="A1337" s="25" t="s">
        <v>1918</v>
      </c>
      <c r="B1337" s="26" t="s">
        <v>2026</v>
      </c>
      <c r="C1337" s="3" t="s">
        <v>1915</v>
      </c>
      <c r="D1337" s="21" t="s">
        <v>2027</v>
      </c>
      <c r="E1337" s="21" t="s">
        <v>2028</v>
      </c>
      <c r="F1337" s="3" t="s">
        <v>78</v>
      </c>
      <c r="G1337" s="3">
        <v>1</v>
      </c>
      <c r="H1337" s="23">
        <v>1100</v>
      </c>
      <c r="I1337" s="124">
        <f t="shared" si="48"/>
        <v>1100</v>
      </c>
      <c r="J1337" s="21"/>
      <c r="K1337" s="24"/>
    </row>
    <row r="1338" spans="1:11" ht="34.5" customHeight="1" x14ac:dyDescent="0.25">
      <c r="A1338" s="25" t="s">
        <v>1927</v>
      </c>
      <c r="B1338" s="26" t="s">
        <v>1928</v>
      </c>
      <c r="C1338" s="3" t="s">
        <v>1929</v>
      </c>
      <c r="D1338" s="21" t="s">
        <v>1930</v>
      </c>
      <c r="E1338" s="21" t="s">
        <v>1917</v>
      </c>
      <c r="F1338" s="3" t="s">
        <v>78</v>
      </c>
      <c r="G1338" s="3">
        <v>4</v>
      </c>
      <c r="H1338" s="23">
        <v>940</v>
      </c>
      <c r="I1338" s="124">
        <f t="shared" si="48"/>
        <v>3760</v>
      </c>
      <c r="J1338" s="21"/>
      <c r="K1338" s="24" t="s">
        <v>1931</v>
      </c>
    </row>
    <row r="1339" spans="1:11" ht="34.5" customHeight="1" x14ac:dyDescent="0.25">
      <c r="A1339" s="25"/>
      <c r="B1339" s="26" t="s">
        <v>1934</v>
      </c>
      <c r="C1339" s="3"/>
      <c r="D1339" s="21" t="s">
        <v>1935</v>
      </c>
      <c r="E1339" s="21" t="s">
        <v>1936</v>
      </c>
      <c r="F1339" s="3" t="s">
        <v>78</v>
      </c>
      <c r="G1339" s="3">
        <v>4</v>
      </c>
      <c r="H1339" s="23">
        <v>2283.91</v>
      </c>
      <c r="I1339" s="124">
        <f t="shared" si="48"/>
        <v>9135.64</v>
      </c>
      <c r="J1339" s="21"/>
      <c r="K1339" s="24"/>
    </row>
    <row r="1340" spans="1:11" ht="15.75" customHeight="1" x14ac:dyDescent="0.25">
      <c r="A1340" s="19" t="s">
        <v>2131</v>
      </c>
      <c r="B1340" s="20" t="s">
        <v>2132</v>
      </c>
      <c r="C1340" s="21"/>
      <c r="D1340" s="21"/>
      <c r="E1340" s="21"/>
      <c r="F1340" s="22"/>
      <c r="G1340" s="21">
        <v>1</v>
      </c>
      <c r="H1340" s="23"/>
      <c r="I1340" s="124"/>
      <c r="J1340" s="21"/>
      <c r="K1340" s="24"/>
    </row>
    <row r="1341" spans="1:11" ht="34.5" customHeight="1" x14ac:dyDescent="0.25">
      <c r="A1341" s="25" t="s">
        <v>349</v>
      </c>
      <c r="B1341" s="26" t="s">
        <v>2133</v>
      </c>
      <c r="C1341" s="3" t="s">
        <v>2134</v>
      </c>
      <c r="D1341" s="21" t="s">
        <v>2135</v>
      </c>
      <c r="E1341" s="21" t="s">
        <v>1906</v>
      </c>
      <c r="F1341" s="3" t="s">
        <v>78</v>
      </c>
      <c r="G1341" s="3">
        <v>1</v>
      </c>
      <c r="H1341" s="23">
        <v>2283.91</v>
      </c>
      <c r="I1341" s="124">
        <f t="shared" ref="I1341:I1349" si="49">H1341*G1341</f>
        <v>2283.91</v>
      </c>
      <c r="J1341" s="21"/>
      <c r="K1341" s="24"/>
    </row>
    <row r="1342" spans="1:11" ht="34.5" customHeight="1" x14ac:dyDescent="0.25">
      <c r="A1342" s="25" t="s">
        <v>375</v>
      </c>
      <c r="B1342" s="26" t="s">
        <v>2136</v>
      </c>
      <c r="C1342" s="3" t="s">
        <v>2137</v>
      </c>
      <c r="D1342" s="21" t="s">
        <v>2138</v>
      </c>
      <c r="E1342" s="21" t="s">
        <v>1906</v>
      </c>
      <c r="F1342" s="3" t="s">
        <v>78</v>
      </c>
      <c r="G1342" s="3">
        <v>1</v>
      </c>
      <c r="H1342" s="23">
        <v>2865</v>
      </c>
      <c r="I1342" s="124">
        <f t="shared" si="49"/>
        <v>2865</v>
      </c>
      <c r="J1342" s="21"/>
      <c r="K1342" s="24"/>
    </row>
    <row r="1343" spans="1:11" ht="34.5" customHeight="1" x14ac:dyDescent="0.25">
      <c r="A1343" s="25" t="s">
        <v>432</v>
      </c>
      <c r="B1343" s="26" t="s">
        <v>2139</v>
      </c>
      <c r="C1343" s="3" t="s">
        <v>2140</v>
      </c>
      <c r="D1343" s="21" t="s">
        <v>2141</v>
      </c>
      <c r="E1343" s="21" t="s">
        <v>1906</v>
      </c>
      <c r="F1343" s="3" t="s">
        <v>78</v>
      </c>
      <c r="G1343" s="3">
        <v>2</v>
      </c>
      <c r="H1343" s="23">
        <v>21950.959999999999</v>
      </c>
      <c r="I1343" s="124">
        <f t="shared" si="49"/>
        <v>43901.919999999998</v>
      </c>
      <c r="J1343" s="21"/>
      <c r="K1343" s="24"/>
    </row>
    <row r="1344" spans="1:11" ht="34.5" customHeight="1" x14ac:dyDescent="0.25">
      <c r="A1344" s="25" t="s">
        <v>459</v>
      </c>
      <c r="B1344" s="26" t="s">
        <v>2142</v>
      </c>
      <c r="C1344" s="3" t="s">
        <v>2143</v>
      </c>
      <c r="D1344" s="21" t="s">
        <v>2144</v>
      </c>
      <c r="E1344" s="21" t="s">
        <v>1906</v>
      </c>
      <c r="F1344" s="3" t="s">
        <v>78</v>
      </c>
      <c r="G1344" s="3">
        <v>2</v>
      </c>
      <c r="H1344" s="23">
        <v>35417.519999999997</v>
      </c>
      <c r="I1344" s="124">
        <f t="shared" si="49"/>
        <v>70835.039999999994</v>
      </c>
      <c r="J1344" s="21"/>
      <c r="K1344" s="24"/>
    </row>
    <row r="1345" spans="1:11" ht="15.75" customHeight="1" x14ac:dyDescent="0.25">
      <c r="A1345" s="25" t="s">
        <v>485</v>
      </c>
      <c r="B1345" s="26" t="s">
        <v>2145</v>
      </c>
      <c r="C1345" s="3"/>
      <c r="D1345" s="21" t="s">
        <v>2146</v>
      </c>
      <c r="E1345" s="21" t="s">
        <v>1906</v>
      </c>
      <c r="F1345" s="3" t="s">
        <v>78</v>
      </c>
      <c r="G1345" s="3">
        <v>1</v>
      </c>
      <c r="H1345" s="23">
        <v>86419.5</v>
      </c>
      <c r="I1345" s="124">
        <f t="shared" si="49"/>
        <v>86419.5</v>
      </c>
      <c r="J1345" s="21"/>
      <c r="K1345" s="24"/>
    </row>
    <row r="1346" spans="1:11" ht="34.5" customHeight="1" x14ac:dyDescent="0.25">
      <c r="A1346" s="25" t="s">
        <v>1838</v>
      </c>
      <c r="B1346" s="26" t="s">
        <v>2147</v>
      </c>
      <c r="C1346" s="3" t="s">
        <v>2148</v>
      </c>
      <c r="D1346" s="21" t="s">
        <v>2149</v>
      </c>
      <c r="E1346" s="21" t="s">
        <v>1906</v>
      </c>
      <c r="F1346" s="3" t="s">
        <v>78</v>
      </c>
      <c r="G1346" s="3">
        <v>2</v>
      </c>
      <c r="H1346" s="23">
        <v>35417.519999999997</v>
      </c>
      <c r="I1346" s="124">
        <f t="shared" si="49"/>
        <v>70835.039999999994</v>
      </c>
      <c r="J1346" s="21"/>
      <c r="K1346" s="24"/>
    </row>
    <row r="1347" spans="1:11" ht="34.5" customHeight="1" x14ac:dyDescent="0.25">
      <c r="A1347" s="25" t="s">
        <v>1927</v>
      </c>
      <c r="B1347" s="26" t="s">
        <v>1928</v>
      </c>
      <c r="C1347" s="3" t="s">
        <v>1929</v>
      </c>
      <c r="D1347" s="21" t="s">
        <v>1930</v>
      </c>
      <c r="E1347" s="21" t="s">
        <v>1917</v>
      </c>
      <c r="F1347" s="3" t="s">
        <v>78</v>
      </c>
      <c r="G1347" s="3">
        <v>3</v>
      </c>
      <c r="H1347" s="23">
        <v>940</v>
      </c>
      <c r="I1347" s="124">
        <f t="shared" si="49"/>
        <v>2820</v>
      </c>
      <c r="J1347" s="21"/>
      <c r="K1347" s="24" t="s">
        <v>1931</v>
      </c>
    </row>
    <row r="1348" spans="1:11" ht="15.75" customHeight="1" x14ac:dyDescent="0.25">
      <c r="A1348" s="25"/>
      <c r="B1348" s="26" t="s">
        <v>1932</v>
      </c>
      <c r="C1348" s="3"/>
      <c r="D1348" s="21" t="s">
        <v>1933</v>
      </c>
      <c r="E1348" s="21"/>
      <c r="F1348" s="3" t="s">
        <v>78</v>
      </c>
      <c r="G1348" s="3">
        <v>2</v>
      </c>
      <c r="H1348" s="23">
        <v>996.37</v>
      </c>
      <c r="I1348" s="124">
        <f t="shared" si="49"/>
        <v>1992.74</v>
      </c>
      <c r="J1348" s="21"/>
      <c r="K1348" s="24"/>
    </row>
    <row r="1349" spans="1:11" ht="34.5" customHeight="1" x14ac:dyDescent="0.25">
      <c r="A1349" s="25"/>
      <c r="B1349" s="26" t="s">
        <v>1934</v>
      </c>
      <c r="C1349" s="3"/>
      <c r="D1349" s="21" t="s">
        <v>1935</v>
      </c>
      <c r="E1349" s="21" t="s">
        <v>1936</v>
      </c>
      <c r="F1349" s="3" t="s">
        <v>78</v>
      </c>
      <c r="G1349" s="3">
        <v>3</v>
      </c>
      <c r="H1349" s="23">
        <v>605</v>
      </c>
      <c r="I1349" s="124">
        <f t="shared" si="49"/>
        <v>1815</v>
      </c>
      <c r="J1349" s="21"/>
      <c r="K1349" s="24"/>
    </row>
    <row r="1350" spans="1:11" ht="34.5" customHeight="1" x14ac:dyDescent="0.25">
      <c r="A1350" s="14"/>
      <c r="B1350" s="15" t="s">
        <v>2150</v>
      </c>
      <c r="C1350" s="16"/>
      <c r="D1350" s="16"/>
      <c r="E1350" s="16"/>
      <c r="F1350" s="16"/>
      <c r="G1350" s="16"/>
      <c r="H1350" s="17"/>
      <c r="I1350" s="123"/>
      <c r="J1350" s="16"/>
      <c r="K1350" s="18"/>
    </row>
    <row r="1351" spans="1:11" ht="15.75" customHeight="1" x14ac:dyDescent="0.25">
      <c r="A1351" s="19" t="s">
        <v>349</v>
      </c>
      <c r="B1351" s="20" t="s">
        <v>2151</v>
      </c>
      <c r="C1351" s="21"/>
      <c r="D1351" s="21"/>
      <c r="E1351" s="21"/>
      <c r="F1351" s="22"/>
      <c r="G1351" s="21"/>
      <c r="H1351" s="23"/>
      <c r="I1351" s="124"/>
      <c r="J1351" s="21"/>
      <c r="K1351" s="24"/>
    </row>
    <row r="1352" spans="1:11" ht="60" customHeight="1" x14ac:dyDescent="0.25">
      <c r="A1352" s="25" t="s">
        <v>2152</v>
      </c>
      <c r="B1352" s="26" t="s">
        <v>2153</v>
      </c>
      <c r="C1352" s="3" t="s">
        <v>2154</v>
      </c>
      <c r="D1352" s="21"/>
      <c r="E1352" s="21" t="s">
        <v>46</v>
      </c>
      <c r="F1352" s="3"/>
      <c r="G1352" s="3"/>
      <c r="H1352" s="23"/>
      <c r="I1352" s="124">
        <f t="shared" ref="I1352:I1383" si="50">H1352*G1352</f>
        <v>0</v>
      </c>
      <c r="J1352" s="21"/>
      <c r="K1352" s="24"/>
    </row>
    <row r="1353" spans="1:11" ht="34.5" customHeight="1" x14ac:dyDescent="0.25">
      <c r="A1353" s="25" t="s">
        <v>2155</v>
      </c>
      <c r="B1353" s="26" t="s">
        <v>2156</v>
      </c>
      <c r="C1353" s="3" t="s">
        <v>2154</v>
      </c>
      <c r="D1353" s="21"/>
      <c r="E1353" s="21"/>
      <c r="F1353" s="3" t="s">
        <v>572</v>
      </c>
      <c r="G1353" s="3">
        <v>174.6</v>
      </c>
      <c r="H1353" s="23"/>
      <c r="I1353" s="124">
        <f t="shared" si="50"/>
        <v>0</v>
      </c>
      <c r="J1353" s="21"/>
      <c r="K1353" s="24" t="s">
        <v>2157</v>
      </c>
    </row>
    <row r="1354" spans="1:11" ht="45" customHeight="1" x14ac:dyDescent="0.25">
      <c r="A1354" s="25" t="s">
        <v>2158</v>
      </c>
      <c r="B1354" s="26" t="s">
        <v>2159</v>
      </c>
      <c r="C1354" s="3" t="s">
        <v>2154</v>
      </c>
      <c r="D1354" s="21"/>
      <c r="E1354" s="21" t="s">
        <v>46</v>
      </c>
      <c r="F1354" s="3"/>
      <c r="G1354" s="3"/>
      <c r="H1354" s="23"/>
      <c r="I1354" s="124">
        <f t="shared" si="50"/>
        <v>0</v>
      </c>
      <c r="J1354" s="21"/>
      <c r="K1354" s="24"/>
    </row>
    <row r="1355" spans="1:11" ht="60" customHeight="1" x14ac:dyDescent="0.25">
      <c r="A1355" s="25" t="s">
        <v>2160</v>
      </c>
      <c r="B1355" s="26" t="s">
        <v>2161</v>
      </c>
      <c r="C1355" s="3" t="s">
        <v>2162</v>
      </c>
      <c r="D1355" s="21"/>
      <c r="E1355" s="21"/>
      <c r="F1355" s="3" t="s">
        <v>78</v>
      </c>
      <c r="G1355" s="3">
        <v>6</v>
      </c>
      <c r="H1355" s="23"/>
      <c r="I1355" s="124">
        <f t="shared" si="50"/>
        <v>0</v>
      </c>
      <c r="J1355" s="21"/>
      <c r="K1355" s="24" t="s">
        <v>2163</v>
      </c>
    </row>
    <row r="1356" spans="1:11" ht="45" customHeight="1" x14ac:dyDescent="0.25">
      <c r="A1356" s="25" t="s">
        <v>2164</v>
      </c>
      <c r="B1356" s="26" t="s">
        <v>2165</v>
      </c>
      <c r="C1356" s="3"/>
      <c r="D1356" s="21"/>
      <c r="E1356" s="21"/>
      <c r="F1356" s="3"/>
      <c r="G1356" s="3"/>
      <c r="H1356" s="23"/>
      <c r="I1356" s="124">
        <f t="shared" si="50"/>
        <v>0</v>
      </c>
      <c r="J1356" s="21"/>
      <c r="K1356" s="24" t="s">
        <v>2166</v>
      </c>
    </row>
    <row r="1357" spans="1:11" ht="60" customHeight="1" x14ac:dyDescent="0.25">
      <c r="A1357" s="25" t="s">
        <v>2167</v>
      </c>
      <c r="B1357" s="26" t="s">
        <v>2168</v>
      </c>
      <c r="C1357" s="3" t="s">
        <v>2169</v>
      </c>
      <c r="D1357" s="21" t="s">
        <v>2170</v>
      </c>
      <c r="E1357" s="21" t="s">
        <v>46</v>
      </c>
      <c r="F1357" s="3" t="s">
        <v>78</v>
      </c>
      <c r="G1357" s="3">
        <v>1</v>
      </c>
      <c r="H1357" s="23"/>
      <c r="I1357" s="124">
        <f t="shared" si="50"/>
        <v>0</v>
      </c>
      <c r="J1357" s="21"/>
      <c r="K1357" s="24" t="s">
        <v>2171</v>
      </c>
    </row>
    <row r="1358" spans="1:11" ht="34.5" customHeight="1" x14ac:dyDescent="0.25">
      <c r="A1358" s="25" t="s">
        <v>2172</v>
      </c>
      <c r="B1358" s="26" t="s">
        <v>2173</v>
      </c>
      <c r="C1358" s="3" t="s">
        <v>2174</v>
      </c>
      <c r="D1358" s="21"/>
      <c r="E1358" s="21" t="s">
        <v>46</v>
      </c>
      <c r="F1358" s="3" t="s">
        <v>315</v>
      </c>
      <c r="G1358" s="3">
        <v>0.25</v>
      </c>
      <c r="H1358" s="23"/>
      <c r="I1358" s="124">
        <f t="shared" si="50"/>
        <v>0</v>
      </c>
      <c r="J1358" s="21"/>
      <c r="K1358" s="24" t="s">
        <v>2175</v>
      </c>
    </row>
    <row r="1359" spans="1:11" ht="34.5" customHeight="1" x14ac:dyDescent="0.25">
      <c r="A1359" s="25" t="s">
        <v>2176</v>
      </c>
      <c r="B1359" s="26" t="s">
        <v>2177</v>
      </c>
      <c r="C1359" s="3" t="s">
        <v>2178</v>
      </c>
      <c r="D1359" s="21"/>
      <c r="E1359" s="21" t="s">
        <v>46</v>
      </c>
      <c r="F1359" s="3" t="s">
        <v>89</v>
      </c>
      <c r="G1359" s="3">
        <v>0.4</v>
      </c>
      <c r="H1359" s="23"/>
      <c r="I1359" s="124">
        <f t="shared" si="50"/>
        <v>0</v>
      </c>
      <c r="J1359" s="21"/>
      <c r="K1359" s="24" t="s">
        <v>2179</v>
      </c>
    </row>
    <row r="1360" spans="1:11" ht="34.5" customHeight="1" x14ac:dyDescent="0.25">
      <c r="A1360" s="25" t="s">
        <v>2180</v>
      </c>
      <c r="B1360" s="26" t="s">
        <v>2181</v>
      </c>
      <c r="C1360" s="3"/>
      <c r="D1360" s="21"/>
      <c r="E1360" s="21"/>
      <c r="F1360" s="3"/>
      <c r="G1360" s="3"/>
      <c r="H1360" s="23"/>
      <c r="I1360" s="124">
        <f t="shared" si="50"/>
        <v>0</v>
      </c>
      <c r="J1360" s="21"/>
      <c r="K1360" s="24" t="s">
        <v>2182</v>
      </c>
    </row>
    <row r="1361" spans="1:11" ht="15.75" customHeight="1" x14ac:dyDescent="0.25">
      <c r="A1361" s="25" t="s">
        <v>2183</v>
      </c>
      <c r="B1361" s="26" t="s">
        <v>2184</v>
      </c>
      <c r="C1361" s="3" t="s">
        <v>2185</v>
      </c>
      <c r="D1361" s="21"/>
      <c r="E1361" s="21" t="s">
        <v>46</v>
      </c>
      <c r="F1361" s="3" t="s">
        <v>78</v>
      </c>
      <c r="G1361" s="3">
        <v>23</v>
      </c>
      <c r="H1361" s="23"/>
      <c r="I1361" s="124">
        <f t="shared" si="50"/>
        <v>0</v>
      </c>
      <c r="J1361" s="21">
        <v>3600</v>
      </c>
      <c r="K1361" s="24"/>
    </row>
    <row r="1362" spans="1:11" ht="15.75" customHeight="1" x14ac:dyDescent="0.25">
      <c r="A1362" s="25" t="s">
        <v>2186</v>
      </c>
      <c r="B1362" s="26" t="s">
        <v>2187</v>
      </c>
      <c r="C1362" s="3" t="s">
        <v>2188</v>
      </c>
      <c r="D1362" s="21"/>
      <c r="E1362" s="21" t="s">
        <v>46</v>
      </c>
      <c r="F1362" s="3" t="s">
        <v>78</v>
      </c>
      <c r="G1362" s="3">
        <v>23</v>
      </c>
      <c r="H1362" s="23"/>
      <c r="I1362" s="124">
        <f t="shared" si="50"/>
        <v>0</v>
      </c>
      <c r="J1362" s="21">
        <v>1770</v>
      </c>
      <c r="K1362" s="24"/>
    </row>
    <row r="1363" spans="1:11" ht="15.75" customHeight="1" x14ac:dyDescent="0.25">
      <c r="A1363" s="25" t="s">
        <v>2189</v>
      </c>
      <c r="B1363" s="26" t="s">
        <v>2190</v>
      </c>
      <c r="C1363" s="3" t="s">
        <v>2174</v>
      </c>
      <c r="D1363" s="21"/>
      <c r="E1363" s="21" t="s">
        <v>46</v>
      </c>
      <c r="F1363" s="3" t="s">
        <v>315</v>
      </c>
      <c r="G1363" s="3">
        <v>0.23</v>
      </c>
      <c r="H1363" s="23"/>
      <c r="I1363" s="124">
        <f t="shared" si="50"/>
        <v>0</v>
      </c>
      <c r="J1363" s="21"/>
      <c r="K1363" s="24" t="s">
        <v>2191</v>
      </c>
    </row>
    <row r="1364" spans="1:11" ht="15.75" customHeight="1" x14ac:dyDescent="0.25">
      <c r="A1364" s="25" t="s">
        <v>2192</v>
      </c>
      <c r="B1364" s="26" t="s">
        <v>2193</v>
      </c>
      <c r="C1364" s="3" t="s">
        <v>2194</v>
      </c>
      <c r="D1364" s="21"/>
      <c r="E1364" s="21" t="s">
        <v>46</v>
      </c>
      <c r="F1364" s="3" t="s">
        <v>158</v>
      </c>
      <c r="G1364" s="3">
        <v>16.100000000000001</v>
      </c>
      <c r="H1364" s="23"/>
      <c r="I1364" s="124">
        <f t="shared" si="50"/>
        <v>0</v>
      </c>
      <c r="J1364" s="21"/>
      <c r="K1364" s="24" t="s">
        <v>2195</v>
      </c>
    </row>
    <row r="1365" spans="1:11" ht="15.75" customHeight="1" x14ac:dyDescent="0.25">
      <c r="A1365" s="25" t="s">
        <v>2196</v>
      </c>
      <c r="B1365" s="26" t="s">
        <v>2197</v>
      </c>
      <c r="C1365" s="3" t="s">
        <v>2198</v>
      </c>
      <c r="D1365" s="21"/>
      <c r="E1365" s="21" t="s">
        <v>46</v>
      </c>
      <c r="F1365" s="3" t="s">
        <v>2199</v>
      </c>
      <c r="G1365" s="3">
        <v>48.6</v>
      </c>
      <c r="H1365" s="23">
        <v>180</v>
      </c>
      <c r="I1365" s="124">
        <f t="shared" si="50"/>
        <v>8748</v>
      </c>
      <c r="J1365" s="21"/>
      <c r="K1365" s="24" t="s">
        <v>2200</v>
      </c>
    </row>
    <row r="1366" spans="1:11" ht="15.75" customHeight="1" x14ac:dyDescent="0.25">
      <c r="A1366" s="25" t="s">
        <v>2201</v>
      </c>
      <c r="B1366" s="26" t="s">
        <v>2202</v>
      </c>
      <c r="C1366" s="3" t="s">
        <v>2203</v>
      </c>
      <c r="D1366" s="21"/>
      <c r="E1366" s="21" t="s">
        <v>46</v>
      </c>
      <c r="F1366" s="3" t="s">
        <v>158</v>
      </c>
      <c r="G1366" s="3">
        <v>486.5</v>
      </c>
      <c r="H1366" s="23"/>
      <c r="I1366" s="124">
        <f t="shared" si="50"/>
        <v>0</v>
      </c>
      <c r="J1366" s="21"/>
      <c r="K1366" s="24" t="s">
        <v>2200</v>
      </c>
    </row>
    <row r="1367" spans="1:11" ht="15.75" customHeight="1" x14ac:dyDescent="0.25">
      <c r="A1367" s="25" t="s">
        <v>2204</v>
      </c>
      <c r="B1367" s="26" t="s">
        <v>2205</v>
      </c>
      <c r="C1367" s="3" t="s">
        <v>2206</v>
      </c>
      <c r="D1367" s="21"/>
      <c r="E1367" s="21" t="s">
        <v>46</v>
      </c>
      <c r="F1367" s="3" t="s">
        <v>576</v>
      </c>
      <c r="G1367" s="3">
        <v>172.9</v>
      </c>
      <c r="H1367" s="23">
        <v>242</v>
      </c>
      <c r="I1367" s="124">
        <f t="shared" si="50"/>
        <v>41841.800000000003</v>
      </c>
      <c r="J1367" s="21"/>
      <c r="K1367" s="24" t="s">
        <v>2200</v>
      </c>
    </row>
    <row r="1368" spans="1:11" ht="15.75" customHeight="1" x14ac:dyDescent="0.25">
      <c r="A1368" s="25" t="s">
        <v>2207</v>
      </c>
      <c r="B1368" s="26" t="s">
        <v>2208</v>
      </c>
      <c r="C1368" s="3" t="s">
        <v>2209</v>
      </c>
      <c r="D1368" s="21"/>
      <c r="E1368" s="21" t="s">
        <v>46</v>
      </c>
      <c r="F1368" s="3" t="s">
        <v>78</v>
      </c>
      <c r="G1368" s="3">
        <v>40</v>
      </c>
      <c r="H1368" s="23"/>
      <c r="I1368" s="124">
        <f t="shared" si="50"/>
        <v>0</v>
      </c>
      <c r="J1368" s="21">
        <v>14</v>
      </c>
      <c r="K1368" s="24"/>
    </row>
    <row r="1369" spans="1:11" ht="34.5" customHeight="1" x14ac:dyDescent="0.25">
      <c r="A1369" s="25" t="s">
        <v>2210</v>
      </c>
      <c r="B1369" s="26" t="s">
        <v>2211</v>
      </c>
      <c r="C1369" s="3" t="s">
        <v>2212</v>
      </c>
      <c r="D1369" s="21"/>
      <c r="E1369" s="21" t="s">
        <v>46</v>
      </c>
      <c r="F1369" s="3" t="s">
        <v>78</v>
      </c>
      <c r="G1369" s="3">
        <v>40</v>
      </c>
      <c r="H1369" s="23"/>
      <c r="I1369" s="124">
        <f t="shared" si="50"/>
        <v>0</v>
      </c>
      <c r="J1369" s="21"/>
      <c r="K1369" s="24"/>
    </row>
    <row r="1370" spans="1:11" ht="54.75" customHeight="1" x14ac:dyDescent="0.25">
      <c r="A1370" s="25" t="s">
        <v>2213</v>
      </c>
      <c r="B1370" s="26" t="s">
        <v>2214</v>
      </c>
      <c r="C1370" s="3" t="s">
        <v>2215</v>
      </c>
      <c r="D1370" s="21"/>
      <c r="E1370" s="21"/>
      <c r="F1370" s="3"/>
      <c r="G1370" s="3"/>
      <c r="H1370" s="23"/>
      <c r="I1370" s="124">
        <f t="shared" si="50"/>
        <v>0</v>
      </c>
      <c r="J1370" s="21"/>
      <c r="K1370" s="24" t="s">
        <v>2216</v>
      </c>
    </row>
    <row r="1371" spans="1:11" ht="15.75" customHeight="1" x14ac:dyDescent="0.25">
      <c r="A1371" s="25" t="s">
        <v>2217</v>
      </c>
      <c r="B1371" s="26" t="s">
        <v>2218</v>
      </c>
      <c r="C1371" s="3" t="s">
        <v>2219</v>
      </c>
      <c r="D1371" s="21"/>
      <c r="E1371" s="21" t="s">
        <v>46</v>
      </c>
      <c r="F1371" s="3" t="s">
        <v>89</v>
      </c>
      <c r="G1371" s="3">
        <v>84.24</v>
      </c>
      <c r="H1371" s="23"/>
      <c r="I1371" s="124">
        <f t="shared" si="50"/>
        <v>0</v>
      </c>
      <c r="J1371" s="21">
        <v>0.61699999999999999</v>
      </c>
      <c r="K1371" s="24"/>
    </row>
    <row r="1372" spans="1:11" ht="15.75" customHeight="1" x14ac:dyDescent="0.25">
      <c r="A1372" s="25" t="s">
        <v>2220</v>
      </c>
      <c r="B1372" s="26" t="s">
        <v>2221</v>
      </c>
      <c r="C1372" s="3" t="s">
        <v>2174</v>
      </c>
      <c r="D1372" s="21"/>
      <c r="E1372" s="21" t="s">
        <v>46</v>
      </c>
      <c r="F1372" s="3" t="s">
        <v>315</v>
      </c>
      <c r="G1372" s="3">
        <v>0.6</v>
      </c>
      <c r="H1372" s="23"/>
      <c r="I1372" s="124">
        <f t="shared" si="50"/>
        <v>0</v>
      </c>
      <c r="J1372" s="21"/>
      <c r="K1372" s="24"/>
    </row>
    <row r="1373" spans="1:11" ht="34.5" customHeight="1" x14ac:dyDescent="0.25">
      <c r="A1373" s="25" t="s">
        <v>2222</v>
      </c>
      <c r="B1373" s="26" t="s">
        <v>2223</v>
      </c>
      <c r="C1373" s="3" t="s">
        <v>2224</v>
      </c>
      <c r="D1373" s="21"/>
      <c r="E1373" s="21"/>
      <c r="F1373" s="3"/>
      <c r="G1373" s="3"/>
      <c r="H1373" s="23"/>
      <c r="I1373" s="124">
        <f t="shared" si="50"/>
        <v>0</v>
      </c>
      <c r="J1373" s="21"/>
      <c r="K1373" s="24" t="s">
        <v>2182</v>
      </c>
    </row>
    <row r="1374" spans="1:11" ht="15.75" customHeight="1" x14ac:dyDescent="0.25">
      <c r="A1374" s="25" t="s">
        <v>2225</v>
      </c>
      <c r="B1374" s="26" t="s">
        <v>2221</v>
      </c>
      <c r="C1374" s="3" t="s">
        <v>2174</v>
      </c>
      <c r="D1374" s="21"/>
      <c r="E1374" s="21" t="s">
        <v>46</v>
      </c>
      <c r="F1374" s="3" t="s">
        <v>315</v>
      </c>
      <c r="G1374" s="3">
        <v>0.8</v>
      </c>
      <c r="H1374" s="23"/>
      <c r="I1374" s="124">
        <f t="shared" si="50"/>
        <v>0</v>
      </c>
      <c r="J1374" s="21"/>
      <c r="K1374" s="24"/>
    </row>
    <row r="1375" spans="1:11" ht="15.75" customHeight="1" x14ac:dyDescent="0.25">
      <c r="A1375" s="25" t="s">
        <v>2226</v>
      </c>
      <c r="B1375" s="26" t="s">
        <v>2197</v>
      </c>
      <c r="C1375" s="3" t="s">
        <v>2198</v>
      </c>
      <c r="D1375" s="21"/>
      <c r="E1375" s="21" t="s">
        <v>46</v>
      </c>
      <c r="F1375" s="3" t="s">
        <v>2199</v>
      </c>
      <c r="G1375" s="3">
        <v>4</v>
      </c>
      <c r="H1375" s="23">
        <v>180</v>
      </c>
      <c r="I1375" s="124">
        <f t="shared" si="50"/>
        <v>720</v>
      </c>
      <c r="J1375" s="21"/>
      <c r="K1375" s="24"/>
    </row>
    <row r="1376" spans="1:11" ht="15.75" customHeight="1" x14ac:dyDescent="0.25">
      <c r="A1376" s="25" t="s">
        <v>2227</v>
      </c>
      <c r="B1376" s="26" t="s">
        <v>2202</v>
      </c>
      <c r="C1376" s="3" t="s">
        <v>2203</v>
      </c>
      <c r="D1376" s="21"/>
      <c r="E1376" s="21" t="s">
        <v>46</v>
      </c>
      <c r="F1376" s="3" t="s">
        <v>158</v>
      </c>
      <c r="G1376" s="3">
        <v>40</v>
      </c>
      <c r="H1376" s="23"/>
      <c r="I1376" s="124">
        <f t="shared" si="50"/>
        <v>0</v>
      </c>
      <c r="J1376" s="21"/>
      <c r="K1376" s="24"/>
    </row>
    <row r="1377" spans="1:11" ht="15.75" customHeight="1" x14ac:dyDescent="0.25">
      <c r="A1377" s="25" t="s">
        <v>2228</v>
      </c>
      <c r="B1377" s="26" t="s">
        <v>2229</v>
      </c>
      <c r="C1377" s="3" t="s">
        <v>2219</v>
      </c>
      <c r="D1377" s="21"/>
      <c r="E1377" s="21" t="s">
        <v>46</v>
      </c>
      <c r="F1377" s="3" t="s">
        <v>78</v>
      </c>
      <c r="G1377" s="3">
        <v>2</v>
      </c>
      <c r="H1377" s="23"/>
      <c r="I1377" s="124">
        <f t="shared" si="50"/>
        <v>0</v>
      </c>
      <c r="J1377" s="21"/>
      <c r="K1377" s="24"/>
    </row>
    <row r="1378" spans="1:11" ht="15.75" customHeight="1" x14ac:dyDescent="0.25">
      <c r="A1378" s="25" t="s">
        <v>2230</v>
      </c>
      <c r="B1378" s="26" t="s">
        <v>2231</v>
      </c>
      <c r="C1378" s="3" t="s">
        <v>2219</v>
      </c>
      <c r="D1378" s="21"/>
      <c r="E1378" s="21" t="s">
        <v>46</v>
      </c>
      <c r="F1378" s="3" t="s">
        <v>78</v>
      </c>
      <c r="G1378" s="3">
        <v>2</v>
      </c>
      <c r="H1378" s="23"/>
      <c r="I1378" s="124">
        <f t="shared" si="50"/>
        <v>0</v>
      </c>
      <c r="J1378" s="21"/>
      <c r="K1378" s="24"/>
    </row>
    <row r="1379" spans="1:11" ht="15.75" customHeight="1" x14ac:dyDescent="0.25">
      <c r="A1379" s="25" t="s">
        <v>2232</v>
      </c>
      <c r="B1379" s="26" t="s">
        <v>2233</v>
      </c>
      <c r="C1379" s="3" t="s">
        <v>2219</v>
      </c>
      <c r="D1379" s="21"/>
      <c r="E1379" s="21" t="s">
        <v>46</v>
      </c>
      <c r="F1379" s="3" t="s">
        <v>78</v>
      </c>
      <c r="G1379" s="3">
        <v>46</v>
      </c>
      <c r="H1379" s="23"/>
      <c r="I1379" s="124">
        <f t="shared" si="50"/>
        <v>0</v>
      </c>
      <c r="J1379" s="21"/>
      <c r="K1379" s="24"/>
    </row>
    <row r="1380" spans="1:11" ht="45" customHeight="1" x14ac:dyDescent="0.25">
      <c r="A1380" s="25" t="s">
        <v>2234</v>
      </c>
      <c r="B1380" s="26" t="s">
        <v>2235</v>
      </c>
      <c r="C1380" s="3"/>
      <c r="D1380" s="21"/>
      <c r="E1380" s="21"/>
      <c r="F1380" s="3"/>
      <c r="G1380" s="3"/>
      <c r="H1380" s="23"/>
      <c r="I1380" s="124">
        <f t="shared" si="50"/>
        <v>0</v>
      </c>
      <c r="J1380" s="21"/>
      <c r="K1380" s="24" t="s">
        <v>2236</v>
      </c>
    </row>
    <row r="1381" spans="1:11" ht="34.5" customHeight="1" x14ac:dyDescent="0.25">
      <c r="A1381" s="25" t="s">
        <v>2237</v>
      </c>
      <c r="B1381" s="26" t="s">
        <v>2238</v>
      </c>
      <c r="C1381" s="3" t="s">
        <v>437</v>
      </c>
      <c r="D1381" s="21"/>
      <c r="E1381" s="21" t="s">
        <v>46</v>
      </c>
      <c r="F1381" s="3" t="s">
        <v>572</v>
      </c>
      <c r="G1381" s="3">
        <v>40.200000000000003</v>
      </c>
      <c r="H1381" s="23"/>
      <c r="I1381" s="124">
        <f t="shared" si="50"/>
        <v>0</v>
      </c>
      <c r="J1381" s="21" t="s">
        <v>2239</v>
      </c>
      <c r="K1381" s="24" t="s">
        <v>2240</v>
      </c>
    </row>
    <row r="1382" spans="1:11" ht="34.5" customHeight="1" x14ac:dyDescent="0.25">
      <c r="A1382" s="25" t="s">
        <v>2241</v>
      </c>
      <c r="B1382" s="26" t="s">
        <v>2242</v>
      </c>
      <c r="C1382" s="3" t="s">
        <v>2243</v>
      </c>
      <c r="D1382" s="21"/>
      <c r="E1382" s="21" t="s">
        <v>46</v>
      </c>
      <c r="F1382" s="3" t="s">
        <v>78</v>
      </c>
      <c r="G1382" s="3">
        <v>12</v>
      </c>
      <c r="H1382" s="23"/>
      <c r="I1382" s="124">
        <f t="shared" si="50"/>
        <v>0</v>
      </c>
      <c r="J1382" s="21"/>
      <c r="K1382" s="24"/>
    </row>
    <row r="1383" spans="1:11" ht="34.5" customHeight="1" x14ac:dyDescent="0.25">
      <c r="A1383" s="25" t="s">
        <v>2244</v>
      </c>
      <c r="B1383" s="26" t="s">
        <v>2245</v>
      </c>
      <c r="C1383" s="3"/>
      <c r="D1383" s="21"/>
      <c r="E1383" s="21"/>
      <c r="F1383" s="3"/>
      <c r="G1383" s="3"/>
      <c r="H1383" s="23"/>
      <c r="I1383" s="124">
        <f t="shared" si="50"/>
        <v>0</v>
      </c>
      <c r="J1383" s="21"/>
      <c r="K1383" s="24" t="s">
        <v>2246</v>
      </c>
    </row>
    <row r="1384" spans="1:11" ht="15.75" customHeight="1" x14ac:dyDescent="0.25">
      <c r="A1384" s="25" t="s">
        <v>2247</v>
      </c>
      <c r="B1384" s="26" t="s">
        <v>2248</v>
      </c>
      <c r="C1384" s="3" t="s">
        <v>2249</v>
      </c>
      <c r="D1384" s="21"/>
      <c r="E1384" s="21" t="s">
        <v>46</v>
      </c>
      <c r="F1384" s="3" t="s">
        <v>572</v>
      </c>
      <c r="G1384" s="3">
        <v>19.5</v>
      </c>
      <c r="H1384" s="23"/>
      <c r="I1384" s="124">
        <f t="shared" ref="I1384:I1403" si="51">H1384*G1384</f>
        <v>0</v>
      </c>
      <c r="J1384" s="21"/>
      <c r="K1384" s="24"/>
    </row>
    <row r="1385" spans="1:11" ht="54.75" customHeight="1" x14ac:dyDescent="0.25">
      <c r="A1385" s="25" t="s">
        <v>2250</v>
      </c>
      <c r="B1385" s="26" t="s">
        <v>2251</v>
      </c>
      <c r="C1385" s="3" t="s">
        <v>2154</v>
      </c>
      <c r="D1385" s="21"/>
      <c r="E1385" s="21" t="s">
        <v>46</v>
      </c>
      <c r="F1385" s="3" t="s">
        <v>572</v>
      </c>
      <c r="G1385" s="3">
        <v>1.5</v>
      </c>
      <c r="H1385" s="23"/>
      <c r="I1385" s="124">
        <f t="shared" si="51"/>
        <v>0</v>
      </c>
      <c r="J1385" s="21"/>
      <c r="K1385" s="24" t="s">
        <v>2252</v>
      </c>
    </row>
    <row r="1386" spans="1:11" ht="15.75" customHeight="1" x14ac:dyDescent="0.25">
      <c r="A1386" s="25" t="s">
        <v>2253</v>
      </c>
      <c r="B1386" s="26" t="s">
        <v>2254</v>
      </c>
      <c r="C1386" s="3" t="s">
        <v>2255</v>
      </c>
      <c r="D1386" s="21"/>
      <c r="E1386" s="21" t="s">
        <v>46</v>
      </c>
      <c r="F1386" s="3" t="s">
        <v>78</v>
      </c>
      <c r="G1386" s="3">
        <v>5</v>
      </c>
      <c r="H1386" s="23"/>
      <c r="I1386" s="124">
        <f t="shared" si="51"/>
        <v>0</v>
      </c>
      <c r="J1386" s="21"/>
      <c r="K1386" s="24"/>
    </row>
    <row r="1387" spans="1:11" ht="34.5" customHeight="1" x14ac:dyDescent="0.25">
      <c r="A1387" s="25" t="s">
        <v>2256</v>
      </c>
      <c r="B1387" s="26" t="s">
        <v>2257</v>
      </c>
      <c r="C1387" s="3" t="s">
        <v>2258</v>
      </c>
      <c r="D1387" s="21"/>
      <c r="E1387" s="21" t="s">
        <v>46</v>
      </c>
      <c r="F1387" s="3" t="s">
        <v>572</v>
      </c>
      <c r="G1387" s="3">
        <v>67</v>
      </c>
      <c r="H1387" s="23"/>
      <c r="I1387" s="124">
        <f t="shared" si="51"/>
        <v>0</v>
      </c>
      <c r="J1387" s="21"/>
      <c r="K1387" s="24"/>
    </row>
    <row r="1388" spans="1:11" ht="15.75" customHeight="1" x14ac:dyDescent="0.25">
      <c r="A1388" s="25" t="s">
        <v>2259</v>
      </c>
      <c r="B1388" s="26" t="s">
        <v>2260</v>
      </c>
      <c r="C1388" s="3" t="s">
        <v>2261</v>
      </c>
      <c r="D1388" s="21"/>
      <c r="E1388" s="21" t="s">
        <v>46</v>
      </c>
      <c r="F1388" s="3" t="s">
        <v>78</v>
      </c>
      <c r="G1388" s="3">
        <v>13</v>
      </c>
      <c r="H1388" s="23"/>
      <c r="I1388" s="124">
        <f t="shared" si="51"/>
        <v>0</v>
      </c>
      <c r="J1388" s="21"/>
      <c r="K1388" s="24"/>
    </row>
    <row r="1389" spans="1:11" ht="15.75" customHeight="1" x14ac:dyDescent="0.25">
      <c r="A1389" s="25" t="s">
        <v>2262</v>
      </c>
      <c r="B1389" s="26" t="s">
        <v>2263</v>
      </c>
      <c r="C1389" s="3" t="s">
        <v>321</v>
      </c>
      <c r="D1389" s="21"/>
      <c r="E1389" s="21" t="s">
        <v>46</v>
      </c>
      <c r="F1389" s="3" t="s">
        <v>315</v>
      </c>
      <c r="G1389" s="3">
        <v>16.8</v>
      </c>
      <c r="H1389" s="23"/>
      <c r="I1389" s="124">
        <f t="shared" si="51"/>
        <v>0</v>
      </c>
      <c r="J1389" s="21"/>
      <c r="K1389" s="24"/>
    </row>
    <row r="1390" spans="1:11" ht="34.5" customHeight="1" x14ac:dyDescent="0.25">
      <c r="A1390" s="25" t="s">
        <v>2264</v>
      </c>
      <c r="B1390" s="26" t="s">
        <v>2265</v>
      </c>
      <c r="C1390" s="3"/>
      <c r="D1390" s="21"/>
      <c r="E1390" s="21"/>
      <c r="F1390" s="3" t="s">
        <v>78</v>
      </c>
      <c r="G1390" s="3">
        <v>5</v>
      </c>
      <c r="H1390" s="23"/>
      <c r="I1390" s="124">
        <f t="shared" si="51"/>
        <v>0</v>
      </c>
      <c r="J1390" s="21"/>
      <c r="K1390" s="24" t="s">
        <v>2182</v>
      </c>
    </row>
    <row r="1391" spans="1:11" ht="15.75" customHeight="1" x14ac:dyDescent="0.25">
      <c r="A1391" s="25" t="s">
        <v>2266</v>
      </c>
      <c r="B1391" s="26" t="s">
        <v>2267</v>
      </c>
      <c r="C1391" s="3" t="s">
        <v>2268</v>
      </c>
      <c r="D1391" s="21"/>
      <c r="E1391" s="21" t="s">
        <v>46</v>
      </c>
      <c r="F1391" s="3" t="s">
        <v>78</v>
      </c>
      <c r="G1391" s="3">
        <v>15</v>
      </c>
      <c r="H1391" s="23"/>
      <c r="I1391" s="124">
        <f t="shared" si="51"/>
        <v>0</v>
      </c>
      <c r="J1391" s="21"/>
      <c r="K1391" s="24"/>
    </row>
    <row r="1392" spans="1:11" ht="15.75" customHeight="1" x14ac:dyDescent="0.25">
      <c r="A1392" s="25" t="s">
        <v>2269</v>
      </c>
      <c r="B1392" s="26" t="s">
        <v>365</v>
      </c>
      <c r="C1392" s="3" t="s">
        <v>2268</v>
      </c>
      <c r="D1392" s="21"/>
      <c r="E1392" s="21" t="s">
        <v>46</v>
      </c>
      <c r="F1392" s="3" t="s">
        <v>78</v>
      </c>
      <c r="G1392" s="3">
        <v>10</v>
      </c>
      <c r="H1392" s="23"/>
      <c r="I1392" s="124">
        <f t="shared" si="51"/>
        <v>0</v>
      </c>
      <c r="J1392" s="21"/>
      <c r="K1392" s="24"/>
    </row>
    <row r="1393" spans="1:11" ht="15.75" customHeight="1" x14ac:dyDescent="0.25">
      <c r="A1393" s="25" t="s">
        <v>2270</v>
      </c>
      <c r="B1393" s="26" t="s">
        <v>2271</v>
      </c>
      <c r="C1393" s="3" t="s">
        <v>2268</v>
      </c>
      <c r="D1393" s="21"/>
      <c r="E1393" s="21" t="s">
        <v>46</v>
      </c>
      <c r="F1393" s="3" t="s">
        <v>78</v>
      </c>
      <c r="G1393" s="3">
        <v>5</v>
      </c>
      <c r="H1393" s="23"/>
      <c r="I1393" s="124">
        <f t="shared" si="51"/>
        <v>0</v>
      </c>
      <c r="J1393" s="21"/>
      <c r="K1393" s="24"/>
    </row>
    <row r="1394" spans="1:11" ht="15.75" customHeight="1" x14ac:dyDescent="0.25">
      <c r="A1394" s="25" t="s">
        <v>2272</v>
      </c>
      <c r="B1394" s="26" t="s">
        <v>2273</v>
      </c>
      <c r="C1394" s="3" t="s">
        <v>2268</v>
      </c>
      <c r="D1394" s="21"/>
      <c r="E1394" s="21" t="s">
        <v>46</v>
      </c>
      <c r="F1394" s="3" t="s">
        <v>78</v>
      </c>
      <c r="G1394" s="3">
        <v>5</v>
      </c>
      <c r="H1394" s="23"/>
      <c r="I1394" s="124">
        <f t="shared" si="51"/>
        <v>0</v>
      </c>
      <c r="J1394" s="21"/>
      <c r="K1394" s="24"/>
    </row>
    <row r="1395" spans="1:11" ht="15.75" customHeight="1" x14ac:dyDescent="0.25">
      <c r="A1395" s="25" t="s">
        <v>2274</v>
      </c>
      <c r="B1395" s="26" t="s">
        <v>2275</v>
      </c>
      <c r="C1395" s="3" t="s">
        <v>2276</v>
      </c>
      <c r="D1395" s="21"/>
      <c r="E1395" s="21" t="s">
        <v>46</v>
      </c>
      <c r="F1395" s="3" t="s">
        <v>78</v>
      </c>
      <c r="G1395" s="3">
        <v>30</v>
      </c>
      <c r="H1395" s="23"/>
      <c r="I1395" s="124">
        <f t="shared" si="51"/>
        <v>0</v>
      </c>
      <c r="J1395" s="21"/>
      <c r="K1395" s="24"/>
    </row>
    <row r="1396" spans="1:11" ht="15.75" customHeight="1" x14ac:dyDescent="0.25">
      <c r="A1396" s="25" t="s">
        <v>2277</v>
      </c>
      <c r="B1396" s="26" t="s">
        <v>2278</v>
      </c>
      <c r="C1396" s="3" t="s">
        <v>2279</v>
      </c>
      <c r="D1396" s="21"/>
      <c r="E1396" s="21" t="s">
        <v>46</v>
      </c>
      <c r="F1396" s="3" t="s">
        <v>78</v>
      </c>
      <c r="G1396" s="3">
        <v>5</v>
      </c>
      <c r="H1396" s="23"/>
      <c r="I1396" s="124">
        <f t="shared" si="51"/>
        <v>0</v>
      </c>
      <c r="J1396" s="21"/>
      <c r="K1396" s="24"/>
    </row>
    <row r="1397" spans="1:11" ht="15.75" customHeight="1" x14ac:dyDescent="0.25">
      <c r="A1397" s="25" t="s">
        <v>2280</v>
      </c>
      <c r="B1397" s="26" t="s">
        <v>2281</v>
      </c>
      <c r="C1397" s="3" t="s">
        <v>352</v>
      </c>
      <c r="D1397" s="21"/>
      <c r="E1397" s="21" t="s">
        <v>46</v>
      </c>
      <c r="F1397" s="3" t="s">
        <v>78</v>
      </c>
      <c r="G1397" s="3">
        <v>8</v>
      </c>
      <c r="H1397" s="23"/>
      <c r="I1397" s="124">
        <f t="shared" si="51"/>
        <v>0</v>
      </c>
      <c r="J1397" s="21"/>
      <c r="K1397" s="24"/>
    </row>
    <row r="1398" spans="1:11" ht="15.75" customHeight="1" x14ac:dyDescent="0.25">
      <c r="A1398" s="25" t="s">
        <v>2282</v>
      </c>
      <c r="B1398" s="26" t="s">
        <v>2283</v>
      </c>
      <c r="C1398" s="3" t="s">
        <v>352</v>
      </c>
      <c r="D1398" s="21"/>
      <c r="E1398" s="21" t="s">
        <v>46</v>
      </c>
      <c r="F1398" s="3" t="s">
        <v>78</v>
      </c>
      <c r="G1398" s="3">
        <v>7</v>
      </c>
      <c r="H1398" s="23"/>
      <c r="I1398" s="124">
        <f t="shared" si="51"/>
        <v>0</v>
      </c>
      <c r="J1398" s="21"/>
      <c r="K1398" s="24"/>
    </row>
    <row r="1399" spans="1:11" ht="15.75" customHeight="1" x14ac:dyDescent="0.25">
      <c r="A1399" s="25" t="s">
        <v>2284</v>
      </c>
      <c r="B1399" s="26" t="s">
        <v>2285</v>
      </c>
      <c r="C1399" s="3" t="s">
        <v>2286</v>
      </c>
      <c r="D1399" s="21"/>
      <c r="E1399" s="21" t="s">
        <v>46</v>
      </c>
      <c r="F1399" s="3" t="s">
        <v>315</v>
      </c>
      <c r="G1399" s="3">
        <v>0.8</v>
      </c>
      <c r="H1399" s="23"/>
      <c r="I1399" s="124">
        <f t="shared" si="51"/>
        <v>0</v>
      </c>
      <c r="J1399" s="21"/>
      <c r="K1399" s="24"/>
    </row>
    <row r="1400" spans="1:11" ht="15.75" customHeight="1" x14ac:dyDescent="0.25">
      <c r="A1400" s="25" t="s">
        <v>2287</v>
      </c>
      <c r="B1400" s="26" t="s">
        <v>2190</v>
      </c>
      <c r="C1400" s="3" t="s">
        <v>2174</v>
      </c>
      <c r="D1400" s="21"/>
      <c r="E1400" s="21" t="s">
        <v>46</v>
      </c>
      <c r="F1400" s="3" t="s">
        <v>315</v>
      </c>
      <c r="G1400" s="3">
        <v>0.1</v>
      </c>
      <c r="H1400" s="23"/>
      <c r="I1400" s="124">
        <f t="shared" si="51"/>
        <v>0</v>
      </c>
      <c r="J1400" s="21"/>
      <c r="K1400" s="24"/>
    </row>
    <row r="1401" spans="1:11" ht="15.75" customHeight="1" x14ac:dyDescent="0.25">
      <c r="A1401" s="25" t="s">
        <v>2288</v>
      </c>
      <c r="B1401" s="26" t="s">
        <v>2197</v>
      </c>
      <c r="C1401" s="3" t="s">
        <v>2198</v>
      </c>
      <c r="D1401" s="21"/>
      <c r="E1401" s="21" t="s">
        <v>46</v>
      </c>
      <c r="F1401" s="3" t="s">
        <v>2199</v>
      </c>
      <c r="G1401" s="3">
        <v>20</v>
      </c>
      <c r="H1401" s="23">
        <v>180</v>
      </c>
      <c r="I1401" s="124">
        <f t="shared" si="51"/>
        <v>3600</v>
      </c>
      <c r="J1401" s="21"/>
      <c r="K1401" s="24"/>
    </row>
    <row r="1402" spans="1:11" ht="15.75" customHeight="1" x14ac:dyDescent="0.25">
      <c r="A1402" s="25" t="s">
        <v>2289</v>
      </c>
      <c r="B1402" s="26" t="s">
        <v>2290</v>
      </c>
      <c r="C1402" s="3" t="s">
        <v>2291</v>
      </c>
      <c r="D1402" s="21"/>
      <c r="E1402" s="21" t="s">
        <v>46</v>
      </c>
      <c r="F1402" s="3" t="s">
        <v>158</v>
      </c>
      <c r="G1402" s="3">
        <v>110</v>
      </c>
      <c r="H1402" s="23"/>
      <c r="I1402" s="124">
        <f t="shared" si="51"/>
        <v>0</v>
      </c>
      <c r="J1402" s="21"/>
      <c r="K1402" s="24"/>
    </row>
    <row r="1403" spans="1:11" ht="15.75" customHeight="1" x14ac:dyDescent="0.25">
      <c r="A1403" s="25" t="s">
        <v>2292</v>
      </c>
      <c r="B1403" s="26" t="s">
        <v>2205</v>
      </c>
      <c r="C1403" s="3" t="s">
        <v>2206</v>
      </c>
      <c r="D1403" s="21"/>
      <c r="E1403" s="21" t="s">
        <v>46</v>
      </c>
      <c r="F1403" s="3" t="s">
        <v>576</v>
      </c>
      <c r="G1403" s="3">
        <v>40</v>
      </c>
      <c r="H1403" s="23">
        <v>242</v>
      </c>
      <c r="I1403" s="124">
        <f t="shared" si="51"/>
        <v>9680</v>
      </c>
      <c r="J1403" s="21"/>
      <c r="K1403" s="24"/>
    </row>
    <row r="1404" spans="1:11" ht="15.75" customHeight="1" x14ac:dyDescent="0.25">
      <c r="A1404" s="19" t="s">
        <v>375</v>
      </c>
      <c r="B1404" s="20" t="s">
        <v>2293</v>
      </c>
      <c r="C1404" s="21"/>
      <c r="D1404" s="21"/>
      <c r="E1404" s="21"/>
      <c r="F1404" s="22"/>
      <c r="G1404" s="21"/>
      <c r="H1404" s="23"/>
      <c r="I1404" s="124"/>
      <c r="J1404" s="21"/>
      <c r="K1404" s="24"/>
    </row>
    <row r="1405" spans="1:11" ht="34.5" customHeight="1" x14ac:dyDescent="0.25">
      <c r="A1405" s="25" t="s">
        <v>2294</v>
      </c>
      <c r="B1405" s="26" t="s">
        <v>2295</v>
      </c>
      <c r="C1405" s="3" t="s">
        <v>2296</v>
      </c>
      <c r="D1405" s="21"/>
      <c r="E1405" s="21" t="s">
        <v>2297</v>
      </c>
      <c r="F1405" s="3" t="s">
        <v>78</v>
      </c>
      <c r="G1405" s="3">
        <v>2</v>
      </c>
      <c r="H1405" s="23"/>
      <c r="I1405" s="124">
        <f t="shared" ref="I1405:I1416" si="52">H1405*G1405</f>
        <v>0</v>
      </c>
      <c r="J1405" s="21"/>
      <c r="K1405" s="24"/>
    </row>
    <row r="1406" spans="1:11" ht="34.5" customHeight="1" x14ac:dyDescent="0.25">
      <c r="A1406" s="25" t="s">
        <v>2298</v>
      </c>
      <c r="B1406" s="26" t="s">
        <v>2299</v>
      </c>
      <c r="C1406" s="3" t="s">
        <v>2300</v>
      </c>
      <c r="D1406" s="21"/>
      <c r="E1406" s="21" t="s">
        <v>2297</v>
      </c>
      <c r="F1406" s="3" t="s">
        <v>78</v>
      </c>
      <c r="G1406" s="3">
        <v>2</v>
      </c>
      <c r="H1406" s="23"/>
      <c r="I1406" s="124">
        <f t="shared" si="52"/>
        <v>0</v>
      </c>
      <c r="J1406" s="21"/>
      <c r="K1406" s="24" t="s">
        <v>2301</v>
      </c>
    </row>
    <row r="1407" spans="1:11" ht="34.5" customHeight="1" x14ac:dyDescent="0.25">
      <c r="A1407" s="25" t="s">
        <v>2302</v>
      </c>
      <c r="B1407" s="26" t="s">
        <v>2303</v>
      </c>
      <c r="C1407" s="3" t="s">
        <v>2154</v>
      </c>
      <c r="D1407" s="21"/>
      <c r="E1407" s="21" t="s">
        <v>46</v>
      </c>
      <c r="F1407" s="3" t="s">
        <v>89</v>
      </c>
      <c r="G1407" s="3">
        <v>12</v>
      </c>
      <c r="H1407" s="23"/>
      <c r="I1407" s="124">
        <f t="shared" si="52"/>
        <v>0</v>
      </c>
      <c r="J1407" s="21"/>
      <c r="K1407" s="24"/>
    </row>
    <row r="1408" spans="1:11" ht="34.5" customHeight="1" x14ac:dyDescent="0.25">
      <c r="A1408" s="25" t="s">
        <v>2304</v>
      </c>
      <c r="B1408" s="26" t="s">
        <v>2305</v>
      </c>
      <c r="C1408" s="3" t="s">
        <v>2306</v>
      </c>
      <c r="D1408" s="21"/>
      <c r="E1408" s="21" t="s">
        <v>46</v>
      </c>
      <c r="F1408" s="3" t="s">
        <v>89</v>
      </c>
      <c r="G1408" s="3">
        <v>4</v>
      </c>
      <c r="H1408" s="23"/>
      <c r="I1408" s="124">
        <f t="shared" si="52"/>
        <v>0</v>
      </c>
      <c r="J1408" s="21"/>
      <c r="K1408" s="24" t="s">
        <v>2301</v>
      </c>
    </row>
    <row r="1409" spans="1:11" ht="15.75" customHeight="1" x14ac:dyDescent="0.25">
      <c r="A1409" s="25" t="s">
        <v>2307</v>
      </c>
      <c r="B1409" s="26" t="s">
        <v>2308</v>
      </c>
      <c r="C1409" s="3" t="s">
        <v>2309</v>
      </c>
      <c r="D1409" s="21"/>
      <c r="E1409" s="21" t="s">
        <v>46</v>
      </c>
      <c r="F1409" s="3" t="s">
        <v>78</v>
      </c>
      <c r="G1409" s="3">
        <v>4</v>
      </c>
      <c r="H1409" s="23"/>
      <c r="I1409" s="124">
        <f t="shared" si="52"/>
        <v>0</v>
      </c>
      <c r="J1409" s="21"/>
      <c r="K1409" s="24"/>
    </row>
    <row r="1410" spans="1:11" ht="34.5" customHeight="1" x14ac:dyDescent="0.25">
      <c r="A1410" s="25" t="s">
        <v>2310</v>
      </c>
      <c r="B1410" s="26" t="s">
        <v>2311</v>
      </c>
      <c r="C1410" s="3" t="s">
        <v>2309</v>
      </c>
      <c r="D1410" s="21"/>
      <c r="E1410" s="21" t="s">
        <v>46</v>
      </c>
      <c r="F1410" s="3" t="s">
        <v>78</v>
      </c>
      <c r="G1410" s="3">
        <v>4</v>
      </c>
      <c r="H1410" s="23"/>
      <c r="I1410" s="124">
        <f t="shared" si="52"/>
        <v>0</v>
      </c>
      <c r="J1410" s="21"/>
      <c r="K1410" s="24" t="s">
        <v>2301</v>
      </c>
    </row>
    <row r="1411" spans="1:11" ht="15.75" customHeight="1" x14ac:dyDescent="0.25">
      <c r="A1411" s="25" t="s">
        <v>2312</v>
      </c>
      <c r="B1411" s="26" t="s">
        <v>2313</v>
      </c>
      <c r="C1411" s="3" t="s">
        <v>2314</v>
      </c>
      <c r="D1411" s="21"/>
      <c r="E1411" s="21" t="s">
        <v>46</v>
      </c>
      <c r="F1411" s="3" t="s">
        <v>158</v>
      </c>
      <c r="G1411" s="3">
        <v>1</v>
      </c>
      <c r="H1411" s="23"/>
      <c r="I1411" s="124">
        <f t="shared" si="52"/>
        <v>0</v>
      </c>
      <c r="J1411" s="21"/>
      <c r="K1411" s="24" t="s">
        <v>2315</v>
      </c>
    </row>
    <row r="1412" spans="1:11" ht="15.75" customHeight="1" x14ac:dyDescent="0.25">
      <c r="A1412" s="25" t="s">
        <v>2316</v>
      </c>
      <c r="B1412" s="26" t="s">
        <v>2317</v>
      </c>
      <c r="C1412" s="3"/>
      <c r="D1412" s="21"/>
      <c r="E1412" s="21" t="s">
        <v>46</v>
      </c>
      <c r="F1412" s="3" t="s">
        <v>89</v>
      </c>
      <c r="G1412" s="3">
        <v>12</v>
      </c>
      <c r="H1412" s="23"/>
      <c r="I1412" s="124">
        <f t="shared" si="52"/>
        <v>0</v>
      </c>
      <c r="J1412" s="21"/>
      <c r="K1412" s="24"/>
    </row>
    <row r="1413" spans="1:11" ht="15.75" customHeight="1" x14ac:dyDescent="0.25">
      <c r="A1413" s="25" t="s">
        <v>2318</v>
      </c>
      <c r="B1413" s="26" t="s">
        <v>2319</v>
      </c>
      <c r="C1413" s="3"/>
      <c r="D1413" s="21"/>
      <c r="E1413" s="21" t="s">
        <v>46</v>
      </c>
      <c r="F1413" s="3" t="s">
        <v>89</v>
      </c>
      <c r="G1413" s="3">
        <v>4</v>
      </c>
      <c r="H1413" s="23"/>
      <c r="I1413" s="124">
        <f t="shared" si="52"/>
        <v>0</v>
      </c>
      <c r="J1413" s="21"/>
      <c r="K1413" s="24"/>
    </row>
    <row r="1414" spans="1:11" ht="15.75" customHeight="1" x14ac:dyDescent="0.25">
      <c r="A1414" s="25" t="s">
        <v>2320</v>
      </c>
      <c r="B1414" s="26" t="s">
        <v>2321</v>
      </c>
      <c r="C1414" s="3"/>
      <c r="D1414" s="21"/>
      <c r="E1414" s="21" t="s">
        <v>46</v>
      </c>
      <c r="F1414" s="3" t="s">
        <v>576</v>
      </c>
      <c r="G1414" s="3">
        <v>15</v>
      </c>
      <c r="H1414" s="23"/>
      <c r="I1414" s="124">
        <f t="shared" si="52"/>
        <v>0</v>
      </c>
      <c r="J1414" s="21"/>
      <c r="K1414" s="24"/>
    </row>
    <row r="1415" spans="1:11" ht="30" customHeight="1" x14ac:dyDescent="0.25">
      <c r="A1415" s="25" t="s">
        <v>2322</v>
      </c>
      <c r="B1415" s="26" t="s">
        <v>2323</v>
      </c>
      <c r="C1415" s="3" t="s">
        <v>2212</v>
      </c>
      <c r="D1415" s="21"/>
      <c r="E1415" s="21" t="s">
        <v>46</v>
      </c>
      <c r="F1415" s="3" t="s">
        <v>78</v>
      </c>
      <c r="G1415" s="3">
        <v>2</v>
      </c>
      <c r="H1415" s="23"/>
      <c r="I1415" s="124">
        <f t="shared" si="52"/>
        <v>0</v>
      </c>
      <c r="J1415" s="21"/>
      <c r="K1415" s="24"/>
    </row>
    <row r="1416" spans="1:11" ht="34.5" customHeight="1" x14ac:dyDescent="0.25">
      <c r="A1416" s="25" t="s">
        <v>2324</v>
      </c>
      <c r="B1416" s="26" t="s">
        <v>2325</v>
      </c>
      <c r="C1416" s="3"/>
      <c r="D1416" s="21"/>
      <c r="E1416" s="21" t="s">
        <v>46</v>
      </c>
      <c r="F1416" s="3" t="s">
        <v>78</v>
      </c>
      <c r="G1416" s="3">
        <v>1</v>
      </c>
      <c r="H1416" s="23"/>
      <c r="I1416" s="124">
        <f t="shared" si="52"/>
        <v>0</v>
      </c>
      <c r="J1416" s="21"/>
      <c r="K1416" s="24" t="s">
        <v>2326</v>
      </c>
    </row>
    <row r="1417" spans="1:11" ht="15.75" customHeight="1" x14ac:dyDescent="0.25">
      <c r="A1417" s="19" t="s">
        <v>432</v>
      </c>
      <c r="B1417" s="20" t="s">
        <v>2327</v>
      </c>
      <c r="C1417" s="21"/>
      <c r="D1417" s="21"/>
      <c r="E1417" s="21"/>
      <c r="F1417" s="22"/>
      <c r="G1417" s="21"/>
      <c r="H1417" s="23"/>
      <c r="I1417" s="124"/>
      <c r="J1417" s="21"/>
      <c r="K1417" s="24"/>
    </row>
    <row r="1418" spans="1:11" ht="34.5" customHeight="1" x14ac:dyDescent="0.25">
      <c r="A1418" s="25" t="s">
        <v>2328</v>
      </c>
      <c r="B1418" s="26" t="s">
        <v>2295</v>
      </c>
      <c r="C1418" s="3" t="s">
        <v>2296</v>
      </c>
      <c r="D1418" s="21"/>
      <c r="E1418" s="21" t="s">
        <v>2297</v>
      </c>
      <c r="F1418" s="3" t="s">
        <v>78</v>
      </c>
      <c r="G1418" s="3">
        <v>2</v>
      </c>
      <c r="H1418" s="23"/>
      <c r="I1418" s="124">
        <f t="shared" ref="I1418:I1432" si="53">H1418*G1418</f>
        <v>0</v>
      </c>
      <c r="J1418" s="21"/>
      <c r="K1418" s="24"/>
    </row>
    <row r="1419" spans="1:11" ht="34.5" customHeight="1" x14ac:dyDescent="0.25">
      <c r="A1419" s="25" t="s">
        <v>2329</v>
      </c>
      <c r="B1419" s="26" t="s">
        <v>2330</v>
      </c>
      <c r="C1419" s="3" t="s">
        <v>2300</v>
      </c>
      <c r="D1419" s="21"/>
      <c r="E1419" s="21" t="s">
        <v>2297</v>
      </c>
      <c r="F1419" s="3" t="s">
        <v>78</v>
      </c>
      <c r="G1419" s="3">
        <v>4</v>
      </c>
      <c r="H1419" s="23"/>
      <c r="I1419" s="124">
        <f t="shared" si="53"/>
        <v>0</v>
      </c>
      <c r="J1419" s="21"/>
      <c r="K1419" s="24"/>
    </row>
    <row r="1420" spans="1:11" ht="34.5" customHeight="1" x14ac:dyDescent="0.25">
      <c r="A1420" s="25" t="s">
        <v>2331</v>
      </c>
      <c r="B1420" s="26" t="s">
        <v>2303</v>
      </c>
      <c r="C1420" s="3" t="s">
        <v>2154</v>
      </c>
      <c r="D1420" s="21"/>
      <c r="E1420" s="21" t="s">
        <v>46</v>
      </c>
      <c r="F1420" s="3" t="s">
        <v>89</v>
      </c>
      <c r="G1420" s="3">
        <v>6</v>
      </c>
      <c r="H1420" s="23"/>
      <c r="I1420" s="124">
        <f t="shared" si="53"/>
        <v>0</v>
      </c>
      <c r="J1420" s="21"/>
      <c r="K1420" s="24"/>
    </row>
    <row r="1421" spans="1:11" ht="34.5" customHeight="1" x14ac:dyDescent="0.25">
      <c r="A1421" s="25" t="s">
        <v>2332</v>
      </c>
      <c r="B1421" s="26" t="s">
        <v>2333</v>
      </c>
      <c r="C1421" s="3" t="s">
        <v>2154</v>
      </c>
      <c r="D1421" s="21"/>
      <c r="E1421" s="21" t="s">
        <v>46</v>
      </c>
      <c r="F1421" s="3" t="s">
        <v>89</v>
      </c>
      <c r="G1421" s="3">
        <v>6</v>
      </c>
      <c r="H1421" s="23"/>
      <c r="I1421" s="124">
        <f t="shared" si="53"/>
        <v>0</v>
      </c>
      <c r="J1421" s="21"/>
      <c r="K1421" s="24"/>
    </row>
    <row r="1422" spans="1:11" ht="15.75" customHeight="1" x14ac:dyDescent="0.25">
      <c r="A1422" s="25" t="s">
        <v>2334</v>
      </c>
      <c r="B1422" s="26" t="s">
        <v>2335</v>
      </c>
      <c r="C1422" s="3" t="s">
        <v>2309</v>
      </c>
      <c r="D1422" s="21"/>
      <c r="E1422" s="21" t="s">
        <v>46</v>
      </c>
      <c r="F1422" s="3" t="s">
        <v>78</v>
      </c>
      <c r="G1422" s="3">
        <v>6</v>
      </c>
      <c r="H1422" s="23"/>
      <c r="I1422" s="124">
        <f t="shared" si="53"/>
        <v>0</v>
      </c>
      <c r="J1422" s="21"/>
      <c r="K1422" s="24"/>
    </row>
    <row r="1423" spans="1:11" ht="45" customHeight="1" x14ac:dyDescent="0.25">
      <c r="A1423" s="25" t="s">
        <v>2336</v>
      </c>
      <c r="B1423" s="26" t="s">
        <v>2337</v>
      </c>
      <c r="C1423" s="3"/>
      <c r="D1423" s="21"/>
      <c r="E1423" s="21"/>
      <c r="F1423" s="3" t="s">
        <v>47</v>
      </c>
      <c r="G1423" s="3">
        <v>2</v>
      </c>
      <c r="H1423" s="23"/>
      <c r="I1423" s="124">
        <f t="shared" si="53"/>
        <v>0</v>
      </c>
      <c r="J1423" s="21"/>
      <c r="K1423" s="24"/>
    </row>
    <row r="1424" spans="1:11" ht="15.75" customHeight="1" x14ac:dyDescent="0.25">
      <c r="A1424" s="25" t="s">
        <v>2338</v>
      </c>
      <c r="B1424" s="26" t="s">
        <v>2339</v>
      </c>
      <c r="C1424" s="3" t="s">
        <v>2340</v>
      </c>
      <c r="D1424" s="21"/>
      <c r="E1424" s="21" t="s">
        <v>46</v>
      </c>
      <c r="F1424" s="3" t="s">
        <v>78</v>
      </c>
      <c r="G1424" s="3">
        <v>1</v>
      </c>
      <c r="H1424" s="23"/>
      <c r="I1424" s="124">
        <f t="shared" si="53"/>
        <v>0</v>
      </c>
      <c r="J1424" s="21"/>
      <c r="K1424" s="24"/>
    </row>
    <row r="1425" spans="1:11" ht="34.5" customHeight="1" x14ac:dyDescent="0.25">
      <c r="A1425" s="25" t="s">
        <v>2341</v>
      </c>
      <c r="B1425" s="26" t="s">
        <v>2342</v>
      </c>
      <c r="C1425" s="3" t="s">
        <v>2306</v>
      </c>
      <c r="D1425" s="21"/>
      <c r="E1425" s="21" t="s">
        <v>46</v>
      </c>
      <c r="F1425" s="3" t="s">
        <v>89</v>
      </c>
      <c r="G1425" s="3">
        <v>0.1</v>
      </c>
      <c r="H1425" s="23"/>
      <c r="I1425" s="124">
        <f t="shared" si="53"/>
        <v>0</v>
      </c>
      <c r="J1425" s="21"/>
      <c r="K1425" s="24"/>
    </row>
    <row r="1426" spans="1:11" ht="15.75" customHeight="1" x14ac:dyDescent="0.25">
      <c r="A1426" s="25" t="s">
        <v>2343</v>
      </c>
      <c r="B1426" s="26" t="s">
        <v>2344</v>
      </c>
      <c r="C1426" s="3" t="s">
        <v>2309</v>
      </c>
      <c r="D1426" s="21"/>
      <c r="E1426" s="21" t="s">
        <v>46</v>
      </c>
      <c r="F1426" s="3" t="s">
        <v>78</v>
      </c>
      <c r="G1426" s="3">
        <v>1</v>
      </c>
      <c r="H1426" s="23"/>
      <c r="I1426" s="124">
        <f t="shared" si="53"/>
        <v>0</v>
      </c>
      <c r="J1426" s="21"/>
      <c r="K1426" s="24"/>
    </row>
    <row r="1427" spans="1:11" ht="34.5" customHeight="1" x14ac:dyDescent="0.25">
      <c r="A1427" s="25" t="s">
        <v>2345</v>
      </c>
      <c r="B1427" s="26" t="s">
        <v>2346</v>
      </c>
      <c r="C1427" s="3" t="s">
        <v>2300</v>
      </c>
      <c r="D1427" s="21"/>
      <c r="E1427" s="21" t="s">
        <v>2347</v>
      </c>
      <c r="F1427" s="3" t="s">
        <v>78</v>
      </c>
      <c r="G1427" s="3">
        <v>1</v>
      </c>
      <c r="H1427" s="23"/>
      <c r="I1427" s="124">
        <f t="shared" si="53"/>
        <v>0</v>
      </c>
      <c r="J1427" s="21"/>
      <c r="K1427" s="24"/>
    </row>
    <row r="1428" spans="1:11" ht="34.5" customHeight="1" x14ac:dyDescent="0.25">
      <c r="A1428" s="25" t="s">
        <v>2348</v>
      </c>
      <c r="B1428" s="26" t="s">
        <v>2349</v>
      </c>
      <c r="C1428" s="3" t="s">
        <v>2350</v>
      </c>
      <c r="D1428" s="21"/>
      <c r="E1428" s="21" t="s">
        <v>46</v>
      </c>
      <c r="F1428" s="3" t="s">
        <v>78</v>
      </c>
      <c r="G1428" s="3">
        <v>1</v>
      </c>
      <c r="H1428" s="23"/>
      <c r="I1428" s="124">
        <f t="shared" si="53"/>
        <v>0</v>
      </c>
      <c r="J1428" s="21"/>
      <c r="K1428" s="24"/>
    </row>
    <row r="1429" spans="1:11" ht="45" customHeight="1" x14ac:dyDescent="0.25">
      <c r="A1429" s="25" t="s">
        <v>2351</v>
      </c>
      <c r="B1429" s="26" t="s">
        <v>2352</v>
      </c>
      <c r="C1429" s="3" t="s">
        <v>2353</v>
      </c>
      <c r="D1429" s="21"/>
      <c r="E1429" s="21" t="s">
        <v>2354</v>
      </c>
      <c r="F1429" s="3" t="s">
        <v>78</v>
      </c>
      <c r="G1429" s="3">
        <v>1</v>
      </c>
      <c r="H1429" s="23"/>
      <c r="I1429" s="124">
        <f t="shared" si="53"/>
        <v>0</v>
      </c>
      <c r="J1429" s="21"/>
      <c r="K1429" s="24"/>
    </row>
    <row r="1430" spans="1:11" ht="34.5" customHeight="1" x14ac:dyDescent="0.25">
      <c r="A1430" s="25" t="s">
        <v>2355</v>
      </c>
      <c r="B1430" s="26" t="s">
        <v>2356</v>
      </c>
      <c r="C1430" s="3" t="s">
        <v>2357</v>
      </c>
      <c r="D1430" s="21"/>
      <c r="E1430" s="21" t="s">
        <v>2358</v>
      </c>
      <c r="F1430" s="3" t="s">
        <v>78</v>
      </c>
      <c r="G1430" s="3">
        <v>1</v>
      </c>
      <c r="H1430" s="23"/>
      <c r="I1430" s="124">
        <f t="shared" si="53"/>
        <v>0</v>
      </c>
      <c r="J1430" s="21"/>
      <c r="K1430" s="24"/>
    </row>
    <row r="1431" spans="1:11" ht="45" customHeight="1" x14ac:dyDescent="0.25">
      <c r="A1431" s="25" t="s">
        <v>2359</v>
      </c>
      <c r="B1431" s="26" t="s">
        <v>2360</v>
      </c>
      <c r="C1431" s="3" t="s">
        <v>2361</v>
      </c>
      <c r="D1431" s="21"/>
      <c r="E1431" s="21" t="s">
        <v>1917</v>
      </c>
      <c r="F1431" s="3" t="s">
        <v>78</v>
      </c>
      <c r="G1431" s="3">
        <v>1</v>
      </c>
      <c r="H1431" s="23">
        <v>940</v>
      </c>
      <c r="I1431" s="124">
        <f t="shared" si="53"/>
        <v>940</v>
      </c>
      <c r="J1431" s="21"/>
      <c r="K1431" s="24" t="s">
        <v>1931</v>
      </c>
    </row>
    <row r="1432" spans="1:11" ht="34.5" customHeight="1" x14ac:dyDescent="0.25">
      <c r="A1432" s="25" t="s">
        <v>2362</v>
      </c>
      <c r="B1432" s="26" t="s">
        <v>2363</v>
      </c>
      <c r="C1432" s="3" t="s">
        <v>2154</v>
      </c>
      <c r="D1432" s="21"/>
      <c r="E1432" s="21"/>
      <c r="F1432" s="3" t="s">
        <v>78</v>
      </c>
      <c r="G1432" s="3">
        <v>2</v>
      </c>
      <c r="H1432" s="23"/>
      <c r="I1432" s="124">
        <f t="shared" si="53"/>
        <v>0</v>
      </c>
      <c r="J1432" s="21"/>
      <c r="K1432" s="24" t="s">
        <v>2364</v>
      </c>
    </row>
    <row r="1433" spans="1:11" ht="34.5" customHeight="1" x14ac:dyDescent="0.25">
      <c r="A1433" s="25" t="s">
        <v>2365</v>
      </c>
      <c r="B1433" s="26" t="s">
        <v>2366</v>
      </c>
      <c r="C1433" s="3"/>
      <c r="D1433" s="21"/>
      <c r="E1433" s="21" t="s">
        <v>46</v>
      </c>
      <c r="F1433" s="3"/>
      <c r="G1433" s="3"/>
      <c r="H1433" s="23"/>
      <c r="I1433" s="124"/>
      <c r="J1433" s="21"/>
      <c r="K1433" s="24"/>
    </row>
    <row r="1434" spans="1:11" ht="34.5" customHeight="1" x14ac:dyDescent="0.25">
      <c r="A1434" s="25" t="s">
        <v>2367</v>
      </c>
      <c r="B1434" s="26" t="s">
        <v>447</v>
      </c>
      <c r="C1434" s="3" t="s">
        <v>2368</v>
      </c>
      <c r="D1434" s="21"/>
      <c r="E1434" s="21"/>
      <c r="F1434" s="3" t="s">
        <v>2369</v>
      </c>
      <c r="G1434" s="3"/>
      <c r="H1434" s="23"/>
      <c r="I1434" s="124">
        <f>H1434*G1434</f>
        <v>0</v>
      </c>
      <c r="J1434" s="21"/>
      <c r="K1434" s="24" t="s">
        <v>2370</v>
      </c>
    </row>
    <row r="1435" spans="1:11" ht="15.75" customHeight="1" x14ac:dyDescent="0.25">
      <c r="A1435" s="25" t="s">
        <v>2371</v>
      </c>
      <c r="B1435" s="26" t="s">
        <v>2372</v>
      </c>
      <c r="C1435" s="3"/>
      <c r="D1435" s="21"/>
      <c r="E1435" s="21"/>
      <c r="F1435" s="3" t="s">
        <v>158</v>
      </c>
      <c r="G1435" s="3">
        <v>18.079999999999998</v>
      </c>
      <c r="H1435" s="23"/>
      <c r="I1435" s="124"/>
      <c r="J1435" s="21"/>
      <c r="K1435" s="24"/>
    </row>
    <row r="1436" spans="1:11" ht="34.5" customHeight="1" x14ac:dyDescent="0.25">
      <c r="A1436" s="25" t="s">
        <v>2373</v>
      </c>
      <c r="B1436" s="26" t="s">
        <v>2374</v>
      </c>
      <c r="C1436" s="3" t="s">
        <v>2375</v>
      </c>
      <c r="D1436" s="21"/>
      <c r="E1436" s="21"/>
      <c r="F1436" s="3" t="s">
        <v>158</v>
      </c>
      <c r="G1436" s="3">
        <v>9.0399999999999991</v>
      </c>
      <c r="H1436" s="23"/>
      <c r="I1436" s="124">
        <f>H1436*G1436</f>
        <v>0</v>
      </c>
      <c r="J1436" s="21"/>
      <c r="K1436" s="24"/>
    </row>
    <row r="1437" spans="1:11" ht="15.75" customHeight="1" x14ac:dyDescent="0.25">
      <c r="A1437" s="25" t="s">
        <v>2376</v>
      </c>
      <c r="B1437" s="26" t="s">
        <v>2377</v>
      </c>
      <c r="C1437" s="3"/>
      <c r="D1437" s="21"/>
      <c r="E1437" s="21"/>
      <c r="F1437" s="3" t="s">
        <v>158</v>
      </c>
      <c r="G1437" s="3">
        <v>9.0399999999999991</v>
      </c>
      <c r="H1437" s="23"/>
      <c r="I1437" s="124">
        <f>H1437*G1437</f>
        <v>0</v>
      </c>
      <c r="J1437" s="21"/>
      <c r="K1437" s="24"/>
    </row>
    <row r="1438" spans="1:11" ht="34.5" customHeight="1" x14ac:dyDescent="0.25">
      <c r="A1438" s="25" t="s">
        <v>2378</v>
      </c>
      <c r="B1438" s="26" t="s">
        <v>2379</v>
      </c>
      <c r="C1438" s="3"/>
      <c r="D1438" s="21"/>
      <c r="E1438" s="21"/>
      <c r="F1438" s="3" t="s">
        <v>158</v>
      </c>
      <c r="G1438" s="3">
        <v>5.9</v>
      </c>
      <c r="H1438" s="23"/>
      <c r="I1438" s="124"/>
      <c r="J1438" s="21"/>
      <c r="K1438" s="24"/>
    </row>
    <row r="1439" spans="1:11" ht="28.5" customHeight="1" x14ac:dyDescent="0.25">
      <c r="A1439" s="25" t="s">
        <v>2380</v>
      </c>
      <c r="B1439" s="26" t="s">
        <v>2381</v>
      </c>
      <c r="C1439" s="3" t="s">
        <v>2382</v>
      </c>
      <c r="D1439" s="21"/>
      <c r="E1439" s="21"/>
      <c r="F1439" s="3" t="s">
        <v>158</v>
      </c>
      <c r="G1439" s="3">
        <v>2.73</v>
      </c>
      <c r="H1439" s="23"/>
      <c r="I1439" s="124">
        <f t="shared" ref="I1439:I1457" si="54">H1439*G1439</f>
        <v>0</v>
      </c>
      <c r="J1439" s="21"/>
      <c r="K1439" s="24"/>
    </row>
    <row r="1440" spans="1:11" ht="15.75" customHeight="1" x14ac:dyDescent="0.25">
      <c r="A1440" s="25" t="s">
        <v>2383</v>
      </c>
      <c r="B1440" s="26" t="s">
        <v>2377</v>
      </c>
      <c r="C1440" s="3"/>
      <c r="D1440" s="21"/>
      <c r="E1440" s="21"/>
      <c r="F1440" s="3" t="s">
        <v>158</v>
      </c>
      <c r="G1440" s="3">
        <v>2.73</v>
      </c>
      <c r="H1440" s="23"/>
      <c r="I1440" s="124">
        <f t="shared" si="54"/>
        <v>0</v>
      </c>
      <c r="J1440" s="21"/>
      <c r="K1440" s="24"/>
    </row>
    <row r="1441" spans="1:11" ht="15.75" customHeight="1" x14ac:dyDescent="0.25">
      <c r="A1441" s="25" t="s">
        <v>2384</v>
      </c>
      <c r="B1441" s="26" t="s">
        <v>2385</v>
      </c>
      <c r="C1441" s="3"/>
      <c r="D1441" s="21"/>
      <c r="E1441" s="21"/>
      <c r="F1441" s="3" t="s">
        <v>158</v>
      </c>
      <c r="G1441" s="3">
        <v>0.44</v>
      </c>
      <c r="H1441" s="23"/>
      <c r="I1441" s="124">
        <f t="shared" si="54"/>
        <v>0</v>
      </c>
      <c r="J1441" s="21"/>
      <c r="K1441" s="24"/>
    </row>
    <row r="1442" spans="1:11" ht="34.5" customHeight="1" x14ac:dyDescent="0.25">
      <c r="A1442" s="25" t="s">
        <v>2386</v>
      </c>
      <c r="B1442" s="26" t="s">
        <v>2387</v>
      </c>
      <c r="C1442" s="3" t="s">
        <v>2388</v>
      </c>
      <c r="D1442" s="21"/>
      <c r="E1442" s="21"/>
      <c r="F1442" s="3" t="s">
        <v>2369</v>
      </c>
      <c r="G1442" s="3"/>
      <c r="H1442" s="23"/>
      <c r="I1442" s="124">
        <f t="shared" si="54"/>
        <v>0</v>
      </c>
      <c r="J1442" s="21"/>
      <c r="K1442" s="24" t="s">
        <v>2389</v>
      </c>
    </row>
    <row r="1443" spans="1:11" ht="15.75" customHeight="1" x14ac:dyDescent="0.25">
      <c r="A1443" s="25" t="s">
        <v>2390</v>
      </c>
      <c r="B1443" s="26" t="s">
        <v>2391</v>
      </c>
      <c r="C1443" s="3" t="s">
        <v>2392</v>
      </c>
      <c r="D1443" s="21"/>
      <c r="E1443" s="21"/>
      <c r="F1443" s="3" t="s">
        <v>47</v>
      </c>
      <c r="G1443" s="3">
        <v>1</v>
      </c>
      <c r="H1443" s="23"/>
      <c r="I1443" s="124">
        <f t="shared" si="54"/>
        <v>0</v>
      </c>
      <c r="J1443" s="21"/>
      <c r="K1443" s="24"/>
    </row>
    <row r="1444" spans="1:11" ht="34.5" customHeight="1" x14ac:dyDescent="0.25">
      <c r="A1444" s="25" t="s">
        <v>2393</v>
      </c>
      <c r="B1444" s="26" t="s">
        <v>2394</v>
      </c>
      <c r="C1444" s="3" t="s">
        <v>2279</v>
      </c>
      <c r="D1444" s="21"/>
      <c r="E1444" s="21"/>
      <c r="F1444" s="3" t="s">
        <v>78</v>
      </c>
      <c r="G1444" s="3">
        <v>4</v>
      </c>
      <c r="H1444" s="23"/>
      <c r="I1444" s="124">
        <f t="shared" si="54"/>
        <v>0</v>
      </c>
      <c r="J1444" s="21"/>
      <c r="K1444" s="24"/>
    </row>
    <row r="1445" spans="1:11" ht="34.5" customHeight="1" x14ac:dyDescent="0.25">
      <c r="A1445" s="25" t="s">
        <v>2395</v>
      </c>
      <c r="B1445" s="26" t="s">
        <v>2396</v>
      </c>
      <c r="C1445" s="3" t="s">
        <v>2397</v>
      </c>
      <c r="D1445" s="21"/>
      <c r="E1445" s="21"/>
      <c r="F1445" s="3" t="s">
        <v>78</v>
      </c>
      <c r="G1445" s="3">
        <v>4</v>
      </c>
      <c r="H1445" s="23"/>
      <c r="I1445" s="124">
        <f t="shared" si="54"/>
        <v>0</v>
      </c>
      <c r="J1445" s="21"/>
      <c r="K1445" s="24"/>
    </row>
    <row r="1446" spans="1:11" ht="34.5" customHeight="1" x14ac:dyDescent="0.25">
      <c r="A1446" s="25" t="s">
        <v>2398</v>
      </c>
      <c r="B1446" s="26" t="s">
        <v>2399</v>
      </c>
      <c r="C1446" s="3" t="s">
        <v>2400</v>
      </c>
      <c r="D1446" s="21"/>
      <c r="E1446" s="21"/>
      <c r="F1446" s="3" t="s">
        <v>78</v>
      </c>
      <c r="G1446" s="3">
        <v>2</v>
      </c>
      <c r="H1446" s="23"/>
      <c r="I1446" s="124">
        <f t="shared" si="54"/>
        <v>0</v>
      </c>
      <c r="J1446" s="21"/>
      <c r="K1446" s="24"/>
    </row>
    <row r="1447" spans="1:11" ht="15.75" customHeight="1" x14ac:dyDescent="0.25">
      <c r="A1447" s="25" t="s">
        <v>2401</v>
      </c>
      <c r="B1447" s="26" t="s">
        <v>2402</v>
      </c>
      <c r="C1447" s="3" t="s">
        <v>2403</v>
      </c>
      <c r="D1447" s="21"/>
      <c r="E1447" s="21"/>
      <c r="F1447" s="3" t="s">
        <v>78</v>
      </c>
      <c r="G1447" s="3">
        <v>8</v>
      </c>
      <c r="H1447" s="23"/>
      <c r="I1447" s="124">
        <f t="shared" si="54"/>
        <v>0</v>
      </c>
      <c r="J1447" s="21"/>
      <c r="K1447" s="24"/>
    </row>
    <row r="1448" spans="1:11" ht="34.5" customHeight="1" x14ac:dyDescent="0.25">
      <c r="A1448" s="25" t="s">
        <v>2404</v>
      </c>
      <c r="B1448" s="26" t="s">
        <v>2405</v>
      </c>
      <c r="C1448" s="3" t="s">
        <v>2406</v>
      </c>
      <c r="D1448" s="21"/>
      <c r="E1448" s="21"/>
      <c r="F1448" s="3" t="s">
        <v>47</v>
      </c>
      <c r="G1448" s="3">
        <v>1</v>
      </c>
      <c r="H1448" s="23"/>
      <c r="I1448" s="124">
        <f t="shared" si="54"/>
        <v>0</v>
      </c>
      <c r="J1448" s="21"/>
      <c r="K1448" s="24"/>
    </row>
    <row r="1449" spans="1:11" ht="34.5" customHeight="1" x14ac:dyDescent="0.25">
      <c r="A1449" s="25" t="s">
        <v>2407</v>
      </c>
      <c r="B1449" s="26" t="s">
        <v>2408</v>
      </c>
      <c r="C1449" s="3" t="s">
        <v>2409</v>
      </c>
      <c r="D1449" s="21"/>
      <c r="E1449" s="21"/>
      <c r="F1449" s="3" t="s">
        <v>47</v>
      </c>
      <c r="G1449" s="3">
        <v>2</v>
      </c>
      <c r="H1449" s="23"/>
      <c r="I1449" s="124">
        <f t="shared" si="54"/>
        <v>0</v>
      </c>
      <c r="J1449" s="21"/>
      <c r="K1449" s="24"/>
    </row>
    <row r="1450" spans="1:11" ht="34.5" customHeight="1" x14ac:dyDescent="0.25">
      <c r="A1450" s="25" t="s">
        <v>2410</v>
      </c>
      <c r="B1450" s="26" t="s">
        <v>2411</v>
      </c>
      <c r="C1450" s="3" t="s">
        <v>2409</v>
      </c>
      <c r="D1450" s="21"/>
      <c r="E1450" s="21"/>
      <c r="F1450" s="3" t="s">
        <v>47</v>
      </c>
      <c r="G1450" s="3">
        <v>2</v>
      </c>
      <c r="H1450" s="23"/>
      <c r="I1450" s="124">
        <f t="shared" si="54"/>
        <v>0</v>
      </c>
      <c r="J1450" s="21"/>
      <c r="K1450" s="24"/>
    </row>
    <row r="1451" spans="1:11" ht="34.5" customHeight="1" x14ac:dyDescent="0.25">
      <c r="A1451" s="25" t="s">
        <v>2412</v>
      </c>
      <c r="B1451" s="26" t="s">
        <v>2413</v>
      </c>
      <c r="C1451" s="3" t="s">
        <v>2414</v>
      </c>
      <c r="D1451" s="21"/>
      <c r="E1451" s="21" t="s">
        <v>46</v>
      </c>
      <c r="F1451" s="3" t="s">
        <v>47</v>
      </c>
      <c r="G1451" s="3">
        <v>2</v>
      </c>
      <c r="H1451" s="23"/>
      <c r="I1451" s="124">
        <f t="shared" si="54"/>
        <v>0</v>
      </c>
      <c r="J1451" s="21"/>
      <c r="K1451" s="24" t="s">
        <v>2415</v>
      </c>
    </row>
    <row r="1452" spans="1:11" ht="15.75" customHeight="1" x14ac:dyDescent="0.25">
      <c r="A1452" s="25" t="s">
        <v>2416</v>
      </c>
      <c r="B1452" s="26" t="s">
        <v>2417</v>
      </c>
      <c r="C1452" s="3" t="s">
        <v>2418</v>
      </c>
      <c r="D1452" s="21"/>
      <c r="E1452" s="21"/>
      <c r="F1452" s="3" t="s">
        <v>78</v>
      </c>
      <c r="G1452" s="3">
        <v>4</v>
      </c>
      <c r="H1452" s="23"/>
      <c r="I1452" s="124">
        <f t="shared" si="54"/>
        <v>0</v>
      </c>
      <c r="J1452" s="21"/>
      <c r="K1452" s="24"/>
    </row>
    <row r="1453" spans="1:11" ht="15.75" customHeight="1" x14ac:dyDescent="0.25">
      <c r="A1453" s="25" t="s">
        <v>2419</v>
      </c>
      <c r="B1453" s="26" t="s">
        <v>2420</v>
      </c>
      <c r="C1453" s="3" t="s">
        <v>2418</v>
      </c>
      <c r="D1453" s="21"/>
      <c r="E1453" s="21"/>
      <c r="F1453" s="3" t="s">
        <v>78</v>
      </c>
      <c r="G1453" s="3">
        <v>1</v>
      </c>
      <c r="H1453" s="23"/>
      <c r="I1453" s="124">
        <f t="shared" si="54"/>
        <v>0</v>
      </c>
      <c r="J1453" s="21"/>
      <c r="K1453" s="24"/>
    </row>
    <row r="1454" spans="1:11" ht="15.75" customHeight="1" x14ac:dyDescent="0.25">
      <c r="A1454" s="25" t="s">
        <v>2421</v>
      </c>
      <c r="B1454" s="26" t="s">
        <v>2422</v>
      </c>
      <c r="C1454" s="3" t="s">
        <v>2423</v>
      </c>
      <c r="D1454" s="21"/>
      <c r="E1454" s="21"/>
      <c r="F1454" s="3" t="s">
        <v>78</v>
      </c>
      <c r="G1454" s="3">
        <v>1</v>
      </c>
      <c r="H1454" s="23"/>
      <c r="I1454" s="124">
        <f t="shared" si="54"/>
        <v>0</v>
      </c>
      <c r="J1454" s="21"/>
      <c r="K1454" s="24"/>
    </row>
    <row r="1455" spans="1:11" ht="15.75" customHeight="1" x14ac:dyDescent="0.25">
      <c r="A1455" s="25" t="s">
        <v>2424</v>
      </c>
      <c r="B1455" s="26" t="s">
        <v>2425</v>
      </c>
      <c r="C1455" s="3" t="s">
        <v>321</v>
      </c>
      <c r="D1455" s="21"/>
      <c r="E1455" s="21"/>
      <c r="F1455" s="3" t="s">
        <v>315</v>
      </c>
      <c r="G1455" s="3">
        <v>2.4</v>
      </c>
      <c r="H1455" s="23"/>
      <c r="I1455" s="124">
        <f t="shared" si="54"/>
        <v>0</v>
      </c>
      <c r="J1455" s="21"/>
      <c r="K1455" s="24"/>
    </row>
    <row r="1456" spans="1:11" ht="15.75" customHeight="1" x14ac:dyDescent="0.25">
      <c r="A1456" s="25" t="s">
        <v>2426</v>
      </c>
      <c r="B1456" s="26" t="s">
        <v>2173</v>
      </c>
      <c r="C1456" s="3" t="s">
        <v>2174</v>
      </c>
      <c r="D1456" s="21"/>
      <c r="E1456" s="21"/>
      <c r="F1456" s="3" t="s">
        <v>315</v>
      </c>
      <c r="G1456" s="3">
        <v>1.2</v>
      </c>
      <c r="H1456" s="23"/>
      <c r="I1456" s="124">
        <f t="shared" si="54"/>
        <v>0</v>
      </c>
      <c r="J1456" s="21"/>
      <c r="K1456" s="24"/>
    </row>
    <row r="1457" spans="1:11" ht="15.75" customHeight="1" x14ac:dyDescent="0.25">
      <c r="A1457" s="25" t="s">
        <v>2427</v>
      </c>
      <c r="B1457" s="26" t="s">
        <v>2428</v>
      </c>
      <c r="C1457" s="3" t="s">
        <v>2291</v>
      </c>
      <c r="D1457" s="21"/>
      <c r="E1457" s="21"/>
      <c r="F1457" s="3" t="s">
        <v>2429</v>
      </c>
      <c r="G1457" s="3"/>
      <c r="H1457" s="23"/>
      <c r="I1457" s="124">
        <f t="shared" si="54"/>
        <v>0</v>
      </c>
      <c r="J1457" s="21"/>
      <c r="K1457" s="24" t="s">
        <v>2430</v>
      </c>
    </row>
    <row r="1458" spans="1:11" ht="34.5" customHeight="1" x14ac:dyDescent="0.25">
      <c r="A1458" s="19" t="s">
        <v>459</v>
      </c>
      <c r="B1458" s="20" t="s">
        <v>2431</v>
      </c>
      <c r="C1458" s="21"/>
      <c r="D1458" s="21"/>
      <c r="E1458" s="21"/>
      <c r="F1458" s="22"/>
      <c r="G1458" s="21"/>
      <c r="H1458" s="23"/>
      <c r="I1458" s="124"/>
      <c r="J1458" s="21"/>
      <c r="K1458" s="24"/>
    </row>
    <row r="1459" spans="1:11" ht="15.75" customHeight="1" x14ac:dyDescent="0.25">
      <c r="A1459" s="25" t="s">
        <v>2432</v>
      </c>
      <c r="B1459" s="26" t="s">
        <v>2433</v>
      </c>
      <c r="C1459" s="3"/>
      <c r="D1459" s="21"/>
      <c r="E1459" s="21"/>
      <c r="F1459" s="3" t="s">
        <v>315</v>
      </c>
      <c r="G1459" s="3">
        <v>3</v>
      </c>
      <c r="H1459" s="23"/>
      <c r="I1459" s="124">
        <f>H1459*G1459</f>
        <v>0</v>
      </c>
      <c r="J1459" s="21"/>
      <c r="K1459" s="24"/>
    </row>
    <row r="1460" spans="1:11" ht="34.5" customHeight="1" x14ac:dyDescent="0.25">
      <c r="A1460" s="25" t="s">
        <v>2434</v>
      </c>
      <c r="B1460" s="26" t="s">
        <v>2303</v>
      </c>
      <c r="C1460" s="3" t="s">
        <v>2154</v>
      </c>
      <c r="D1460" s="21"/>
      <c r="E1460" s="21" t="s">
        <v>46</v>
      </c>
      <c r="F1460" s="3" t="s">
        <v>89</v>
      </c>
      <c r="G1460" s="3">
        <v>4</v>
      </c>
      <c r="H1460" s="23"/>
      <c r="I1460" s="124">
        <f>H1460*G1460</f>
        <v>0</v>
      </c>
      <c r="J1460" s="21"/>
      <c r="K1460" s="24"/>
    </row>
    <row r="1461" spans="1:11" ht="15.75" customHeight="1" x14ac:dyDescent="0.25">
      <c r="A1461" s="25" t="s">
        <v>2435</v>
      </c>
      <c r="B1461" s="26" t="s">
        <v>2436</v>
      </c>
      <c r="C1461" s="3" t="s">
        <v>2309</v>
      </c>
      <c r="D1461" s="21"/>
      <c r="E1461" s="21" t="s">
        <v>46</v>
      </c>
      <c r="F1461" s="3" t="s">
        <v>78</v>
      </c>
      <c r="G1461" s="3">
        <v>2</v>
      </c>
      <c r="H1461" s="23"/>
      <c r="I1461" s="124">
        <f>H1461*G1461</f>
        <v>0</v>
      </c>
      <c r="J1461" s="21"/>
      <c r="K1461" s="24"/>
    </row>
    <row r="1462" spans="1:11" ht="28.5" customHeight="1" x14ac:dyDescent="0.25">
      <c r="A1462" s="25" t="s">
        <v>2437</v>
      </c>
      <c r="B1462" s="26" t="s">
        <v>2366</v>
      </c>
      <c r="C1462" s="3"/>
      <c r="D1462" s="21"/>
      <c r="E1462" s="21" t="s">
        <v>46</v>
      </c>
      <c r="F1462" s="3"/>
      <c r="G1462" s="3"/>
      <c r="H1462" s="23"/>
      <c r="I1462" s="124"/>
      <c r="J1462" s="21"/>
      <c r="K1462" s="24"/>
    </row>
    <row r="1463" spans="1:11" ht="15.75" customHeight="1" x14ac:dyDescent="0.25">
      <c r="A1463" s="25" t="s">
        <v>2438</v>
      </c>
      <c r="B1463" s="26" t="s">
        <v>447</v>
      </c>
      <c r="C1463" s="3" t="s">
        <v>2368</v>
      </c>
      <c r="D1463" s="21"/>
      <c r="E1463" s="21"/>
      <c r="F1463" s="3" t="s">
        <v>2369</v>
      </c>
      <c r="G1463" s="3"/>
      <c r="H1463" s="23"/>
      <c r="I1463" s="124">
        <f>H1463*G1463</f>
        <v>0</v>
      </c>
      <c r="J1463" s="21"/>
      <c r="K1463" s="24" t="s">
        <v>2439</v>
      </c>
    </row>
    <row r="1464" spans="1:11" ht="15.75" customHeight="1" x14ac:dyDescent="0.25">
      <c r="A1464" s="25" t="s">
        <v>2440</v>
      </c>
      <c r="B1464" s="26" t="s">
        <v>2372</v>
      </c>
      <c r="C1464" s="3"/>
      <c r="D1464" s="21"/>
      <c r="E1464" s="21"/>
      <c r="F1464" s="3" t="s">
        <v>158</v>
      </c>
      <c r="G1464" s="3">
        <v>8.6199999999999992</v>
      </c>
      <c r="H1464" s="23"/>
      <c r="I1464" s="124"/>
      <c r="J1464" s="21"/>
      <c r="K1464" s="24"/>
    </row>
    <row r="1465" spans="1:11" ht="15.75" customHeight="1" x14ac:dyDescent="0.25">
      <c r="A1465" s="25" t="s">
        <v>2441</v>
      </c>
      <c r="B1465" s="26" t="s">
        <v>2374</v>
      </c>
      <c r="C1465" s="3" t="s">
        <v>2375</v>
      </c>
      <c r="D1465" s="21"/>
      <c r="E1465" s="21"/>
      <c r="F1465" s="3" t="s">
        <v>158</v>
      </c>
      <c r="G1465" s="3">
        <v>4.3099999999999996</v>
      </c>
      <c r="H1465" s="23"/>
      <c r="I1465" s="124">
        <f>H1465*G1465</f>
        <v>0</v>
      </c>
      <c r="J1465" s="21"/>
      <c r="K1465" s="24"/>
    </row>
    <row r="1466" spans="1:11" ht="15.75" customHeight="1" x14ac:dyDescent="0.25">
      <c r="A1466" s="25" t="s">
        <v>2442</v>
      </c>
      <c r="B1466" s="26" t="s">
        <v>2377</v>
      </c>
      <c r="C1466" s="3"/>
      <c r="D1466" s="21"/>
      <c r="E1466" s="21"/>
      <c r="F1466" s="3" t="s">
        <v>158</v>
      </c>
      <c r="G1466" s="3">
        <v>4.3099999999999996</v>
      </c>
      <c r="H1466" s="23"/>
      <c r="I1466" s="124">
        <f>H1466*G1466</f>
        <v>0</v>
      </c>
      <c r="J1466" s="21"/>
      <c r="K1466" s="24"/>
    </row>
    <row r="1467" spans="1:11" ht="34.5" customHeight="1" x14ac:dyDescent="0.25">
      <c r="A1467" s="25" t="s">
        <v>2443</v>
      </c>
      <c r="B1467" s="26" t="s">
        <v>2379</v>
      </c>
      <c r="C1467" s="3"/>
      <c r="D1467" s="21"/>
      <c r="E1467" s="21"/>
      <c r="F1467" s="3" t="s">
        <v>158</v>
      </c>
      <c r="G1467" s="3">
        <v>2.81</v>
      </c>
      <c r="H1467" s="23"/>
      <c r="I1467" s="124"/>
      <c r="J1467" s="21"/>
      <c r="K1467" s="24"/>
    </row>
    <row r="1468" spans="1:11" ht="15.75" customHeight="1" x14ac:dyDescent="0.25">
      <c r="A1468" s="25" t="s">
        <v>2444</v>
      </c>
      <c r="B1468" s="26" t="s">
        <v>2381</v>
      </c>
      <c r="C1468" s="3" t="s">
        <v>2382</v>
      </c>
      <c r="D1468" s="21"/>
      <c r="E1468" s="21"/>
      <c r="F1468" s="3" t="s">
        <v>158</v>
      </c>
      <c r="G1468" s="3">
        <v>1.3</v>
      </c>
      <c r="H1468" s="23"/>
      <c r="I1468" s="124">
        <f t="shared" ref="I1468:I1473" si="55">H1468*G1468</f>
        <v>0</v>
      </c>
      <c r="J1468" s="21"/>
      <c r="K1468" s="24"/>
    </row>
    <row r="1469" spans="1:11" ht="15.75" customHeight="1" x14ac:dyDescent="0.25">
      <c r="A1469" s="25" t="s">
        <v>2445</v>
      </c>
      <c r="B1469" s="26" t="s">
        <v>2377</v>
      </c>
      <c r="C1469" s="3"/>
      <c r="D1469" s="21"/>
      <c r="E1469" s="21"/>
      <c r="F1469" s="3" t="s">
        <v>158</v>
      </c>
      <c r="G1469" s="3">
        <v>1.3</v>
      </c>
      <c r="H1469" s="23"/>
      <c r="I1469" s="124">
        <f t="shared" si="55"/>
        <v>0</v>
      </c>
      <c r="J1469" s="21"/>
      <c r="K1469" s="24"/>
    </row>
    <row r="1470" spans="1:11" ht="15.75" customHeight="1" x14ac:dyDescent="0.25">
      <c r="A1470" s="25" t="s">
        <v>2446</v>
      </c>
      <c r="B1470" s="26" t="s">
        <v>2385</v>
      </c>
      <c r="C1470" s="3"/>
      <c r="D1470" s="21"/>
      <c r="E1470" s="21"/>
      <c r="F1470" s="3" t="s">
        <v>158</v>
      </c>
      <c r="G1470" s="3">
        <v>0.21</v>
      </c>
      <c r="H1470" s="23"/>
      <c r="I1470" s="124">
        <f t="shared" si="55"/>
        <v>0</v>
      </c>
      <c r="J1470" s="21"/>
      <c r="K1470" s="24"/>
    </row>
    <row r="1471" spans="1:11" ht="15.75" customHeight="1" x14ac:dyDescent="0.25">
      <c r="A1471" s="25" t="s">
        <v>2447</v>
      </c>
      <c r="B1471" s="26" t="s">
        <v>2387</v>
      </c>
      <c r="C1471" s="3" t="s">
        <v>2388</v>
      </c>
      <c r="D1471" s="21"/>
      <c r="E1471" s="21"/>
      <c r="F1471" s="3" t="s">
        <v>2369</v>
      </c>
      <c r="G1471" s="3"/>
      <c r="H1471" s="23"/>
      <c r="I1471" s="124">
        <f t="shared" si="55"/>
        <v>0</v>
      </c>
      <c r="J1471" s="21"/>
      <c r="K1471" s="24" t="s">
        <v>2448</v>
      </c>
    </row>
    <row r="1472" spans="1:11" ht="34.5" customHeight="1" x14ac:dyDescent="0.25">
      <c r="A1472" s="25" t="s">
        <v>2449</v>
      </c>
      <c r="B1472" s="26" t="s">
        <v>2413</v>
      </c>
      <c r="C1472" s="3" t="s">
        <v>2414</v>
      </c>
      <c r="D1472" s="21"/>
      <c r="E1472" s="21" t="s">
        <v>46</v>
      </c>
      <c r="F1472" s="3" t="s">
        <v>47</v>
      </c>
      <c r="G1472" s="3">
        <v>2</v>
      </c>
      <c r="H1472" s="23"/>
      <c r="I1472" s="124">
        <f t="shared" si="55"/>
        <v>0</v>
      </c>
      <c r="J1472" s="21"/>
      <c r="K1472" s="24" t="s">
        <v>1938</v>
      </c>
    </row>
    <row r="1473" spans="1:11" ht="34.5" customHeight="1" x14ac:dyDescent="0.25">
      <c r="A1473" s="25" t="s">
        <v>2450</v>
      </c>
      <c r="B1473" s="26" t="s">
        <v>2451</v>
      </c>
      <c r="C1473" s="3" t="s">
        <v>2452</v>
      </c>
      <c r="D1473" s="21"/>
      <c r="E1473" s="21" t="s">
        <v>46</v>
      </c>
      <c r="F1473" s="3" t="s">
        <v>89</v>
      </c>
      <c r="G1473" s="3">
        <v>2</v>
      </c>
      <c r="H1473" s="23"/>
      <c r="I1473" s="124">
        <f t="shared" si="55"/>
        <v>0</v>
      </c>
      <c r="J1473" s="21"/>
      <c r="K1473" s="24" t="s">
        <v>2453</v>
      </c>
    </row>
    <row r="1474" spans="1:11" ht="15.75" customHeight="1" x14ac:dyDescent="0.25">
      <c r="A1474" s="19" t="s">
        <v>485</v>
      </c>
      <c r="B1474" s="20" t="s">
        <v>2454</v>
      </c>
      <c r="C1474" s="21"/>
      <c r="D1474" s="21"/>
      <c r="E1474" s="21"/>
      <c r="F1474" s="22"/>
      <c r="G1474" s="21"/>
      <c r="H1474" s="23"/>
      <c r="I1474" s="124"/>
      <c r="J1474" s="21"/>
      <c r="K1474" s="24"/>
    </row>
    <row r="1475" spans="1:11" ht="34.5" customHeight="1" x14ac:dyDescent="0.25">
      <c r="A1475" s="25" t="s">
        <v>40</v>
      </c>
      <c r="B1475" s="26" t="s">
        <v>2455</v>
      </c>
      <c r="C1475" s="3" t="s">
        <v>2456</v>
      </c>
      <c r="D1475" s="21"/>
      <c r="E1475" s="21" t="s">
        <v>2297</v>
      </c>
      <c r="F1475" s="3" t="s">
        <v>78</v>
      </c>
      <c r="G1475" s="3">
        <v>2</v>
      </c>
      <c r="H1475" s="23"/>
      <c r="I1475" s="124">
        <f t="shared" ref="I1475:I1507" si="56">H1475*G1475</f>
        <v>0</v>
      </c>
      <c r="J1475" s="21">
        <v>13.3</v>
      </c>
      <c r="K1475" s="24"/>
    </row>
    <row r="1476" spans="1:11" ht="34.5" customHeight="1" x14ac:dyDescent="0.25">
      <c r="A1476" s="25" t="s">
        <v>346</v>
      </c>
      <c r="B1476" s="26" t="s">
        <v>2299</v>
      </c>
      <c r="C1476" s="3" t="s">
        <v>2300</v>
      </c>
      <c r="D1476" s="21"/>
      <c r="E1476" s="21" t="s">
        <v>2297</v>
      </c>
      <c r="F1476" s="3" t="s">
        <v>78</v>
      </c>
      <c r="G1476" s="3">
        <v>2</v>
      </c>
      <c r="H1476" s="23"/>
      <c r="I1476" s="124">
        <f t="shared" si="56"/>
        <v>0</v>
      </c>
      <c r="J1476" s="21">
        <v>1.4</v>
      </c>
      <c r="K1476" s="24"/>
    </row>
    <row r="1477" spans="1:11" ht="45" customHeight="1" x14ac:dyDescent="0.25">
      <c r="A1477" s="25" t="s">
        <v>489</v>
      </c>
      <c r="B1477" s="26" t="s">
        <v>2457</v>
      </c>
      <c r="C1477" s="3"/>
      <c r="D1477" s="21"/>
      <c r="E1477" s="21"/>
      <c r="F1477" s="3" t="s">
        <v>47</v>
      </c>
      <c r="G1477" s="3">
        <v>2</v>
      </c>
      <c r="H1477" s="23"/>
      <c r="I1477" s="124">
        <f t="shared" si="56"/>
        <v>0</v>
      </c>
      <c r="J1477" s="21"/>
      <c r="K1477" s="24"/>
    </row>
    <row r="1478" spans="1:11" ht="15.75" customHeight="1" x14ac:dyDescent="0.25">
      <c r="A1478" s="25" t="s">
        <v>2458</v>
      </c>
      <c r="B1478" s="26" t="s">
        <v>2339</v>
      </c>
      <c r="C1478" s="3" t="s">
        <v>2340</v>
      </c>
      <c r="D1478" s="21"/>
      <c r="E1478" s="21" t="s">
        <v>46</v>
      </c>
      <c r="F1478" s="3" t="s">
        <v>78</v>
      </c>
      <c r="G1478" s="3">
        <v>1</v>
      </c>
      <c r="H1478" s="23"/>
      <c r="I1478" s="124">
        <f t="shared" si="56"/>
        <v>0</v>
      </c>
      <c r="J1478" s="21"/>
      <c r="K1478" s="24"/>
    </row>
    <row r="1479" spans="1:11" ht="34.5" customHeight="1" x14ac:dyDescent="0.25">
      <c r="A1479" s="25" t="s">
        <v>2459</v>
      </c>
      <c r="B1479" s="26" t="s">
        <v>2342</v>
      </c>
      <c r="C1479" s="3" t="s">
        <v>2306</v>
      </c>
      <c r="D1479" s="21"/>
      <c r="E1479" s="21" t="s">
        <v>46</v>
      </c>
      <c r="F1479" s="3" t="s">
        <v>89</v>
      </c>
      <c r="G1479" s="3">
        <v>0.1</v>
      </c>
      <c r="H1479" s="23"/>
      <c r="I1479" s="124">
        <f t="shared" si="56"/>
        <v>0</v>
      </c>
      <c r="J1479" s="21"/>
      <c r="K1479" s="24"/>
    </row>
    <row r="1480" spans="1:11" ht="15.75" customHeight="1" x14ac:dyDescent="0.25">
      <c r="A1480" s="25" t="s">
        <v>2460</v>
      </c>
      <c r="B1480" s="26" t="s">
        <v>2344</v>
      </c>
      <c r="C1480" s="3" t="s">
        <v>2309</v>
      </c>
      <c r="D1480" s="21"/>
      <c r="E1480" s="21" t="s">
        <v>46</v>
      </c>
      <c r="F1480" s="3" t="s">
        <v>78</v>
      </c>
      <c r="G1480" s="3">
        <v>1</v>
      </c>
      <c r="H1480" s="23"/>
      <c r="I1480" s="124">
        <f t="shared" si="56"/>
        <v>0</v>
      </c>
      <c r="J1480" s="21"/>
      <c r="K1480" s="24"/>
    </row>
    <row r="1481" spans="1:11" ht="34.5" customHeight="1" x14ac:dyDescent="0.25">
      <c r="A1481" s="25" t="s">
        <v>2461</v>
      </c>
      <c r="B1481" s="26" t="s">
        <v>2346</v>
      </c>
      <c r="C1481" s="3" t="s">
        <v>2300</v>
      </c>
      <c r="D1481" s="21"/>
      <c r="E1481" s="21" t="s">
        <v>2347</v>
      </c>
      <c r="F1481" s="3" t="s">
        <v>78</v>
      </c>
      <c r="G1481" s="3">
        <v>1</v>
      </c>
      <c r="H1481" s="23"/>
      <c r="I1481" s="124">
        <f t="shared" si="56"/>
        <v>0</v>
      </c>
      <c r="J1481" s="21"/>
      <c r="K1481" s="24"/>
    </row>
    <row r="1482" spans="1:11" ht="34.5" customHeight="1" x14ac:dyDescent="0.25">
      <c r="A1482" s="25" t="s">
        <v>2462</v>
      </c>
      <c r="B1482" s="26" t="s">
        <v>2349</v>
      </c>
      <c r="C1482" s="3" t="s">
        <v>2350</v>
      </c>
      <c r="D1482" s="21"/>
      <c r="E1482" s="21" t="s">
        <v>46</v>
      </c>
      <c r="F1482" s="3" t="s">
        <v>78</v>
      </c>
      <c r="G1482" s="3">
        <v>1</v>
      </c>
      <c r="H1482" s="23"/>
      <c r="I1482" s="124">
        <f t="shared" si="56"/>
        <v>0</v>
      </c>
      <c r="J1482" s="21"/>
      <c r="K1482" s="24"/>
    </row>
    <row r="1483" spans="1:11" ht="45" customHeight="1" x14ac:dyDescent="0.25">
      <c r="A1483" s="25" t="s">
        <v>2463</v>
      </c>
      <c r="B1483" s="26" t="s">
        <v>2352</v>
      </c>
      <c r="C1483" s="3" t="s">
        <v>2353</v>
      </c>
      <c r="D1483" s="21"/>
      <c r="E1483" s="21" t="s">
        <v>2354</v>
      </c>
      <c r="F1483" s="3" t="s">
        <v>78</v>
      </c>
      <c r="G1483" s="3">
        <v>1</v>
      </c>
      <c r="H1483" s="23"/>
      <c r="I1483" s="124">
        <f t="shared" si="56"/>
        <v>0</v>
      </c>
      <c r="J1483" s="21"/>
      <c r="K1483" s="24"/>
    </row>
    <row r="1484" spans="1:11" ht="34.5" customHeight="1" x14ac:dyDescent="0.25">
      <c r="A1484" s="25" t="s">
        <v>2464</v>
      </c>
      <c r="B1484" s="26" t="s">
        <v>2356</v>
      </c>
      <c r="C1484" s="3" t="s">
        <v>2357</v>
      </c>
      <c r="D1484" s="21"/>
      <c r="E1484" s="21" t="s">
        <v>2358</v>
      </c>
      <c r="F1484" s="3" t="s">
        <v>78</v>
      </c>
      <c r="G1484" s="3">
        <v>1</v>
      </c>
      <c r="H1484" s="23"/>
      <c r="I1484" s="124">
        <f t="shared" si="56"/>
        <v>0</v>
      </c>
      <c r="J1484" s="21"/>
      <c r="K1484" s="24"/>
    </row>
    <row r="1485" spans="1:11" ht="45" customHeight="1" x14ac:dyDescent="0.25">
      <c r="A1485" s="25" t="s">
        <v>2465</v>
      </c>
      <c r="B1485" s="26" t="s">
        <v>2360</v>
      </c>
      <c r="C1485" s="3" t="s">
        <v>2361</v>
      </c>
      <c r="D1485" s="21"/>
      <c r="E1485" s="21" t="s">
        <v>1917</v>
      </c>
      <c r="F1485" s="3" t="s">
        <v>78</v>
      </c>
      <c r="G1485" s="3">
        <v>1</v>
      </c>
      <c r="H1485" s="23">
        <v>940</v>
      </c>
      <c r="I1485" s="124">
        <f t="shared" si="56"/>
        <v>940</v>
      </c>
      <c r="J1485" s="21"/>
      <c r="K1485" s="24" t="s">
        <v>1931</v>
      </c>
    </row>
    <row r="1486" spans="1:11" ht="34.5" customHeight="1" x14ac:dyDescent="0.25">
      <c r="A1486" s="25" t="s">
        <v>2466</v>
      </c>
      <c r="B1486" s="26" t="s">
        <v>2303</v>
      </c>
      <c r="C1486" s="3" t="s">
        <v>2154</v>
      </c>
      <c r="D1486" s="21"/>
      <c r="E1486" s="21" t="s">
        <v>46</v>
      </c>
      <c r="F1486" s="3" t="s">
        <v>89</v>
      </c>
      <c r="G1486" s="3">
        <v>7.8</v>
      </c>
      <c r="H1486" s="23"/>
      <c r="I1486" s="124">
        <f t="shared" si="56"/>
        <v>0</v>
      </c>
      <c r="J1486" s="21">
        <v>22.64</v>
      </c>
      <c r="K1486" s="24"/>
    </row>
    <row r="1487" spans="1:11" ht="34.5" customHeight="1" x14ac:dyDescent="0.25">
      <c r="A1487" s="25" t="s">
        <v>2467</v>
      </c>
      <c r="B1487" s="26" t="s">
        <v>2468</v>
      </c>
      <c r="C1487" s="3" t="s">
        <v>2154</v>
      </c>
      <c r="D1487" s="21"/>
      <c r="E1487" s="21" t="s">
        <v>46</v>
      </c>
      <c r="F1487" s="3" t="s">
        <v>89</v>
      </c>
      <c r="G1487" s="3">
        <v>0.3</v>
      </c>
      <c r="H1487" s="23"/>
      <c r="I1487" s="124">
        <f t="shared" si="56"/>
        <v>0</v>
      </c>
      <c r="J1487" s="21">
        <v>12.28</v>
      </c>
      <c r="K1487" s="24"/>
    </row>
    <row r="1488" spans="1:11" ht="34.5" customHeight="1" x14ac:dyDescent="0.25">
      <c r="A1488" s="25" t="s">
        <v>2469</v>
      </c>
      <c r="B1488" s="26" t="s">
        <v>2305</v>
      </c>
      <c r="C1488" s="3" t="s">
        <v>2306</v>
      </c>
      <c r="D1488" s="21"/>
      <c r="E1488" s="21" t="s">
        <v>46</v>
      </c>
      <c r="F1488" s="3" t="s">
        <v>89</v>
      </c>
      <c r="G1488" s="3">
        <v>3.8</v>
      </c>
      <c r="H1488" s="23"/>
      <c r="I1488" s="124">
        <f t="shared" si="56"/>
        <v>0</v>
      </c>
      <c r="J1488" s="21">
        <v>4.5599999999999996</v>
      </c>
      <c r="K1488" s="24"/>
    </row>
    <row r="1489" spans="1:11" ht="15.75" customHeight="1" x14ac:dyDescent="0.25">
      <c r="A1489" s="25" t="s">
        <v>2470</v>
      </c>
      <c r="B1489" s="26" t="s">
        <v>2308</v>
      </c>
      <c r="C1489" s="3" t="s">
        <v>2309</v>
      </c>
      <c r="D1489" s="21"/>
      <c r="E1489" s="21" t="s">
        <v>46</v>
      </c>
      <c r="F1489" s="3" t="s">
        <v>78</v>
      </c>
      <c r="G1489" s="3">
        <v>4</v>
      </c>
      <c r="H1489" s="23"/>
      <c r="I1489" s="124">
        <f t="shared" si="56"/>
        <v>0</v>
      </c>
      <c r="J1489" s="21">
        <v>8.1</v>
      </c>
      <c r="K1489" s="24"/>
    </row>
    <row r="1490" spans="1:11" ht="15.75" customHeight="1" x14ac:dyDescent="0.25">
      <c r="A1490" s="25" t="s">
        <v>2471</v>
      </c>
      <c r="B1490" s="26" t="s">
        <v>2311</v>
      </c>
      <c r="C1490" s="3" t="s">
        <v>2309</v>
      </c>
      <c r="D1490" s="21"/>
      <c r="E1490" s="21" t="s">
        <v>46</v>
      </c>
      <c r="F1490" s="3" t="s">
        <v>78</v>
      </c>
      <c r="G1490" s="3">
        <v>4</v>
      </c>
      <c r="H1490" s="23"/>
      <c r="I1490" s="124">
        <f t="shared" si="56"/>
        <v>0</v>
      </c>
      <c r="J1490" s="21">
        <v>0.35</v>
      </c>
      <c r="K1490" s="24"/>
    </row>
    <row r="1491" spans="1:11" ht="34.5" customHeight="1" x14ac:dyDescent="0.25">
      <c r="A1491" s="25" t="s">
        <v>2472</v>
      </c>
      <c r="B1491" s="26" t="s">
        <v>2473</v>
      </c>
      <c r="C1491" s="3" t="s">
        <v>2474</v>
      </c>
      <c r="D1491" s="21"/>
      <c r="E1491" s="21" t="s">
        <v>46</v>
      </c>
      <c r="F1491" s="3" t="s">
        <v>78</v>
      </c>
      <c r="G1491" s="3">
        <v>2</v>
      </c>
      <c r="H1491" s="23"/>
      <c r="I1491" s="124">
        <f t="shared" si="56"/>
        <v>0</v>
      </c>
      <c r="J1491" s="21">
        <v>10.5</v>
      </c>
      <c r="K1491" s="24"/>
    </row>
    <row r="1492" spans="1:11" ht="34.5" customHeight="1" x14ac:dyDescent="0.25">
      <c r="A1492" s="25" t="s">
        <v>2475</v>
      </c>
      <c r="B1492" s="26" t="s">
        <v>2476</v>
      </c>
      <c r="C1492" s="3" t="s">
        <v>2474</v>
      </c>
      <c r="D1492" s="21"/>
      <c r="E1492" s="21" t="s">
        <v>46</v>
      </c>
      <c r="F1492" s="3" t="s">
        <v>78</v>
      </c>
      <c r="G1492" s="3">
        <v>2</v>
      </c>
      <c r="H1492" s="23"/>
      <c r="I1492" s="124">
        <f t="shared" si="56"/>
        <v>0</v>
      </c>
      <c r="J1492" s="21">
        <v>4.0599999999999996</v>
      </c>
      <c r="K1492" s="24"/>
    </row>
    <row r="1493" spans="1:11" ht="15.75" customHeight="1" x14ac:dyDescent="0.25">
      <c r="A1493" s="25" t="s">
        <v>2477</v>
      </c>
      <c r="B1493" s="26" t="s">
        <v>2478</v>
      </c>
      <c r="C1493" s="3" t="s">
        <v>2479</v>
      </c>
      <c r="D1493" s="21"/>
      <c r="E1493" s="21" t="s">
        <v>46</v>
      </c>
      <c r="F1493" s="3" t="s">
        <v>78</v>
      </c>
      <c r="G1493" s="3">
        <v>2</v>
      </c>
      <c r="H1493" s="23"/>
      <c r="I1493" s="124">
        <f t="shared" si="56"/>
        <v>0</v>
      </c>
      <c r="J1493" s="21">
        <v>3.7</v>
      </c>
      <c r="K1493" s="24"/>
    </row>
    <row r="1494" spans="1:11" ht="15.75" customHeight="1" x14ac:dyDescent="0.25">
      <c r="A1494" s="25" t="s">
        <v>2480</v>
      </c>
      <c r="B1494" s="26" t="s">
        <v>2481</v>
      </c>
      <c r="C1494" s="3" t="s">
        <v>2482</v>
      </c>
      <c r="D1494" s="21"/>
      <c r="E1494" s="21" t="s">
        <v>46</v>
      </c>
      <c r="F1494" s="3" t="s">
        <v>78</v>
      </c>
      <c r="G1494" s="3">
        <v>2</v>
      </c>
      <c r="H1494" s="23"/>
      <c r="I1494" s="124">
        <f t="shared" si="56"/>
        <v>0</v>
      </c>
      <c r="J1494" s="21"/>
      <c r="K1494" s="24"/>
    </row>
    <row r="1495" spans="1:11" ht="15.75" customHeight="1" x14ac:dyDescent="0.25">
      <c r="A1495" s="25" t="s">
        <v>2483</v>
      </c>
      <c r="B1495" s="26" t="s">
        <v>2484</v>
      </c>
      <c r="C1495" s="3" t="s">
        <v>2154</v>
      </c>
      <c r="D1495" s="21"/>
      <c r="E1495" s="21" t="s">
        <v>46</v>
      </c>
      <c r="F1495" s="3" t="s">
        <v>78</v>
      </c>
      <c r="G1495" s="3">
        <v>2</v>
      </c>
      <c r="H1495" s="23"/>
      <c r="I1495" s="124">
        <f t="shared" si="56"/>
        <v>0</v>
      </c>
      <c r="J1495" s="21"/>
      <c r="K1495" s="24"/>
    </row>
    <row r="1496" spans="1:11" ht="15.75" customHeight="1" x14ac:dyDescent="0.25">
      <c r="A1496" s="25" t="s">
        <v>2485</v>
      </c>
      <c r="B1496" s="26" t="s">
        <v>2486</v>
      </c>
      <c r="C1496" s="3" t="s">
        <v>2487</v>
      </c>
      <c r="D1496" s="21"/>
      <c r="E1496" s="21" t="s">
        <v>46</v>
      </c>
      <c r="F1496" s="3" t="s">
        <v>158</v>
      </c>
      <c r="G1496" s="3">
        <v>1</v>
      </c>
      <c r="H1496" s="23"/>
      <c r="I1496" s="124">
        <f t="shared" si="56"/>
        <v>0</v>
      </c>
      <c r="J1496" s="21"/>
      <c r="K1496" s="24" t="s">
        <v>2315</v>
      </c>
    </row>
    <row r="1497" spans="1:11" ht="34.5" customHeight="1" x14ac:dyDescent="0.25">
      <c r="A1497" s="25" t="s">
        <v>2488</v>
      </c>
      <c r="B1497" s="26" t="s">
        <v>2489</v>
      </c>
      <c r="C1497" s="3" t="s">
        <v>2490</v>
      </c>
      <c r="D1497" s="21"/>
      <c r="E1497" s="21" t="s">
        <v>46</v>
      </c>
      <c r="F1497" s="3" t="s">
        <v>89</v>
      </c>
      <c r="G1497" s="3">
        <v>7.8</v>
      </c>
      <c r="H1497" s="23"/>
      <c r="I1497" s="124">
        <f t="shared" si="56"/>
        <v>0</v>
      </c>
      <c r="J1497" s="21"/>
      <c r="K1497" s="24"/>
    </row>
    <row r="1498" spans="1:11" ht="34.5" customHeight="1" x14ac:dyDescent="0.25">
      <c r="A1498" s="25" t="s">
        <v>2491</v>
      </c>
      <c r="B1498" s="26" t="s">
        <v>2492</v>
      </c>
      <c r="C1498" s="3" t="s">
        <v>2490</v>
      </c>
      <c r="D1498" s="21"/>
      <c r="E1498" s="21" t="s">
        <v>46</v>
      </c>
      <c r="F1498" s="3" t="s">
        <v>89</v>
      </c>
      <c r="G1498" s="3">
        <v>0.3</v>
      </c>
      <c r="H1498" s="23"/>
      <c r="I1498" s="124">
        <f t="shared" si="56"/>
        <v>0</v>
      </c>
      <c r="J1498" s="21"/>
      <c r="K1498" s="24"/>
    </row>
    <row r="1499" spans="1:11" ht="34.5" customHeight="1" x14ac:dyDescent="0.25">
      <c r="A1499" s="25" t="s">
        <v>2493</v>
      </c>
      <c r="B1499" s="26" t="s">
        <v>2494</v>
      </c>
      <c r="C1499" s="3" t="s">
        <v>2490</v>
      </c>
      <c r="D1499" s="21"/>
      <c r="E1499" s="21" t="s">
        <v>46</v>
      </c>
      <c r="F1499" s="3" t="s">
        <v>89</v>
      </c>
      <c r="G1499" s="3">
        <v>3.8</v>
      </c>
      <c r="H1499" s="23"/>
      <c r="I1499" s="124">
        <f t="shared" si="56"/>
        <v>0</v>
      </c>
      <c r="J1499" s="21"/>
      <c r="K1499" s="24"/>
    </row>
    <row r="1500" spans="1:11" ht="15.75" customHeight="1" x14ac:dyDescent="0.25">
      <c r="A1500" s="25" t="s">
        <v>579</v>
      </c>
      <c r="B1500" s="26" t="s">
        <v>2495</v>
      </c>
      <c r="C1500" s="3"/>
      <c r="D1500" s="21"/>
      <c r="E1500" s="21"/>
      <c r="F1500" s="3"/>
      <c r="G1500" s="3"/>
      <c r="H1500" s="23"/>
      <c r="I1500" s="124">
        <f t="shared" si="56"/>
        <v>0</v>
      </c>
      <c r="J1500" s="21"/>
      <c r="K1500" s="24" t="s">
        <v>2496</v>
      </c>
    </row>
    <row r="1501" spans="1:11" ht="34.5" customHeight="1" x14ac:dyDescent="0.25">
      <c r="A1501" s="25"/>
      <c r="B1501" s="26" t="s">
        <v>2497</v>
      </c>
      <c r="C1501" s="3"/>
      <c r="D1501" s="21"/>
      <c r="E1501" s="21" t="s">
        <v>46</v>
      </c>
      <c r="F1501" s="3" t="s">
        <v>78</v>
      </c>
      <c r="G1501" s="3">
        <v>4</v>
      </c>
      <c r="H1501" s="23"/>
      <c r="I1501" s="124">
        <f t="shared" si="56"/>
        <v>0</v>
      </c>
      <c r="J1501" s="21"/>
      <c r="K1501" s="24"/>
    </row>
    <row r="1502" spans="1:11" ht="34.5" customHeight="1" x14ac:dyDescent="0.25">
      <c r="A1502" s="25"/>
      <c r="B1502" s="26" t="s">
        <v>2498</v>
      </c>
      <c r="C1502" s="3"/>
      <c r="D1502" s="21"/>
      <c r="E1502" s="21" t="s">
        <v>46</v>
      </c>
      <c r="F1502" s="3" t="s">
        <v>78</v>
      </c>
      <c r="G1502" s="3">
        <v>4</v>
      </c>
      <c r="H1502" s="23"/>
      <c r="I1502" s="124">
        <f t="shared" si="56"/>
        <v>0</v>
      </c>
      <c r="J1502" s="21"/>
      <c r="K1502" s="24"/>
    </row>
    <row r="1503" spans="1:11" ht="150" customHeight="1" x14ac:dyDescent="0.25">
      <c r="A1503" s="25"/>
      <c r="B1503" s="26" t="s">
        <v>2499</v>
      </c>
      <c r="C1503" s="3"/>
      <c r="D1503" s="21"/>
      <c r="E1503" s="21"/>
      <c r="F1503" s="3"/>
      <c r="G1503" s="3"/>
      <c r="H1503" s="23"/>
      <c r="I1503" s="124">
        <f t="shared" si="56"/>
        <v>0</v>
      </c>
      <c r="J1503" s="21"/>
      <c r="K1503" s="24"/>
    </row>
    <row r="1504" spans="1:11" ht="15.75" customHeight="1" x14ac:dyDescent="0.25">
      <c r="A1504" s="25"/>
      <c r="B1504" s="26" t="s">
        <v>2500</v>
      </c>
      <c r="C1504" s="3" t="s">
        <v>2501</v>
      </c>
      <c r="D1504" s="21"/>
      <c r="E1504" s="21" t="s">
        <v>46</v>
      </c>
      <c r="F1504" s="3" t="s">
        <v>47</v>
      </c>
      <c r="G1504" s="3">
        <v>26</v>
      </c>
      <c r="H1504" s="23"/>
      <c r="I1504" s="124">
        <f t="shared" si="56"/>
        <v>0</v>
      </c>
      <c r="J1504" s="21"/>
      <c r="K1504" s="24"/>
    </row>
    <row r="1505" spans="1:11" ht="15.75" customHeight="1" x14ac:dyDescent="0.25">
      <c r="A1505" s="25"/>
      <c r="B1505" s="26" t="s">
        <v>2502</v>
      </c>
      <c r="C1505" s="3" t="s">
        <v>2503</v>
      </c>
      <c r="D1505" s="21"/>
      <c r="E1505" s="21" t="s">
        <v>2504</v>
      </c>
      <c r="F1505" s="3" t="s">
        <v>78</v>
      </c>
      <c r="G1505" s="3">
        <v>2</v>
      </c>
      <c r="H1505" s="23"/>
      <c r="I1505" s="124">
        <f t="shared" si="56"/>
        <v>0</v>
      </c>
      <c r="J1505" s="21"/>
      <c r="K1505" s="24"/>
    </row>
    <row r="1506" spans="1:11" ht="15.75" customHeight="1" x14ac:dyDescent="0.25">
      <c r="A1506" s="25"/>
      <c r="B1506" s="26" t="s">
        <v>2505</v>
      </c>
      <c r="C1506" s="3"/>
      <c r="D1506" s="21"/>
      <c r="E1506" s="21" t="s">
        <v>2504</v>
      </c>
      <c r="F1506" s="3" t="s">
        <v>78</v>
      </c>
      <c r="G1506" s="3">
        <v>1</v>
      </c>
      <c r="H1506" s="23"/>
      <c r="I1506" s="124">
        <f t="shared" si="56"/>
        <v>0</v>
      </c>
      <c r="J1506" s="21"/>
      <c r="K1506" s="24"/>
    </row>
    <row r="1507" spans="1:11" ht="15.75" customHeight="1" x14ac:dyDescent="0.25">
      <c r="A1507" s="25"/>
      <c r="B1507" s="26" t="s">
        <v>2506</v>
      </c>
      <c r="C1507" s="3"/>
      <c r="D1507" s="21"/>
      <c r="E1507" s="21"/>
      <c r="F1507" s="3" t="s">
        <v>89</v>
      </c>
      <c r="G1507" s="3">
        <v>16</v>
      </c>
      <c r="H1507" s="23">
        <v>115</v>
      </c>
      <c r="I1507" s="124">
        <f t="shared" si="56"/>
        <v>1840</v>
      </c>
      <c r="J1507" s="21"/>
      <c r="K1507" s="24"/>
    </row>
    <row r="1508" spans="1:11" ht="15.75" customHeight="1" x14ac:dyDescent="0.25">
      <c r="A1508" s="19" t="s">
        <v>1838</v>
      </c>
      <c r="B1508" s="20" t="s">
        <v>2507</v>
      </c>
      <c r="C1508" s="21"/>
      <c r="D1508" s="21"/>
      <c r="E1508" s="21"/>
      <c r="F1508" s="22"/>
      <c r="G1508" s="21"/>
      <c r="H1508" s="23"/>
      <c r="I1508" s="124"/>
      <c r="J1508" s="21"/>
      <c r="K1508" s="24"/>
    </row>
    <row r="1509" spans="1:11" ht="15.75" customHeight="1" x14ac:dyDescent="0.25">
      <c r="A1509" s="25"/>
      <c r="B1509" s="26" t="s">
        <v>2508</v>
      </c>
      <c r="C1509" s="3" t="s">
        <v>2509</v>
      </c>
      <c r="D1509" s="21"/>
      <c r="E1509" s="21" t="s">
        <v>46</v>
      </c>
      <c r="F1509" s="3" t="s">
        <v>315</v>
      </c>
      <c r="G1509" s="3">
        <v>54</v>
      </c>
      <c r="H1509" s="23"/>
      <c r="I1509" s="124">
        <f>H1509*G1509</f>
        <v>0</v>
      </c>
      <c r="J1509" s="21"/>
      <c r="K1509" s="24" t="s">
        <v>2510</v>
      </c>
    </row>
    <row r="1510" spans="1:11" ht="34.5" customHeight="1" x14ac:dyDescent="0.25">
      <c r="A1510" s="25"/>
      <c r="B1510" s="26" t="s">
        <v>2508</v>
      </c>
      <c r="C1510" s="3" t="s">
        <v>2509</v>
      </c>
      <c r="D1510" s="21"/>
      <c r="E1510" s="21" t="s">
        <v>46</v>
      </c>
      <c r="F1510" s="3" t="s">
        <v>315</v>
      </c>
      <c r="G1510" s="3">
        <v>180</v>
      </c>
      <c r="H1510" s="23"/>
      <c r="I1510" s="124">
        <f>H1510*G1510</f>
        <v>0</v>
      </c>
      <c r="J1510" s="21"/>
      <c r="K1510" s="24" t="s">
        <v>2511</v>
      </c>
    </row>
    <row r="1511" spans="1:11" ht="34.5" customHeight="1" x14ac:dyDescent="0.25">
      <c r="A1511" s="25"/>
      <c r="B1511" s="26" t="s">
        <v>2512</v>
      </c>
      <c r="C1511" s="3"/>
      <c r="D1511" s="21"/>
      <c r="E1511" s="21" t="s">
        <v>46</v>
      </c>
      <c r="F1511" s="3" t="s">
        <v>315</v>
      </c>
      <c r="G1511" s="3">
        <v>18</v>
      </c>
      <c r="H1511" s="23"/>
      <c r="I1511" s="124">
        <f>H1511*G1511</f>
        <v>0</v>
      </c>
      <c r="J1511" s="21"/>
      <c r="K1511" s="24" t="s">
        <v>2513</v>
      </c>
    </row>
    <row r="1512" spans="1:11" ht="34.5" customHeight="1" x14ac:dyDescent="0.25">
      <c r="A1512" s="25"/>
      <c r="B1512" s="26" t="s">
        <v>2514</v>
      </c>
      <c r="C1512" s="3"/>
      <c r="D1512" s="21"/>
      <c r="E1512" s="21"/>
      <c r="F1512" s="3" t="s">
        <v>89</v>
      </c>
      <c r="G1512" s="3">
        <v>9.9</v>
      </c>
      <c r="H1512" s="23"/>
      <c r="I1512" s="124">
        <f>H1512*G1512</f>
        <v>0</v>
      </c>
      <c r="J1512" s="21"/>
      <c r="K1512" s="24"/>
    </row>
    <row r="1513" spans="1:11" ht="15.75" customHeight="1" x14ac:dyDescent="0.25">
      <c r="A1513" s="9" t="s">
        <v>2515</v>
      </c>
      <c r="B1513" s="10" t="s">
        <v>2516</v>
      </c>
      <c r="C1513" s="11"/>
      <c r="D1513" s="11"/>
      <c r="E1513" s="11"/>
      <c r="F1513" s="11"/>
      <c r="G1513" s="11"/>
      <c r="H1513" s="12"/>
      <c r="I1513" s="122"/>
      <c r="J1513" s="11"/>
      <c r="K1513" s="13"/>
    </row>
    <row r="1514" spans="1:11" ht="109.5" customHeight="1" x14ac:dyDescent="0.25">
      <c r="A1514" s="38" t="s">
        <v>2517</v>
      </c>
      <c r="B1514" s="39" t="s">
        <v>2518</v>
      </c>
      <c r="C1514" s="40"/>
      <c r="D1514" s="40"/>
      <c r="E1514" s="40"/>
      <c r="F1514" s="40" t="s">
        <v>78</v>
      </c>
      <c r="G1514" s="40">
        <v>8</v>
      </c>
      <c r="H1514" s="41"/>
      <c r="I1514" s="127">
        <f>H1514*G1514</f>
        <v>0</v>
      </c>
      <c r="J1514" s="40"/>
      <c r="K1514" s="39" t="s">
        <v>2519</v>
      </c>
    </row>
    <row r="1515" spans="1:11" ht="109.5" customHeight="1" x14ac:dyDescent="0.25">
      <c r="A1515" s="38" t="s">
        <v>548</v>
      </c>
      <c r="B1515" s="39" t="s">
        <v>2518</v>
      </c>
      <c r="C1515" s="40"/>
      <c r="D1515" s="40"/>
      <c r="E1515" s="40"/>
      <c r="F1515" s="40" t="s">
        <v>78</v>
      </c>
      <c r="G1515" s="40">
        <v>8</v>
      </c>
      <c r="H1515" s="41"/>
      <c r="I1515" s="127">
        <f>H1515*G1515</f>
        <v>0</v>
      </c>
      <c r="J1515" s="40"/>
      <c r="K1515" s="39" t="s">
        <v>2520</v>
      </c>
    </row>
    <row r="1516" spans="1:11" ht="90" customHeight="1" x14ac:dyDescent="0.25">
      <c r="A1516" s="38" t="s">
        <v>2521</v>
      </c>
      <c r="B1516" s="39" t="s">
        <v>2522</v>
      </c>
      <c r="C1516" s="40"/>
      <c r="D1516" s="40"/>
      <c r="E1516" s="40"/>
      <c r="F1516" s="40" t="s">
        <v>78</v>
      </c>
      <c r="G1516" s="40">
        <v>2</v>
      </c>
      <c r="H1516" s="41"/>
      <c r="I1516" s="127">
        <f>H1516*G1516</f>
        <v>0</v>
      </c>
      <c r="J1516" s="40"/>
      <c r="K1516" s="39" t="s">
        <v>2523</v>
      </c>
    </row>
    <row r="1517" spans="1:11" ht="34.5" customHeight="1" x14ac:dyDescent="0.25">
      <c r="A1517" s="16"/>
      <c r="B1517" s="15" t="s">
        <v>2524</v>
      </c>
      <c r="C1517" s="16"/>
      <c r="D1517" s="16"/>
      <c r="E1517" s="16"/>
      <c r="F1517" s="16"/>
      <c r="G1517" s="16"/>
      <c r="H1517" s="17"/>
      <c r="I1517" s="123"/>
      <c r="J1517" s="16"/>
      <c r="K1517" s="18"/>
    </row>
    <row r="1518" spans="1:11" ht="15.75" customHeight="1" x14ac:dyDescent="0.25">
      <c r="A1518" s="42" t="s">
        <v>349</v>
      </c>
      <c r="B1518" s="20" t="s">
        <v>2525</v>
      </c>
      <c r="C1518" s="22"/>
      <c r="D1518" s="21"/>
      <c r="E1518" s="21"/>
      <c r="F1518" s="22"/>
      <c r="G1518" s="21"/>
      <c r="H1518" s="23"/>
      <c r="I1518" s="124"/>
      <c r="J1518" s="21"/>
      <c r="K1518" s="24"/>
    </row>
    <row r="1519" spans="1:11" ht="15.75" customHeight="1" x14ac:dyDescent="0.25">
      <c r="A1519" s="21" t="s">
        <v>1943</v>
      </c>
      <c r="B1519" s="43" t="s">
        <v>2526</v>
      </c>
      <c r="C1519" s="3"/>
      <c r="D1519" s="21"/>
      <c r="E1519" s="21"/>
      <c r="F1519" s="3" t="s">
        <v>47</v>
      </c>
      <c r="G1519" s="3">
        <v>1</v>
      </c>
      <c r="H1519" s="23"/>
      <c r="I1519" s="124">
        <f t="shared" ref="I1519:I1560" si="57">H1519*G1519</f>
        <v>0</v>
      </c>
      <c r="J1519" s="21"/>
      <c r="K1519" s="24"/>
    </row>
    <row r="1520" spans="1:11" ht="54" customHeight="1" x14ac:dyDescent="0.25">
      <c r="A1520" s="21" t="s">
        <v>1950</v>
      </c>
      <c r="B1520" s="26" t="s">
        <v>2527</v>
      </c>
      <c r="C1520" s="3" t="s">
        <v>2528</v>
      </c>
      <c r="D1520" s="21"/>
      <c r="E1520" s="21" t="s">
        <v>2529</v>
      </c>
      <c r="F1520" s="3" t="s">
        <v>78</v>
      </c>
      <c r="G1520" s="3">
        <v>1</v>
      </c>
      <c r="H1520" s="23">
        <v>91428.04</v>
      </c>
      <c r="I1520" s="124">
        <f t="shared" si="57"/>
        <v>91428.04</v>
      </c>
      <c r="J1520" s="21"/>
      <c r="K1520" s="24"/>
    </row>
    <row r="1521" spans="1:11" ht="28.5" customHeight="1" x14ac:dyDescent="0.25">
      <c r="A1521" s="21" t="s">
        <v>1955</v>
      </c>
      <c r="B1521" s="26" t="s">
        <v>2530</v>
      </c>
      <c r="C1521" s="3" t="s">
        <v>2531</v>
      </c>
      <c r="D1521" s="21" t="s">
        <v>2532</v>
      </c>
      <c r="E1521" s="21" t="s">
        <v>2529</v>
      </c>
      <c r="F1521" s="3" t="s">
        <v>78</v>
      </c>
      <c r="G1521" s="3">
        <v>1</v>
      </c>
      <c r="H1521" s="23">
        <v>12241.6</v>
      </c>
      <c r="I1521" s="124">
        <f t="shared" si="57"/>
        <v>12241.6</v>
      </c>
      <c r="J1521" s="21"/>
      <c r="K1521" s="24"/>
    </row>
    <row r="1522" spans="1:11" ht="15.75" customHeight="1" x14ac:dyDescent="0.25">
      <c r="A1522" s="21" t="s">
        <v>1959</v>
      </c>
      <c r="B1522" s="26" t="s">
        <v>2533</v>
      </c>
      <c r="C1522" s="3" t="s">
        <v>2534</v>
      </c>
      <c r="D1522" s="21" t="s">
        <v>2535</v>
      </c>
      <c r="E1522" s="21" t="s">
        <v>2529</v>
      </c>
      <c r="F1522" s="3" t="s">
        <v>78</v>
      </c>
      <c r="G1522" s="3">
        <v>1</v>
      </c>
      <c r="H1522" s="23">
        <v>2130.84</v>
      </c>
      <c r="I1522" s="124">
        <f t="shared" si="57"/>
        <v>2130.84</v>
      </c>
      <c r="J1522" s="21"/>
      <c r="K1522" s="24"/>
    </row>
    <row r="1523" spans="1:11" ht="28.5" customHeight="1" x14ac:dyDescent="0.25">
      <c r="A1523" s="21" t="s">
        <v>1963</v>
      </c>
      <c r="B1523" s="26" t="s">
        <v>2536</v>
      </c>
      <c r="C1523" s="3" t="s">
        <v>2537</v>
      </c>
      <c r="D1523" s="21" t="s">
        <v>2538</v>
      </c>
      <c r="E1523" s="21" t="s">
        <v>2529</v>
      </c>
      <c r="F1523" s="3" t="s">
        <v>78</v>
      </c>
      <c r="G1523" s="3">
        <v>2</v>
      </c>
      <c r="H1523" s="23">
        <v>2772.18</v>
      </c>
      <c r="I1523" s="124">
        <f t="shared" si="57"/>
        <v>5544.36</v>
      </c>
      <c r="J1523" s="21"/>
      <c r="K1523" s="24"/>
    </row>
    <row r="1524" spans="1:11" ht="15.75" customHeight="1" x14ac:dyDescent="0.25">
      <c r="A1524" s="21" t="s">
        <v>1966</v>
      </c>
      <c r="B1524" s="26" t="s">
        <v>2539</v>
      </c>
      <c r="C1524" s="3" t="s">
        <v>2540</v>
      </c>
      <c r="D1524" s="21" t="s">
        <v>2541</v>
      </c>
      <c r="E1524" s="21" t="s">
        <v>2529</v>
      </c>
      <c r="F1524" s="3" t="s">
        <v>78</v>
      </c>
      <c r="G1524" s="3">
        <v>11</v>
      </c>
      <c r="H1524" s="23">
        <v>322.32</v>
      </c>
      <c r="I1524" s="124">
        <f t="shared" si="57"/>
        <v>3545.52</v>
      </c>
      <c r="J1524" s="21"/>
      <c r="K1524" s="24"/>
    </row>
    <row r="1525" spans="1:11" ht="28.5" customHeight="1" x14ac:dyDescent="0.25">
      <c r="A1525" s="21" t="s">
        <v>1970</v>
      </c>
      <c r="B1525" s="26" t="s">
        <v>2542</v>
      </c>
      <c r="C1525" s="3" t="s">
        <v>2543</v>
      </c>
      <c r="D1525" s="21" t="s">
        <v>2544</v>
      </c>
      <c r="E1525" s="21" t="s">
        <v>2529</v>
      </c>
      <c r="F1525" s="3" t="s">
        <v>47</v>
      </c>
      <c r="G1525" s="3">
        <v>2</v>
      </c>
      <c r="H1525" s="23">
        <v>1483.99</v>
      </c>
      <c r="I1525" s="124">
        <f t="shared" si="57"/>
        <v>2967.98</v>
      </c>
      <c r="J1525" s="21"/>
      <c r="K1525" s="24"/>
    </row>
    <row r="1526" spans="1:11" ht="28.5" customHeight="1" x14ac:dyDescent="0.25">
      <c r="A1526" s="21" t="s">
        <v>1974</v>
      </c>
      <c r="B1526" s="26" t="s">
        <v>2545</v>
      </c>
      <c r="C1526" s="3" t="s">
        <v>2546</v>
      </c>
      <c r="D1526" s="21" t="s">
        <v>2547</v>
      </c>
      <c r="E1526" s="21" t="s">
        <v>2529</v>
      </c>
      <c r="F1526" s="3" t="s">
        <v>78</v>
      </c>
      <c r="G1526" s="3">
        <v>200</v>
      </c>
      <c r="H1526" s="23">
        <v>14.3</v>
      </c>
      <c r="I1526" s="124">
        <f t="shared" si="57"/>
        <v>2860</v>
      </c>
      <c r="J1526" s="21"/>
      <c r="K1526" s="24"/>
    </row>
    <row r="1527" spans="1:11" ht="28.5" customHeight="1" x14ac:dyDescent="0.25">
      <c r="A1527" s="21" t="s">
        <v>1978</v>
      </c>
      <c r="B1527" s="26" t="s">
        <v>2548</v>
      </c>
      <c r="C1527" s="3" t="s">
        <v>2549</v>
      </c>
      <c r="D1527" s="21" t="s">
        <v>2550</v>
      </c>
      <c r="E1527" s="21" t="s">
        <v>2529</v>
      </c>
      <c r="F1527" s="3" t="s">
        <v>78</v>
      </c>
      <c r="G1527" s="3">
        <v>1</v>
      </c>
      <c r="H1527" s="23">
        <v>2795.28</v>
      </c>
      <c r="I1527" s="124">
        <f t="shared" si="57"/>
        <v>2795.28</v>
      </c>
      <c r="J1527" s="21"/>
      <c r="K1527" s="24"/>
    </row>
    <row r="1528" spans="1:11" ht="28.5" customHeight="1" x14ac:dyDescent="0.25">
      <c r="A1528" s="21" t="s">
        <v>2551</v>
      </c>
      <c r="B1528" s="26" t="s">
        <v>2552</v>
      </c>
      <c r="C1528" s="3" t="s">
        <v>2553</v>
      </c>
      <c r="D1528" s="21" t="s">
        <v>2554</v>
      </c>
      <c r="E1528" s="21" t="s">
        <v>2529</v>
      </c>
      <c r="F1528" s="3" t="s">
        <v>47</v>
      </c>
      <c r="G1528" s="3">
        <v>1</v>
      </c>
      <c r="H1528" s="23">
        <v>1065.97</v>
      </c>
      <c r="I1528" s="124">
        <f t="shared" si="57"/>
        <v>1065.97</v>
      </c>
      <c r="J1528" s="21"/>
      <c r="K1528" s="24"/>
    </row>
    <row r="1529" spans="1:11" ht="42.75" customHeight="1" x14ac:dyDescent="0.25">
      <c r="A1529" s="21" t="s">
        <v>2555</v>
      </c>
      <c r="B1529" s="26" t="s">
        <v>2556</v>
      </c>
      <c r="C1529" s="3" t="s">
        <v>2557</v>
      </c>
      <c r="D1529" s="21" t="s">
        <v>2558</v>
      </c>
      <c r="E1529" s="21" t="s">
        <v>2529</v>
      </c>
      <c r="F1529" s="3" t="s">
        <v>78</v>
      </c>
      <c r="G1529" s="3">
        <v>1</v>
      </c>
      <c r="H1529" s="23">
        <v>2497.16</v>
      </c>
      <c r="I1529" s="124">
        <f t="shared" si="57"/>
        <v>2497.16</v>
      </c>
      <c r="J1529" s="21"/>
      <c r="K1529" s="24"/>
    </row>
    <row r="1530" spans="1:11" ht="28.5" customHeight="1" x14ac:dyDescent="0.25">
      <c r="A1530" s="21" t="s">
        <v>2559</v>
      </c>
      <c r="B1530" s="26" t="s">
        <v>2560</v>
      </c>
      <c r="C1530" s="3" t="s">
        <v>2561</v>
      </c>
      <c r="D1530" s="21" t="s">
        <v>2562</v>
      </c>
      <c r="E1530" s="21" t="s">
        <v>2529</v>
      </c>
      <c r="F1530" s="3" t="s">
        <v>78</v>
      </c>
      <c r="G1530" s="3">
        <v>10</v>
      </c>
      <c r="H1530" s="23">
        <v>71.510000000000005</v>
      </c>
      <c r="I1530" s="124">
        <f t="shared" si="57"/>
        <v>715.1</v>
      </c>
      <c r="J1530" s="21"/>
      <c r="K1530" s="24"/>
    </row>
    <row r="1531" spans="1:11" ht="15.75" customHeight="1" x14ac:dyDescent="0.25">
      <c r="A1531" s="21" t="s">
        <v>2563</v>
      </c>
      <c r="B1531" s="26" t="s">
        <v>2564</v>
      </c>
      <c r="C1531" s="3" t="s">
        <v>2565</v>
      </c>
      <c r="D1531" s="21" t="s">
        <v>2566</v>
      </c>
      <c r="E1531" s="21" t="s">
        <v>2529</v>
      </c>
      <c r="F1531" s="3" t="s">
        <v>78</v>
      </c>
      <c r="G1531" s="3">
        <v>20</v>
      </c>
      <c r="H1531" s="23">
        <v>146.31</v>
      </c>
      <c r="I1531" s="124">
        <f t="shared" si="57"/>
        <v>2926.2</v>
      </c>
      <c r="J1531" s="21"/>
      <c r="K1531" s="24"/>
    </row>
    <row r="1532" spans="1:11" ht="28.5" customHeight="1" x14ac:dyDescent="0.25">
      <c r="A1532" s="21" t="s">
        <v>2567</v>
      </c>
      <c r="B1532" s="26" t="s">
        <v>2568</v>
      </c>
      <c r="C1532" s="3" t="s">
        <v>2569</v>
      </c>
      <c r="D1532" s="21" t="s">
        <v>2570</v>
      </c>
      <c r="E1532" s="21" t="s">
        <v>2529</v>
      </c>
      <c r="F1532" s="3" t="s">
        <v>78</v>
      </c>
      <c r="G1532" s="3">
        <v>2</v>
      </c>
      <c r="H1532" s="23">
        <v>2371.75</v>
      </c>
      <c r="I1532" s="124">
        <f t="shared" si="57"/>
        <v>4743.5</v>
      </c>
      <c r="J1532" s="21"/>
      <c r="K1532" s="24"/>
    </row>
    <row r="1533" spans="1:11" ht="28.5" customHeight="1" x14ac:dyDescent="0.25">
      <c r="A1533" s="21" t="s">
        <v>2571</v>
      </c>
      <c r="B1533" s="26" t="s">
        <v>2572</v>
      </c>
      <c r="C1533" s="3" t="s">
        <v>2573</v>
      </c>
      <c r="D1533" s="21" t="s">
        <v>2574</v>
      </c>
      <c r="E1533" s="21" t="s">
        <v>2529</v>
      </c>
      <c r="F1533" s="3" t="s">
        <v>78</v>
      </c>
      <c r="G1533" s="3">
        <v>1</v>
      </c>
      <c r="H1533" s="23">
        <v>5842.48</v>
      </c>
      <c r="I1533" s="124">
        <f t="shared" si="57"/>
        <v>5842.48</v>
      </c>
      <c r="J1533" s="21"/>
      <c r="K1533" s="24"/>
    </row>
    <row r="1534" spans="1:11" ht="28.5" customHeight="1" x14ac:dyDescent="0.25">
      <c r="A1534" s="21" t="s">
        <v>2575</v>
      </c>
      <c r="B1534" s="26" t="s">
        <v>2576</v>
      </c>
      <c r="C1534" s="3" t="s">
        <v>2577</v>
      </c>
      <c r="D1534" s="21" t="s">
        <v>2578</v>
      </c>
      <c r="E1534" s="21" t="s">
        <v>2529</v>
      </c>
      <c r="F1534" s="3" t="s">
        <v>78</v>
      </c>
      <c r="G1534" s="3">
        <v>9</v>
      </c>
      <c r="H1534" s="23">
        <v>723.85</v>
      </c>
      <c r="I1534" s="124">
        <f t="shared" si="57"/>
        <v>6514.6500000000005</v>
      </c>
      <c r="J1534" s="21"/>
      <c r="K1534" s="24"/>
    </row>
    <row r="1535" spans="1:11" ht="41.25" customHeight="1" x14ac:dyDescent="0.25">
      <c r="A1535" s="21" t="s">
        <v>2579</v>
      </c>
      <c r="B1535" s="26" t="s">
        <v>2580</v>
      </c>
      <c r="C1535" s="3" t="s">
        <v>2581</v>
      </c>
      <c r="D1535" s="21" t="s">
        <v>2582</v>
      </c>
      <c r="E1535" s="21" t="s">
        <v>2529</v>
      </c>
      <c r="F1535" s="3" t="s">
        <v>78</v>
      </c>
      <c r="G1535" s="3">
        <v>3</v>
      </c>
      <c r="H1535" s="23">
        <v>2762.28</v>
      </c>
      <c r="I1535" s="124">
        <f t="shared" si="57"/>
        <v>8286.84</v>
      </c>
      <c r="J1535" s="21"/>
      <c r="K1535" s="24"/>
    </row>
    <row r="1536" spans="1:11" ht="15.75" customHeight="1" x14ac:dyDescent="0.25">
      <c r="A1536" s="21" t="s">
        <v>2583</v>
      </c>
      <c r="B1536" s="26" t="s">
        <v>2584</v>
      </c>
      <c r="C1536" s="3" t="s">
        <v>2585</v>
      </c>
      <c r="D1536" s="21"/>
      <c r="E1536" s="21" t="s">
        <v>2586</v>
      </c>
      <c r="F1536" s="3" t="s">
        <v>78</v>
      </c>
      <c r="G1536" s="3">
        <v>1</v>
      </c>
      <c r="H1536" s="23"/>
      <c r="I1536" s="124">
        <f t="shared" si="57"/>
        <v>0</v>
      </c>
      <c r="J1536" s="21"/>
      <c r="K1536" s="24"/>
    </row>
    <row r="1537" spans="1:11" ht="15.75" customHeight="1" x14ac:dyDescent="0.25">
      <c r="A1537" s="21" t="s">
        <v>2587</v>
      </c>
      <c r="B1537" s="26" t="s">
        <v>2588</v>
      </c>
      <c r="C1537" s="3" t="s">
        <v>2589</v>
      </c>
      <c r="D1537" s="21"/>
      <c r="E1537" s="21" t="s">
        <v>2586</v>
      </c>
      <c r="F1537" s="3" t="s">
        <v>78</v>
      </c>
      <c r="G1537" s="3">
        <v>1</v>
      </c>
      <c r="H1537" s="23"/>
      <c r="I1537" s="124">
        <f t="shared" si="57"/>
        <v>0</v>
      </c>
      <c r="J1537" s="21"/>
      <c r="K1537" s="24"/>
    </row>
    <row r="1538" spans="1:11" ht="28.5" customHeight="1" x14ac:dyDescent="0.25">
      <c r="A1538" s="21" t="s">
        <v>2590</v>
      </c>
      <c r="B1538" s="26" t="s">
        <v>2591</v>
      </c>
      <c r="C1538" s="3" t="s">
        <v>2592</v>
      </c>
      <c r="D1538" s="21"/>
      <c r="E1538" s="21" t="s">
        <v>2593</v>
      </c>
      <c r="F1538" s="3" t="s">
        <v>78</v>
      </c>
      <c r="G1538" s="3">
        <v>3</v>
      </c>
      <c r="H1538" s="23"/>
      <c r="I1538" s="124">
        <f t="shared" si="57"/>
        <v>0</v>
      </c>
      <c r="J1538" s="21"/>
      <c r="K1538" s="24"/>
    </row>
    <row r="1539" spans="1:11" ht="15.75" customHeight="1" x14ac:dyDescent="0.25">
      <c r="A1539" s="21" t="s">
        <v>2594</v>
      </c>
      <c r="B1539" s="26" t="s">
        <v>2595</v>
      </c>
      <c r="C1539" s="3" t="s">
        <v>2596</v>
      </c>
      <c r="D1539" s="21"/>
      <c r="E1539" s="21" t="s">
        <v>2593</v>
      </c>
      <c r="F1539" s="3" t="s">
        <v>78</v>
      </c>
      <c r="G1539" s="3">
        <v>1</v>
      </c>
      <c r="H1539" s="23"/>
      <c r="I1539" s="124">
        <f t="shared" si="57"/>
        <v>0</v>
      </c>
      <c r="J1539" s="21"/>
      <c r="K1539" s="24"/>
    </row>
    <row r="1540" spans="1:11" ht="34.5" customHeight="1" x14ac:dyDescent="0.25">
      <c r="A1540" s="21" t="s">
        <v>2597</v>
      </c>
      <c r="B1540" s="43" t="s">
        <v>2598</v>
      </c>
      <c r="C1540" s="3" t="s">
        <v>2599</v>
      </c>
      <c r="D1540" s="21" t="s">
        <v>2600</v>
      </c>
      <c r="E1540" s="21" t="s">
        <v>2601</v>
      </c>
      <c r="F1540" s="3" t="s">
        <v>78</v>
      </c>
      <c r="G1540" s="3">
        <v>1</v>
      </c>
      <c r="H1540" s="23">
        <v>274000</v>
      </c>
      <c r="I1540" s="124">
        <f t="shared" si="57"/>
        <v>274000</v>
      </c>
      <c r="J1540" s="21"/>
      <c r="K1540" s="24"/>
    </row>
    <row r="1541" spans="1:11" ht="34.5" customHeight="1" x14ac:dyDescent="0.25">
      <c r="A1541" s="21" t="s">
        <v>2602</v>
      </c>
      <c r="B1541" s="26" t="s">
        <v>2603</v>
      </c>
      <c r="C1541" s="3" t="s">
        <v>2604</v>
      </c>
      <c r="D1541" s="21" t="s">
        <v>2605</v>
      </c>
      <c r="E1541" s="21" t="s">
        <v>2601</v>
      </c>
      <c r="F1541" s="3" t="s">
        <v>78</v>
      </c>
      <c r="G1541" s="3">
        <v>2</v>
      </c>
      <c r="H1541" s="23">
        <v>125000</v>
      </c>
      <c r="I1541" s="124">
        <f t="shared" si="57"/>
        <v>250000</v>
      </c>
      <c r="J1541" s="21"/>
      <c r="K1541" s="24"/>
    </row>
    <row r="1542" spans="1:11" ht="15.75" customHeight="1" x14ac:dyDescent="0.25">
      <c r="A1542" s="21" t="s">
        <v>2606</v>
      </c>
      <c r="B1542" s="26" t="s">
        <v>2607</v>
      </c>
      <c r="C1542" s="3" t="s">
        <v>2608</v>
      </c>
      <c r="D1542" s="21"/>
      <c r="E1542" s="21" t="s">
        <v>2601</v>
      </c>
      <c r="F1542" s="3" t="s">
        <v>78</v>
      </c>
      <c r="G1542" s="3">
        <v>64</v>
      </c>
      <c r="H1542" s="23">
        <v>2045</v>
      </c>
      <c r="I1542" s="124">
        <f t="shared" si="57"/>
        <v>130880</v>
      </c>
      <c r="J1542" s="21"/>
      <c r="K1542" s="24"/>
    </row>
    <row r="1543" spans="1:11" ht="28.5" customHeight="1" x14ac:dyDescent="0.25">
      <c r="A1543" s="21" t="s">
        <v>2609</v>
      </c>
      <c r="B1543" s="26" t="s">
        <v>2610</v>
      </c>
      <c r="C1543" s="3" t="s">
        <v>2611</v>
      </c>
      <c r="D1543" s="21" t="s">
        <v>2612</v>
      </c>
      <c r="E1543" s="21" t="s">
        <v>2601</v>
      </c>
      <c r="F1543" s="3" t="s">
        <v>78</v>
      </c>
      <c r="G1543" s="3">
        <v>1</v>
      </c>
      <c r="H1543" s="23">
        <v>75600</v>
      </c>
      <c r="I1543" s="124">
        <f t="shared" si="57"/>
        <v>75600</v>
      </c>
      <c r="J1543" s="21"/>
      <c r="K1543" s="24"/>
    </row>
    <row r="1544" spans="1:11" ht="34.5" customHeight="1" x14ac:dyDescent="0.25">
      <c r="A1544" s="21" t="s">
        <v>2613</v>
      </c>
      <c r="B1544" s="26" t="s">
        <v>2614</v>
      </c>
      <c r="C1544" s="3" t="s">
        <v>2615</v>
      </c>
      <c r="D1544" s="21" t="s">
        <v>2616</v>
      </c>
      <c r="E1544" s="21" t="s">
        <v>2601</v>
      </c>
      <c r="F1544" s="3" t="s">
        <v>78</v>
      </c>
      <c r="G1544" s="3">
        <v>3</v>
      </c>
      <c r="H1544" s="23">
        <v>6500</v>
      </c>
      <c r="I1544" s="124">
        <f t="shared" si="57"/>
        <v>19500</v>
      </c>
      <c r="J1544" s="21"/>
      <c r="K1544" s="24"/>
    </row>
    <row r="1545" spans="1:11" ht="69.75" customHeight="1" x14ac:dyDescent="0.25">
      <c r="A1545" s="21" t="s">
        <v>2617</v>
      </c>
      <c r="B1545" s="43" t="s">
        <v>2618</v>
      </c>
      <c r="C1545" s="3" t="s">
        <v>2619</v>
      </c>
      <c r="D1545" s="21"/>
      <c r="E1545" s="21" t="s">
        <v>2620</v>
      </c>
      <c r="F1545" s="3" t="s">
        <v>78</v>
      </c>
      <c r="G1545" s="3">
        <v>1</v>
      </c>
      <c r="H1545" s="23">
        <f>339436+33159+33159</f>
        <v>405754</v>
      </c>
      <c r="I1545" s="124">
        <f t="shared" si="57"/>
        <v>405754</v>
      </c>
      <c r="J1545" s="21"/>
      <c r="K1545" s="24"/>
    </row>
    <row r="1546" spans="1:11" ht="54" customHeight="1" x14ac:dyDescent="0.25">
      <c r="A1546" s="21" t="s">
        <v>2621</v>
      </c>
      <c r="B1546" s="26" t="s">
        <v>2622</v>
      </c>
      <c r="C1546" s="3" t="s">
        <v>2623</v>
      </c>
      <c r="D1546" s="21"/>
      <c r="E1546" s="21" t="s">
        <v>2620</v>
      </c>
      <c r="F1546" s="3" t="s">
        <v>78</v>
      </c>
      <c r="G1546" s="3">
        <v>1</v>
      </c>
      <c r="H1546" s="23">
        <f>84859+42430</f>
        <v>127289</v>
      </c>
      <c r="I1546" s="124">
        <f t="shared" si="57"/>
        <v>127289</v>
      </c>
      <c r="J1546" s="21"/>
      <c r="K1546" s="24"/>
    </row>
    <row r="1547" spans="1:11" ht="54" customHeight="1" x14ac:dyDescent="0.25">
      <c r="A1547" s="21" t="s">
        <v>2624</v>
      </c>
      <c r="B1547" s="26" t="s">
        <v>2625</v>
      </c>
      <c r="C1547" s="3" t="s">
        <v>2626</v>
      </c>
      <c r="D1547" s="21"/>
      <c r="E1547" s="21" t="s">
        <v>2620</v>
      </c>
      <c r="F1547" s="3" t="s">
        <v>78</v>
      </c>
      <c r="G1547" s="3">
        <v>1</v>
      </c>
      <c r="H1547" s="23">
        <v>254577</v>
      </c>
      <c r="I1547" s="124">
        <f t="shared" si="57"/>
        <v>254577</v>
      </c>
      <c r="J1547" s="21"/>
      <c r="K1547" s="24"/>
    </row>
    <row r="1548" spans="1:11" ht="45" customHeight="1" x14ac:dyDescent="0.25">
      <c r="A1548" s="21" t="s">
        <v>2627</v>
      </c>
      <c r="B1548" s="26" t="s">
        <v>2628</v>
      </c>
      <c r="C1548" s="3" t="s">
        <v>2629</v>
      </c>
      <c r="D1548" s="21"/>
      <c r="E1548" s="21" t="s">
        <v>2620</v>
      </c>
      <c r="F1548" s="3" t="s">
        <v>78</v>
      </c>
      <c r="G1548" s="3">
        <v>1</v>
      </c>
      <c r="H1548" s="23">
        <v>33944</v>
      </c>
      <c r="I1548" s="124">
        <f t="shared" si="57"/>
        <v>33944</v>
      </c>
      <c r="J1548" s="21"/>
      <c r="K1548" s="24"/>
    </row>
    <row r="1549" spans="1:11" ht="45" customHeight="1" x14ac:dyDescent="0.25">
      <c r="A1549" s="21" t="s">
        <v>2630</v>
      </c>
      <c r="B1549" s="43" t="s">
        <v>2631</v>
      </c>
      <c r="C1549" s="3" t="s">
        <v>2632</v>
      </c>
      <c r="D1549" s="21"/>
      <c r="E1549" s="21" t="s">
        <v>2620</v>
      </c>
      <c r="F1549" s="3" t="s">
        <v>78</v>
      </c>
      <c r="G1549" s="3">
        <v>2</v>
      </c>
      <c r="H1549" s="23">
        <v>225162</v>
      </c>
      <c r="I1549" s="124">
        <f t="shared" si="57"/>
        <v>450324</v>
      </c>
      <c r="J1549" s="21"/>
      <c r="K1549" s="24"/>
    </row>
    <row r="1550" spans="1:11" ht="45" customHeight="1" x14ac:dyDescent="0.25">
      <c r="A1550" s="21" t="s">
        <v>2633</v>
      </c>
      <c r="B1550" s="26" t="s">
        <v>2634</v>
      </c>
      <c r="C1550" s="3" t="s">
        <v>2635</v>
      </c>
      <c r="D1550" s="21"/>
      <c r="E1550" s="21" t="s">
        <v>2620</v>
      </c>
      <c r="F1550" s="3" t="s">
        <v>78</v>
      </c>
      <c r="G1550" s="3">
        <v>2</v>
      </c>
      <c r="H1550" s="23">
        <f>56291+28145</f>
        <v>84436</v>
      </c>
      <c r="I1550" s="124">
        <f t="shared" si="57"/>
        <v>168872</v>
      </c>
      <c r="J1550" s="21"/>
      <c r="K1550" s="24"/>
    </row>
    <row r="1551" spans="1:11" ht="60" customHeight="1" x14ac:dyDescent="0.25">
      <c r="A1551" s="21" t="s">
        <v>2636</v>
      </c>
      <c r="B1551" s="26" t="s">
        <v>2625</v>
      </c>
      <c r="C1551" s="3" t="s">
        <v>2626</v>
      </c>
      <c r="D1551" s="21"/>
      <c r="E1551" s="21" t="s">
        <v>2620</v>
      </c>
      <c r="F1551" s="3" t="s">
        <v>78</v>
      </c>
      <c r="G1551" s="3">
        <v>2</v>
      </c>
      <c r="H1551" s="23">
        <f>168872</f>
        <v>168872</v>
      </c>
      <c r="I1551" s="124">
        <f t="shared" si="57"/>
        <v>337744</v>
      </c>
      <c r="J1551" s="21"/>
      <c r="K1551" s="24"/>
    </row>
    <row r="1552" spans="1:11" ht="45" customHeight="1" x14ac:dyDescent="0.25">
      <c r="A1552" s="21" t="s">
        <v>2637</v>
      </c>
      <c r="B1552" s="26" t="s">
        <v>2638</v>
      </c>
      <c r="C1552" s="3" t="s">
        <v>2639</v>
      </c>
      <c r="D1552" s="21"/>
      <c r="E1552" s="21" t="s">
        <v>2620</v>
      </c>
      <c r="F1552" s="3" t="s">
        <v>78</v>
      </c>
      <c r="G1552" s="3">
        <v>2</v>
      </c>
      <c r="H1552" s="23">
        <v>22516</v>
      </c>
      <c r="I1552" s="124">
        <f t="shared" si="57"/>
        <v>45032</v>
      </c>
      <c r="J1552" s="21"/>
      <c r="K1552" s="24"/>
    </row>
    <row r="1553" spans="1:11" ht="45" customHeight="1" x14ac:dyDescent="0.25">
      <c r="A1553" s="21" t="s">
        <v>2640</v>
      </c>
      <c r="B1553" s="43" t="s">
        <v>2641</v>
      </c>
      <c r="C1553" s="3" t="s">
        <v>2642</v>
      </c>
      <c r="D1553" s="21"/>
      <c r="E1553" s="21" t="s">
        <v>2620</v>
      </c>
      <c r="F1553" s="3" t="s">
        <v>78</v>
      </c>
      <c r="G1553" s="3">
        <v>1</v>
      </c>
      <c r="H1553" s="23">
        <f>284574+33159</f>
        <v>317733</v>
      </c>
      <c r="I1553" s="124">
        <f t="shared" si="57"/>
        <v>317733</v>
      </c>
      <c r="J1553" s="21"/>
      <c r="K1553" s="24"/>
    </row>
    <row r="1554" spans="1:11" s="49" customFormat="1" ht="45" customHeight="1" x14ac:dyDescent="0.25">
      <c r="A1554" s="44" t="s">
        <v>2643</v>
      </c>
      <c r="B1554" s="45" t="s">
        <v>2634</v>
      </c>
      <c r="C1554" s="46" t="s">
        <v>2635</v>
      </c>
      <c r="D1554" s="44"/>
      <c r="E1554" s="21" t="s">
        <v>2620</v>
      </c>
      <c r="F1554" s="46" t="s">
        <v>78</v>
      </c>
      <c r="G1554" s="46">
        <v>1</v>
      </c>
      <c r="H1554" s="47">
        <f>71144+35572</f>
        <v>106716</v>
      </c>
      <c r="I1554" s="128">
        <f t="shared" si="57"/>
        <v>106716</v>
      </c>
      <c r="J1554" s="44"/>
      <c r="K1554" s="48"/>
    </row>
    <row r="1555" spans="1:11" s="49" customFormat="1" ht="57" customHeight="1" x14ac:dyDescent="0.25">
      <c r="A1555" s="44" t="s">
        <v>2644</v>
      </c>
      <c r="B1555" s="45" t="s">
        <v>2625</v>
      </c>
      <c r="C1555" s="46" t="s">
        <v>2626</v>
      </c>
      <c r="D1555" s="44"/>
      <c r="E1555" s="21" t="s">
        <v>2620</v>
      </c>
      <c r="F1555" s="46" t="s">
        <v>78</v>
      </c>
      <c r="G1555" s="46">
        <v>1</v>
      </c>
      <c r="H1555" s="47">
        <v>213431</v>
      </c>
      <c r="I1555" s="128">
        <f t="shared" si="57"/>
        <v>213431</v>
      </c>
      <c r="J1555" s="44"/>
      <c r="K1555" s="48"/>
    </row>
    <row r="1556" spans="1:11" s="49" customFormat="1" ht="42.75" customHeight="1" x14ac:dyDescent="0.25">
      <c r="A1556" s="44" t="s">
        <v>2645</v>
      </c>
      <c r="B1556" s="45" t="s">
        <v>2638</v>
      </c>
      <c r="C1556" s="46" t="s">
        <v>2639</v>
      </c>
      <c r="D1556" s="44"/>
      <c r="E1556" s="21" t="s">
        <v>2620</v>
      </c>
      <c r="F1556" s="46" t="s">
        <v>78</v>
      </c>
      <c r="G1556" s="46">
        <v>1</v>
      </c>
      <c r="H1556" s="47">
        <v>28457</v>
      </c>
      <c r="I1556" s="128">
        <f t="shared" si="57"/>
        <v>28457</v>
      </c>
      <c r="J1556" s="44"/>
      <c r="K1556" s="48"/>
    </row>
    <row r="1557" spans="1:11" s="49" customFormat="1" ht="28.5" customHeight="1" x14ac:dyDescent="0.25">
      <c r="A1557" s="44" t="s">
        <v>2646</v>
      </c>
      <c r="B1557" s="45" t="s">
        <v>2647</v>
      </c>
      <c r="C1557" s="46" t="s">
        <v>2648</v>
      </c>
      <c r="D1557" s="44"/>
      <c r="E1557" s="21" t="s">
        <v>2620</v>
      </c>
      <c r="F1557" s="46" t="s">
        <v>78</v>
      </c>
      <c r="G1557" s="46">
        <v>1</v>
      </c>
      <c r="H1557" s="47">
        <v>134583.4</v>
      </c>
      <c r="I1557" s="128">
        <f t="shared" si="57"/>
        <v>134583.4</v>
      </c>
      <c r="J1557" s="44"/>
      <c r="K1557" s="48"/>
    </row>
    <row r="1558" spans="1:11" s="49" customFormat="1" ht="28.5" customHeight="1" x14ac:dyDescent="0.25">
      <c r="A1558" s="44" t="s">
        <v>2649</v>
      </c>
      <c r="B1558" s="45" t="s">
        <v>2650</v>
      </c>
      <c r="C1558" s="46" t="s">
        <v>2651</v>
      </c>
      <c r="D1558" s="44"/>
      <c r="E1558" s="21" t="s">
        <v>2620</v>
      </c>
      <c r="F1558" s="46" t="s">
        <v>78</v>
      </c>
      <c r="G1558" s="46">
        <v>1</v>
      </c>
      <c r="H1558" s="47"/>
      <c r="I1558" s="128">
        <f t="shared" si="57"/>
        <v>0</v>
      </c>
      <c r="J1558" s="44"/>
      <c r="K1558" s="48"/>
    </row>
    <row r="1559" spans="1:11" s="49" customFormat="1" ht="15.75" customHeight="1" x14ac:dyDescent="0.25">
      <c r="A1559" s="44" t="s">
        <v>2652</v>
      </c>
      <c r="B1559" s="45" t="s">
        <v>2653</v>
      </c>
      <c r="C1559" s="46" t="s">
        <v>2654</v>
      </c>
      <c r="D1559" s="44"/>
      <c r="E1559" s="21" t="s">
        <v>2620</v>
      </c>
      <c r="F1559" s="46" t="s">
        <v>78</v>
      </c>
      <c r="G1559" s="46">
        <v>1</v>
      </c>
      <c r="H1559" s="47">
        <v>33159</v>
      </c>
      <c r="I1559" s="128">
        <f t="shared" si="57"/>
        <v>33159</v>
      </c>
      <c r="J1559" s="44"/>
      <c r="K1559" s="48"/>
    </row>
    <row r="1560" spans="1:11" ht="54.75" customHeight="1" x14ac:dyDescent="0.25">
      <c r="A1560" s="21" t="s">
        <v>2655</v>
      </c>
      <c r="B1560" s="26" t="s">
        <v>2656</v>
      </c>
      <c r="C1560" s="3" t="s">
        <v>2657</v>
      </c>
      <c r="D1560" s="21"/>
      <c r="E1560" s="21" t="s">
        <v>2620</v>
      </c>
      <c r="F1560" s="3" t="s">
        <v>78</v>
      </c>
      <c r="G1560" s="3">
        <v>1</v>
      </c>
      <c r="H1560" s="23">
        <v>22516</v>
      </c>
      <c r="I1560" s="124">
        <f t="shared" si="57"/>
        <v>22516</v>
      </c>
      <c r="J1560" s="21"/>
      <c r="K1560" s="24"/>
    </row>
    <row r="1561" spans="1:11" ht="15.75" customHeight="1" x14ac:dyDescent="0.25">
      <c r="A1561" s="21" t="s">
        <v>2658</v>
      </c>
      <c r="B1561" s="43" t="s">
        <v>2659</v>
      </c>
      <c r="C1561" s="3"/>
      <c r="D1561" s="21"/>
      <c r="E1561" s="21"/>
      <c r="F1561" s="3"/>
      <c r="G1561" s="3"/>
      <c r="H1561" s="23"/>
      <c r="I1561" s="124"/>
      <c r="J1561" s="21"/>
      <c r="K1561" s="24"/>
    </row>
    <row r="1562" spans="1:11" ht="94.5" customHeight="1" x14ac:dyDescent="0.25">
      <c r="A1562" s="21" t="s">
        <v>2660</v>
      </c>
      <c r="B1562" s="26" t="s">
        <v>2661</v>
      </c>
      <c r="C1562" s="3" t="s">
        <v>2662</v>
      </c>
      <c r="D1562" s="21"/>
      <c r="E1562" s="21" t="s">
        <v>2663</v>
      </c>
      <c r="F1562" s="3" t="s">
        <v>78</v>
      </c>
      <c r="G1562" s="3">
        <v>1</v>
      </c>
      <c r="H1562" s="23"/>
      <c r="I1562" s="124">
        <f>H1562*G1562</f>
        <v>0</v>
      </c>
      <c r="J1562" s="21"/>
      <c r="K1562" s="24"/>
    </row>
    <row r="1563" spans="1:11" ht="45" customHeight="1" x14ac:dyDescent="0.25">
      <c r="A1563" s="21" t="s">
        <v>2664</v>
      </c>
      <c r="B1563" s="26" t="s">
        <v>2665</v>
      </c>
      <c r="C1563" s="3" t="s">
        <v>2666</v>
      </c>
      <c r="D1563" s="21"/>
      <c r="E1563" s="21" t="s">
        <v>2620</v>
      </c>
      <c r="F1563" s="3" t="s">
        <v>78</v>
      </c>
      <c r="G1563" s="3">
        <v>16</v>
      </c>
      <c r="H1563" s="23">
        <v>13372.8</v>
      </c>
      <c r="I1563" s="124">
        <f>H1563*G1563</f>
        <v>213964.79999999999</v>
      </c>
      <c r="J1563" s="21"/>
      <c r="K1563" s="24"/>
    </row>
    <row r="1564" spans="1:11" ht="15.75" customHeight="1" x14ac:dyDescent="0.25">
      <c r="A1564" s="21" t="s">
        <v>2667</v>
      </c>
      <c r="B1564" s="26" t="s">
        <v>2668</v>
      </c>
      <c r="C1564" s="3" t="s">
        <v>2669</v>
      </c>
      <c r="D1564" s="21"/>
      <c r="E1564" s="21" t="s">
        <v>2620</v>
      </c>
      <c r="F1564" s="3" t="s">
        <v>78</v>
      </c>
      <c r="G1564" s="3">
        <v>16</v>
      </c>
      <c r="H1564" s="23">
        <v>8421</v>
      </c>
      <c r="I1564" s="124">
        <f>H1564*G1564</f>
        <v>134736</v>
      </c>
      <c r="J1564" s="21"/>
      <c r="K1564" s="24"/>
    </row>
    <row r="1565" spans="1:11" ht="69.75" customHeight="1" x14ac:dyDescent="0.25">
      <c r="A1565" s="21" t="s">
        <v>2670</v>
      </c>
      <c r="B1565" s="26" t="s">
        <v>2671</v>
      </c>
      <c r="C1565" s="3" t="s">
        <v>2672</v>
      </c>
      <c r="D1565" s="21"/>
      <c r="E1565" s="21" t="s">
        <v>2620</v>
      </c>
      <c r="F1565" s="3" t="s">
        <v>78</v>
      </c>
      <c r="G1565" s="3">
        <v>1</v>
      </c>
      <c r="H1565" s="23">
        <v>44903.6</v>
      </c>
      <c r="I1565" s="124">
        <f>H1565*G1565</f>
        <v>44903.6</v>
      </c>
      <c r="J1565" s="21"/>
      <c r="K1565" s="24"/>
    </row>
    <row r="1566" spans="1:11" ht="45" customHeight="1" x14ac:dyDescent="0.25">
      <c r="A1566" s="21" t="s">
        <v>2673</v>
      </c>
      <c r="B1566" s="26" t="s">
        <v>2674</v>
      </c>
      <c r="C1566" s="3" t="s">
        <v>2675</v>
      </c>
      <c r="D1566" s="21"/>
      <c r="E1566" s="21" t="s">
        <v>2620</v>
      </c>
      <c r="F1566" s="3" t="s">
        <v>78</v>
      </c>
      <c r="G1566" s="3">
        <v>1</v>
      </c>
      <c r="H1566" s="23">
        <v>9579.5</v>
      </c>
      <c r="I1566" s="124">
        <f>H1566*G1566</f>
        <v>9579.5</v>
      </c>
      <c r="J1566" s="21"/>
      <c r="K1566" s="24"/>
    </row>
    <row r="1567" spans="1:11" ht="15.75" customHeight="1" x14ac:dyDescent="0.25">
      <c r="A1567" s="21" t="s">
        <v>2676</v>
      </c>
      <c r="B1567" s="43" t="s">
        <v>2677</v>
      </c>
      <c r="C1567" s="3"/>
      <c r="D1567" s="21"/>
      <c r="E1567" s="21"/>
      <c r="F1567" s="3"/>
      <c r="G1567" s="3"/>
      <c r="H1567" s="23"/>
      <c r="I1567" s="124"/>
      <c r="J1567" s="21"/>
      <c r="K1567" s="24"/>
    </row>
    <row r="1568" spans="1:11" ht="41.25" customHeight="1" x14ac:dyDescent="0.25">
      <c r="A1568" s="21" t="s">
        <v>2678</v>
      </c>
      <c r="B1568" s="26" t="s">
        <v>2679</v>
      </c>
      <c r="C1568" s="3" t="s">
        <v>2680</v>
      </c>
      <c r="D1568" s="21"/>
      <c r="E1568" s="21" t="s">
        <v>2620</v>
      </c>
      <c r="F1568" s="3" t="s">
        <v>78</v>
      </c>
      <c r="G1568" s="3">
        <v>14</v>
      </c>
      <c r="H1568" s="23">
        <v>84784.7</v>
      </c>
      <c r="I1568" s="124">
        <f>H1568*G1568</f>
        <v>1186985.8</v>
      </c>
      <c r="J1568" s="21"/>
      <c r="K1568" s="24"/>
    </row>
    <row r="1569" spans="1:11" ht="54.75" customHeight="1" x14ac:dyDescent="0.25">
      <c r="A1569" s="21" t="s">
        <v>2681</v>
      </c>
      <c r="B1569" s="26" t="s">
        <v>2682</v>
      </c>
      <c r="C1569" s="3" t="s">
        <v>2683</v>
      </c>
      <c r="D1569" s="21"/>
      <c r="E1569" s="21" t="s">
        <v>2620</v>
      </c>
      <c r="F1569" s="3" t="s">
        <v>78</v>
      </c>
      <c r="G1569" s="3">
        <v>2</v>
      </c>
      <c r="H1569" s="23">
        <v>47896.800000000003</v>
      </c>
      <c r="I1569" s="124">
        <f>H1569*G1569</f>
        <v>95793.600000000006</v>
      </c>
      <c r="J1569" s="21"/>
    </row>
    <row r="1570" spans="1:11" ht="15.75" customHeight="1" x14ac:dyDescent="0.25">
      <c r="A1570" s="21" t="s">
        <v>2684</v>
      </c>
      <c r="B1570" s="43" t="s">
        <v>2685</v>
      </c>
      <c r="C1570" s="3"/>
      <c r="D1570" s="21"/>
      <c r="E1570" s="21"/>
      <c r="F1570" s="3"/>
      <c r="G1570" s="3"/>
      <c r="H1570" s="23"/>
      <c r="I1570" s="124"/>
      <c r="J1570" s="21"/>
      <c r="K1570" s="24"/>
    </row>
    <row r="1571" spans="1:11" ht="45" customHeight="1" x14ac:dyDescent="0.25">
      <c r="A1571" s="21" t="s">
        <v>2686</v>
      </c>
      <c r="B1571" s="26" t="s">
        <v>2687</v>
      </c>
      <c r="C1571" s="3" t="s">
        <v>2688</v>
      </c>
      <c r="D1571" s="21"/>
      <c r="E1571" s="21" t="s">
        <v>2620</v>
      </c>
      <c r="F1571" s="3" t="s">
        <v>78</v>
      </c>
      <c r="G1571" s="3">
        <v>1</v>
      </c>
      <c r="H1571" s="23">
        <v>102809</v>
      </c>
      <c r="I1571" s="124">
        <f>H1571*G1571</f>
        <v>102809</v>
      </c>
      <c r="J1571" s="21"/>
      <c r="K1571" s="24" t="s">
        <v>6861</v>
      </c>
    </row>
    <row r="1572" spans="1:11" ht="57" customHeight="1" x14ac:dyDescent="0.25">
      <c r="A1572" s="21" t="s">
        <v>2689</v>
      </c>
      <c r="B1572" s="26" t="s">
        <v>2622</v>
      </c>
      <c r="C1572" s="3" t="s">
        <v>2623</v>
      </c>
      <c r="D1572" s="21"/>
      <c r="E1572" s="21" t="s">
        <v>2620</v>
      </c>
      <c r="F1572" s="3" t="s">
        <v>78</v>
      </c>
      <c r="G1572" s="3">
        <v>1</v>
      </c>
      <c r="H1572" s="23">
        <v>12851.3</v>
      </c>
      <c r="I1572" s="124">
        <f>H1572*G1572</f>
        <v>12851.3</v>
      </c>
      <c r="J1572" s="21"/>
      <c r="K1572" s="24"/>
    </row>
    <row r="1573" spans="1:11" ht="54.75" customHeight="1" x14ac:dyDescent="0.25">
      <c r="A1573" s="21" t="s">
        <v>2690</v>
      </c>
      <c r="B1573" s="26" t="s">
        <v>2625</v>
      </c>
      <c r="C1573" s="3" t="s">
        <v>2626</v>
      </c>
      <c r="D1573" s="21"/>
      <c r="E1573" s="21" t="s">
        <v>2620</v>
      </c>
      <c r="F1573" s="3" t="s">
        <v>78</v>
      </c>
      <c r="G1573" s="3">
        <v>1</v>
      </c>
      <c r="H1573" s="23">
        <v>77107.100000000006</v>
      </c>
      <c r="I1573" s="124">
        <f>H1573*G1573</f>
        <v>77107.100000000006</v>
      </c>
      <c r="J1573" s="21"/>
      <c r="K1573" s="24"/>
    </row>
    <row r="1574" spans="1:11" ht="41.25" customHeight="1" x14ac:dyDescent="0.25">
      <c r="A1574" s="21" t="s">
        <v>2691</v>
      </c>
      <c r="B1574" s="26" t="s">
        <v>2692</v>
      </c>
      <c r="C1574" s="3" t="s">
        <v>2693</v>
      </c>
      <c r="D1574" s="21"/>
      <c r="E1574" s="21" t="s">
        <v>2620</v>
      </c>
      <c r="F1574" s="3" t="s">
        <v>78</v>
      </c>
      <c r="G1574" s="3">
        <v>1</v>
      </c>
      <c r="H1574" s="23">
        <v>10280.9</v>
      </c>
      <c r="I1574" s="124">
        <f>H1574*G1574</f>
        <v>10280.9</v>
      </c>
      <c r="J1574" s="21"/>
      <c r="K1574" s="24"/>
    </row>
    <row r="1575" spans="1:11" s="49" customFormat="1" ht="15.75" customHeight="1" x14ac:dyDescent="0.25">
      <c r="A1575" s="44" t="s">
        <v>2694</v>
      </c>
      <c r="B1575" s="50" t="s">
        <v>2695</v>
      </c>
      <c r="C1575" s="46"/>
      <c r="D1575" s="44"/>
      <c r="E1575" s="44"/>
      <c r="F1575" s="46"/>
      <c r="G1575" s="46"/>
      <c r="H1575" s="47"/>
      <c r="I1575" s="128"/>
      <c r="J1575" s="44"/>
      <c r="K1575" s="48"/>
    </row>
    <row r="1576" spans="1:11" s="49" customFormat="1" ht="94.5" customHeight="1" x14ac:dyDescent="0.25">
      <c r="A1576" s="44" t="s">
        <v>2696</v>
      </c>
      <c r="B1576" s="45" t="s">
        <v>2697</v>
      </c>
      <c r="C1576" s="46" t="s">
        <v>2698</v>
      </c>
      <c r="D1576" s="44"/>
      <c r="E1576" s="44" t="s">
        <v>2663</v>
      </c>
      <c r="F1576" s="46" t="s">
        <v>78</v>
      </c>
      <c r="G1576" s="46">
        <v>1</v>
      </c>
      <c r="H1576" s="47"/>
      <c r="I1576" s="128">
        <f t="shared" ref="I1576:I1617" si="58">H1576*G1576</f>
        <v>0</v>
      </c>
      <c r="J1576" s="44"/>
      <c r="K1576" s="48"/>
    </row>
    <row r="1577" spans="1:11" s="49" customFormat="1" ht="15.75" customHeight="1" x14ac:dyDescent="0.25">
      <c r="A1577" s="44" t="s">
        <v>2699</v>
      </c>
      <c r="B1577" s="50" t="s">
        <v>2700</v>
      </c>
      <c r="C1577" s="46"/>
      <c r="D1577" s="44"/>
      <c r="E1577" s="44"/>
      <c r="F1577" s="46" t="s">
        <v>47</v>
      </c>
      <c r="G1577" s="46">
        <v>1</v>
      </c>
      <c r="H1577" s="47"/>
      <c r="I1577" s="128">
        <f t="shared" si="58"/>
        <v>0</v>
      </c>
      <c r="J1577" s="44"/>
      <c r="K1577" s="48"/>
    </row>
    <row r="1578" spans="1:11" ht="64.5" customHeight="1" x14ac:dyDescent="0.25">
      <c r="A1578" s="21" t="s">
        <v>2701</v>
      </c>
      <c r="B1578" s="26" t="s">
        <v>2702</v>
      </c>
      <c r="C1578" s="3" t="s">
        <v>2528</v>
      </c>
      <c r="D1578" s="21"/>
      <c r="E1578" s="21" t="s">
        <v>2529</v>
      </c>
      <c r="F1578" s="3" t="s">
        <v>78</v>
      </c>
      <c r="G1578" s="3">
        <v>1</v>
      </c>
      <c r="H1578" s="23">
        <v>91428.04</v>
      </c>
      <c r="I1578" s="124">
        <f t="shared" si="58"/>
        <v>91428.04</v>
      </c>
      <c r="J1578" s="21"/>
      <c r="K1578" s="24"/>
    </row>
    <row r="1579" spans="1:11" ht="28.5" customHeight="1" x14ac:dyDescent="0.25">
      <c r="A1579" s="21" t="s">
        <v>2703</v>
      </c>
      <c r="B1579" s="26" t="s">
        <v>2530</v>
      </c>
      <c r="C1579" s="3" t="s">
        <v>2531</v>
      </c>
      <c r="D1579" s="21" t="s">
        <v>2532</v>
      </c>
      <c r="E1579" s="21" t="s">
        <v>2529</v>
      </c>
      <c r="F1579" s="3" t="s">
        <v>78</v>
      </c>
      <c r="G1579" s="3">
        <v>1</v>
      </c>
      <c r="H1579" s="23">
        <v>12241.6</v>
      </c>
      <c r="I1579" s="124">
        <f t="shared" si="58"/>
        <v>12241.6</v>
      </c>
      <c r="J1579" s="21"/>
      <c r="K1579" s="24"/>
    </row>
    <row r="1580" spans="1:11" ht="15.75" customHeight="1" x14ac:dyDescent="0.25">
      <c r="A1580" s="21" t="s">
        <v>2704</v>
      </c>
      <c r="B1580" s="26" t="s">
        <v>2533</v>
      </c>
      <c r="C1580" s="3" t="s">
        <v>2534</v>
      </c>
      <c r="D1580" s="21" t="s">
        <v>2535</v>
      </c>
      <c r="E1580" s="21" t="s">
        <v>2529</v>
      </c>
      <c r="F1580" s="3" t="s">
        <v>78</v>
      </c>
      <c r="G1580" s="3">
        <v>1</v>
      </c>
      <c r="H1580" s="23">
        <v>2130.84</v>
      </c>
      <c r="I1580" s="124">
        <f t="shared" si="58"/>
        <v>2130.84</v>
      </c>
      <c r="J1580" s="21"/>
      <c r="K1580" s="24"/>
    </row>
    <row r="1581" spans="1:11" ht="28.5" customHeight="1" x14ac:dyDescent="0.25">
      <c r="A1581" s="21" t="s">
        <v>2705</v>
      </c>
      <c r="B1581" s="26" t="s">
        <v>2536</v>
      </c>
      <c r="C1581" s="3" t="s">
        <v>2537</v>
      </c>
      <c r="D1581" s="21" t="s">
        <v>2538</v>
      </c>
      <c r="E1581" s="21" t="s">
        <v>2529</v>
      </c>
      <c r="F1581" s="3" t="s">
        <v>78</v>
      </c>
      <c r="G1581" s="3">
        <v>2</v>
      </c>
      <c r="H1581" s="23">
        <v>2772.18</v>
      </c>
      <c r="I1581" s="124">
        <f t="shared" si="58"/>
        <v>5544.36</v>
      </c>
      <c r="J1581" s="21"/>
      <c r="K1581" s="24"/>
    </row>
    <row r="1582" spans="1:11" ht="15.75" customHeight="1" x14ac:dyDescent="0.25">
      <c r="A1582" s="21" t="s">
        <v>2706</v>
      </c>
      <c r="B1582" s="26" t="s">
        <v>2539</v>
      </c>
      <c r="C1582" s="3" t="s">
        <v>2540</v>
      </c>
      <c r="D1582" s="21" t="s">
        <v>2541</v>
      </c>
      <c r="E1582" s="21" t="s">
        <v>2529</v>
      </c>
      <c r="F1582" s="3" t="s">
        <v>78</v>
      </c>
      <c r="G1582" s="3">
        <v>5</v>
      </c>
      <c r="H1582" s="23">
        <v>322.32</v>
      </c>
      <c r="I1582" s="124">
        <f t="shared" si="58"/>
        <v>1611.6</v>
      </c>
      <c r="J1582" s="21"/>
      <c r="K1582" s="24"/>
    </row>
    <row r="1583" spans="1:11" ht="15.75" customHeight="1" x14ac:dyDescent="0.25">
      <c r="A1583" s="21" t="s">
        <v>2707</v>
      </c>
      <c r="B1583" s="26" t="s">
        <v>2708</v>
      </c>
      <c r="C1583" s="3" t="s">
        <v>2709</v>
      </c>
      <c r="D1583" s="21" t="s">
        <v>2710</v>
      </c>
      <c r="E1583" s="21" t="s">
        <v>2529</v>
      </c>
      <c r="F1583" s="3" t="s">
        <v>78</v>
      </c>
      <c r="G1583" s="3">
        <v>4</v>
      </c>
      <c r="H1583" s="23">
        <v>1205.68</v>
      </c>
      <c r="I1583" s="124">
        <f t="shared" si="58"/>
        <v>4822.72</v>
      </c>
      <c r="J1583" s="21"/>
      <c r="K1583" s="24"/>
    </row>
    <row r="1584" spans="1:11" ht="28.5" customHeight="1" x14ac:dyDescent="0.25">
      <c r="A1584" s="21" t="s">
        <v>2711</v>
      </c>
      <c r="B1584" s="26" t="s">
        <v>2545</v>
      </c>
      <c r="C1584" s="3" t="s">
        <v>2546</v>
      </c>
      <c r="D1584" s="21" t="s">
        <v>2547</v>
      </c>
      <c r="E1584" s="21" t="s">
        <v>2529</v>
      </c>
      <c r="F1584" s="3" t="s">
        <v>78</v>
      </c>
      <c r="G1584" s="3">
        <v>100</v>
      </c>
      <c r="H1584" s="23">
        <v>14.3</v>
      </c>
      <c r="I1584" s="124">
        <f t="shared" si="58"/>
        <v>1430</v>
      </c>
      <c r="J1584" s="21"/>
      <c r="K1584" s="24"/>
    </row>
    <row r="1585" spans="1:11" ht="28.5" customHeight="1" x14ac:dyDescent="0.25">
      <c r="A1585" s="21" t="s">
        <v>2712</v>
      </c>
      <c r="B1585" s="26" t="s">
        <v>2548</v>
      </c>
      <c r="C1585" s="3" t="s">
        <v>2549</v>
      </c>
      <c r="D1585" s="21" t="s">
        <v>2550</v>
      </c>
      <c r="E1585" s="21" t="s">
        <v>2529</v>
      </c>
      <c r="F1585" s="3" t="s">
        <v>78</v>
      </c>
      <c r="G1585" s="3">
        <v>1</v>
      </c>
      <c r="H1585" s="23">
        <v>2795.28</v>
      </c>
      <c r="I1585" s="124">
        <f t="shared" si="58"/>
        <v>2795.28</v>
      </c>
      <c r="J1585" s="21"/>
      <c r="K1585" s="24"/>
    </row>
    <row r="1586" spans="1:11" ht="28.5" customHeight="1" x14ac:dyDescent="0.25">
      <c r="A1586" s="21" t="s">
        <v>2713</v>
      </c>
      <c r="B1586" s="26" t="s">
        <v>2714</v>
      </c>
      <c r="C1586" s="3" t="s">
        <v>2553</v>
      </c>
      <c r="D1586" s="21" t="s">
        <v>2554</v>
      </c>
      <c r="E1586" s="21" t="s">
        <v>2529</v>
      </c>
      <c r="F1586" s="3" t="s">
        <v>47</v>
      </c>
      <c r="G1586" s="3">
        <v>1</v>
      </c>
      <c r="H1586" s="23">
        <v>1065.97</v>
      </c>
      <c r="I1586" s="124">
        <f t="shared" si="58"/>
        <v>1065.97</v>
      </c>
      <c r="J1586" s="21"/>
      <c r="K1586" s="24"/>
    </row>
    <row r="1587" spans="1:11" ht="15.75" customHeight="1" x14ac:dyDescent="0.25">
      <c r="A1587" s="21" t="s">
        <v>2715</v>
      </c>
      <c r="B1587" s="26" t="s">
        <v>2584</v>
      </c>
      <c r="C1587" s="3" t="s">
        <v>2585</v>
      </c>
      <c r="D1587" s="21"/>
      <c r="E1587" s="21" t="s">
        <v>2586</v>
      </c>
      <c r="F1587" s="3" t="s">
        <v>78</v>
      </c>
      <c r="G1587" s="3">
        <v>1</v>
      </c>
      <c r="H1587" s="23"/>
      <c r="I1587" s="124">
        <f t="shared" si="58"/>
        <v>0</v>
      </c>
      <c r="J1587" s="21"/>
      <c r="K1587" s="24"/>
    </row>
    <row r="1588" spans="1:11" ht="15.75" customHeight="1" x14ac:dyDescent="0.25">
      <c r="A1588" s="21" t="s">
        <v>2716</v>
      </c>
      <c r="B1588" s="26" t="s">
        <v>2588</v>
      </c>
      <c r="C1588" s="3" t="s">
        <v>2589</v>
      </c>
      <c r="D1588" s="21"/>
      <c r="E1588" s="21" t="s">
        <v>2586</v>
      </c>
      <c r="F1588" s="3" t="s">
        <v>78</v>
      </c>
      <c r="G1588" s="3">
        <v>1</v>
      </c>
      <c r="H1588" s="23"/>
      <c r="I1588" s="124">
        <f t="shared" si="58"/>
        <v>0</v>
      </c>
      <c r="J1588" s="21"/>
      <c r="K1588" s="24"/>
    </row>
    <row r="1589" spans="1:11" ht="28.5" customHeight="1" x14ac:dyDescent="0.25">
      <c r="A1589" s="21" t="s">
        <v>2717</v>
      </c>
      <c r="B1589" s="26" t="s">
        <v>2718</v>
      </c>
      <c r="C1589" s="3" t="s">
        <v>2719</v>
      </c>
      <c r="D1589" s="21"/>
      <c r="E1589" s="21" t="s">
        <v>2593</v>
      </c>
      <c r="F1589" s="3" t="s">
        <v>78</v>
      </c>
      <c r="G1589" s="3">
        <v>1</v>
      </c>
      <c r="H1589" s="23"/>
      <c r="I1589" s="124">
        <f t="shared" si="58"/>
        <v>0</v>
      </c>
      <c r="J1589" s="21"/>
      <c r="K1589" s="24"/>
    </row>
    <row r="1590" spans="1:11" ht="45" customHeight="1" x14ac:dyDescent="0.25">
      <c r="A1590" s="21" t="s">
        <v>2720</v>
      </c>
      <c r="B1590" s="26" t="s">
        <v>2721</v>
      </c>
      <c r="C1590" s="3" t="s">
        <v>2722</v>
      </c>
      <c r="D1590" s="21" t="s">
        <v>2582</v>
      </c>
      <c r="E1590" s="21" t="s">
        <v>2529</v>
      </c>
      <c r="F1590" s="3" t="s">
        <v>78</v>
      </c>
      <c r="G1590" s="3">
        <v>2</v>
      </c>
      <c r="H1590" s="23">
        <v>2762.28</v>
      </c>
      <c r="I1590" s="124">
        <f t="shared" si="58"/>
        <v>5524.56</v>
      </c>
      <c r="J1590" s="21"/>
      <c r="K1590" s="24"/>
    </row>
    <row r="1591" spans="1:11" ht="15.75" customHeight="1" x14ac:dyDescent="0.25">
      <c r="A1591" s="21" t="s">
        <v>2723</v>
      </c>
      <c r="B1591" s="26" t="s">
        <v>2724</v>
      </c>
      <c r="C1591" s="3"/>
      <c r="D1591" s="21"/>
      <c r="E1591" s="21" t="s">
        <v>2725</v>
      </c>
      <c r="F1591" s="3" t="s">
        <v>78</v>
      </c>
      <c r="G1591" s="3">
        <v>1</v>
      </c>
      <c r="H1591" s="23"/>
      <c r="I1591" s="124">
        <f t="shared" si="58"/>
        <v>0</v>
      </c>
      <c r="J1591" s="21"/>
      <c r="K1591" s="24"/>
    </row>
    <row r="1592" spans="1:11" ht="42.75" customHeight="1" x14ac:dyDescent="0.25">
      <c r="A1592" s="21" t="s">
        <v>2726</v>
      </c>
      <c r="B1592" s="26" t="s">
        <v>2727</v>
      </c>
      <c r="C1592" s="3" t="s">
        <v>2728</v>
      </c>
      <c r="D1592" s="21" t="s">
        <v>2729</v>
      </c>
      <c r="E1592" s="21" t="s">
        <v>2529</v>
      </c>
      <c r="F1592" s="3" t="s">
        <v>78</v>
      </c>
      <c r="G1592" s="3">
        <v>1</v>
      </c>
      <c r="H1592" s="23">
        <v>2189.15</v>
      </c>
      <c r="I1592" s="124">
        <f t="shared" si="58"/>
        <v>2189.15</v>
      </c>
      <c r="J1592" s="21"/>
      <c r="K1592" s="24"/>
    </row>
    <row r="1593" spans="1:11" ht="34.5" customHeight="1" x14ac:dyDescent="0.25">
      <c r="A1593" s="21" t="s">
        <v>2730</v>
      </c>
      <c r="B1593" s="26" t="s">
        <v>2560</v>
      </c>
      <c r="C1593" s="3" t="s">
        <v>2561</v>
      </c>
      <c r="D1593" s="21" t="s">
        <v>2562</v>
      </c>
      <c r="E1593" s="21" t="s">
        <v>2529</v>
      </c>
      <c r="F1593" s="3" t="s">
        <v>78</v>
      </c>
      <c r="G1593" s="3">
        <v>8</v>
      </c>
      <c r="H1593" s="23">
        <v>71.510000000000005</v>
      </c>
      <c r="I1593" s="124">
        <f t="shared" si="58"/>
        <v>572.08000000000004</v>
      </c>
      <c r="J1593" s="21"/>
      <c r="K1593" s="24"/>
    </row>
    <row r="1594" spans="1:11" ht="15.75" customHeight="1" x14ac:dyDescent="0.25">
      <c r="A1594" s="21" t="s">
        <v>2731</v>
      </c>
      <c r="B1594" s="26" t="s">
        <v>2564</v>
      </c>
      <c r="C1594" s="3" t="s">
        <v>2565</v>
      </c>
      <c r="D1594" s="21" t="s">
        <v>2566</v>
      </c>
      <c r="E1594" s="21" t="s">
        <v>2529</v>
      </c>
      <c r="F1594" s="3" t="s">
        <v>78</v>
      </c>
      <c r="G1594" s="3">
        <v>16</v>
      </c>
      <c r="H1594" s="23">
        <v>146.31</v>
      </c>
      <c r="I1594" s="124">
        <f t="shared" si="58"/>
        <v>2340.96</v>
      </c>
      <c r="J1594" s="21"/>
      <c r="K1594" s="24"/>
    </row>
    <row r="1595" spans="1:11" ht="28.5" customHeight="1" x14ac:dyDescent="0.25">
      <c r="A1595" s="21" t="s">
        <v>2732</v>
      </c>
      <c r="B1595" s="26" t="s">
        <v>2568</v>
      </c>
      <c r="C1595" s="3" t="s">
        <v>2569</v>
      </c>
      <c r="D1595" s="21" t="s">
        <v>2570</v>
      </c>
      <c r="E1595" s="21" t="s">
        <v>2529</v>
      </c>
      <c r="F1595" s="3" t="s">
        <v>78</v>
      </c>
      <c r="G1595" s="3">
        <v>1</v>
      </c>
      <c r="H1595" s="23">
        <v>2371.75</v>
      </c>
      <c r="I1595" s="124">
        <f t="shared" si="58"/>
        <v>2371.75</v>
      </c>
      <c r="J1595" s="21"/>
      <c r="K1595" s="24"/>
    </row>
    <row r="1596" spans="1:11" s="49" customFormat="1" ht="34.5" customHeight="1" x14ac:dyDescent="0.25">
      <c r="A1596" s="44" t="s">
        <v>2733</v>
      </c>
      <c r="B1596" s="45" t="s">
        <v>2734</v>
      </c>
      <c r="C1596" s="46" t="s">
        <v>2573</v>
      </c>
      <c r="D1596" s="44" t="s">
        <v>2574</v>
      </c>
      <c r="E1596" s="44" t="s">
        <v>2529</v>
      </c>
      <c r="F1596" s="46" t="s">
        <v>78</v>
      </c>
      <c r="G1596" s="46">
        <v>1</v>
      </c>
      <c r="H1596" s="47">
        <v>5842.48</v>
      </c>
      <c r="I1596" s="128">
        <f t="shared" si="58"/>
        <v>5842.48</v>
      </c>
      <c r="J1596" s="44"/>
      <c r="K1596" s="48"/>
    </row>
    <row r="1597" spans="1:11" s="49" customFormat="1" ht="28.5" customHeight="1" x14ac:dyDescent="0.25">
      <c r="A1597" s="44" t="s">
        <v>2735</v>
      </c>
      <c r="B1597" s="45" t="s">
        <v>2576</v>
      </c>
      <c r="C1597" s="46" t="s">
        <v>2577</v>
      </c>
      <c r="D1597" s="44" t="s">
        <v>2578</v>
      </c>
      <c r="E1597" s="44" t="s">
        <v>2529</v>
      </c>
      <c r="F1597" s="46" t="s">
        <v>78</v>
      </c>
      <c r="G1597" s="46">
        <v>6</v>
      </c>
      <c r="H1597" s="47"/>
      <c r="I1597" s="128">
        <f t="shared" si="58"/>
        <v>0</v>
      </c>
      <c r="J1597" s="44"/>
      <c r="K1597" s="48"/>
    </row>
    <row r="1598" spans="1:11" s="49" customFormat="1" ht="42.75" customHeight="1" x14ac:dyDescent="0.25">
      <c r="A1598" s="44" t="s">
        <v>2736</v>
      </c>
      <c r="B1598" s="50" t="s">
        <v>2631</v>
      </c>
      <c r="C1598" s="46" t="s">
        <v>2632</v>
      </c>
      <c r="D1598" s="44"/>
      <c r="E1598" s="21" t="s">
        <v>2620</v>
      </c>
      <c r="F1598" s="46" t="s">
        <v>78</v>
      </c>
      <c r="G1598" s="46">
        <v>1</v>
      </c>
      <c r="H1598" s="47">
        <v>225162</v>
      </c>
      <c r="I1598" s="128">
        <f t="shared" si="58"/>
        <v>225162</v>
      </c>
      <c r="J1598" s="44"/>
      <c r="K1598" s="48"/>
    </row>
    <row r="1599" spans="1:11" s="49" customFormat="1" ht="42.75" customHeight="1" x14ac:dyDescent="0.25">
      <c r="A1599" s="44" t="s">
        <v>2737</v>
      </c>
      <c r="B1599" s="45" t="s">
        <v>2634</v>
      </c>
      <c r="C1599" s="46" t="s">
        <v>2635</v>
      </c>
      <c r="D1599" s="44"/>
      <c r="E1599" s="21" t="s">
        <v>2620</v>
      </c>
      <c r="F1599" s="46" t="s">
        <v>78</v>
      </c>
      <c r="G1599" s="46">
        <v>1</v>
      </c>
      <c r="H1599" s="47">
        <v>28145</v>
      </c>
      <c r="I1599" s="128">
        <f t="shared" si="58"/>
        <v>28145</v>
      </c>
      <c r="J1599" s="44"/>
      <c r="K1599" s="48"/>
    </row>
    <row r="1600" spans="1:11" s="49" customFormat="1" ht="54" customHeight="1" x14ac:dyDescent="0.25">
      <c r="A1600" s="44" t="s">
        <v>2738</v>
      </c>
      <c r="B1600" s="45" t="s">
        <v>2625</v>
      </c>
      <c r="C1600" s="46" t="s">
        <v>2626</v>
      </c>
      <c r="D1600" s="44"/>
      <c r="E1600" s="21" t="s">
        <v>2620</v>
      </c>
      <c r="F1600" s="46" t="s">
        <v>78</v>
      </c>
      <c r="G1600" s="46">
        <v>1</v>
      </c>
      <c r="H1600" s="47">
        <v>168872</v>
      </c>
      <c r="I1600" s="128">
        <f t="shared" si="58"/>
        <v>168872</v>
      </c>
      <c r="J1600" s="44"/>
      <c r="K1600" s="48"/>
    </row>
    <row r="1601" spans="1:11" ht="45" customHeight="1" x14ac:dyDescent="0.25">
      <c r="A1601" s="21" t="s">
        <v>2739</v>
      </c>
      <c r="B1601" s="26" t="s">
        <v>2740</v>
      </c>
      <c r="C1601" s="3" t="s">
        <v>2639</v>
      </c>
      <c r="D1601" s="21"/>
      <c r="E1601" s="21" t="s">
        <v>2620</v>
      </c>
      <c r="F1601" s="3" t="s">
        <v>78</v>
      </c>
      <c r="G1601" s="3">
        <v>1</v>
      </c>
      <c r="H1601" s="23">
        <v>22516</v>
      </c>
      <c r="I1601" s="124">
        <f t="shared" si="58"/>
        <v>22516</v>
      </c>
      <c r="J1601" s="21"/>
      <c r="K1601" s="24"/>
    </row>
    <row r="1602" spans="1:11" ht="45" customHeight="1" x14ac:dyDescent="0.25">
      <c r="A1602" s="21" t="s">
        <v>2741</v>
      </c>
      <c r="B1602" s="43" t="s">
        <v>2641</v>
      </c>
      <c r="C1602" s="3" t="s">
        <v>2642</v>
      </c>
      <c r="D1602" s="21"/>
      <c r="E1602" s="21" t="s">
        <v>2620</v>
      </c>
      <c r="F1602" s="3" t="s">
        <v>78</v>
      </c>
      <c r="G1602" s="3">
        <v>1</v>
      </c>
      <c r="H1602" s="23">
        <v>284574</v>
      </c>
      <c r="I1602" s="124">
        <f t="shared" si="58"/>
        <v>284574</v>
      </c>
      <c r="J1602" s="21"/>
      <c r="K1602" s="24"/>
    </row>
    <row r="1603" spans="1:11" ht="45" customHeight="1" x14ac:dyDescent="0.25">
      <c r="A1603" s="21" t="s">
        <v>2742</v>
      </c>
      <c r="B1603" s="26" t="s">
        <v>2634</v>
      </c>
      <c r="C1603" s="3" t="s">
        <v>2635</v>
      </c>
      <c r="D1603" s="21"/>
      <c r="E1603" s="21" t="s">
        <v>2620</v>
      </c>
      <c r="F1603" s="3" t="s">
        <v>78</v>
      </c>
      <c r="G1603" s="3">
        <v>1</v>
      </c>
      <c r="H1603" s="23">
        <f>35572+71144</f>
        <v>106716</v>
      </c>
      <c r="I1603" s="124">
        <f t="shared" si="58"/>
        <v>106716</v>
      </c>
      <c r="J1603" s="21"/>
      <c r="K1603" s="24"/>
    </row>
    <row r="1604" spans="1:11" ht="54.75" customHeight="1" x14ac:dyDescent="0.25">
      <c r="A1604" s="21" t="s">
        <v>2743</v>
      </c>
      <c r="B1604" s="26" t="s">
        <v>2625</v>
      </c>
      <c r="C1604" s="3" t="s">
        <v>2626</v>
      </c>
      <c r="D1604" s="21"/>
      <c r="E1604" s="21" t="s">
        <v>2620</v>
      </c>
      <c r="F1604" s="3" t="s">
        <v>78</v>
      </c>
      <c r="G1604" s="3">
        <v>1</v>
      </c>
      <c r="H1604" s="23">
        <v>213431</v>
      </c>
      <c r="I1604" s="124">
        <f t="shared" si="58"/>
        <v>213431</v>
      </c>
      <c r="J1604" s="21"/>
      <c r="K1604" s="24"/>
    </row>
    <row r="1605" spans="1:11" ht="45" customHeight="1" x14ac:dyDescent="0.25">
      <c r="A1605" s="21" t="s">
        <v>2744</v>
      </c>
      <c r="B1605" s="26" t="s">
        <v>2638</v>
      </c>
      <c r="C1605" s="3" t="s">
        <v>2639</v>
      </c>
      <c r="D1605" s="21"/>
      <c r="E1605" s="21" t="s">
        <v>2620</v>
      </c>
      <c r="F1605" s="3" t="s">
        <v>78</v>
      </c>
      <c r="G1605" s="3">
        <v>1</v>
      </c>
      <c r="H1605" s="23">
        <v>28457</v>
      </c>
      <c r="I1605" s="124">
        <f t="shared" si="58"/>
        <v>28457</v>
      </c>
      <c r="J1605" s="21"/>
      <c r="K1605" s="24"/>
    </row>
    <row r="1606" spans="1:11" ht="34.5" customHeight="1" x14ac:dyDescent="0.25">
      <c r="A1606" s="21" t="s">
        <v>2745</v>
      </c>
      <c r="B1606" s="43" t="s">
        <v>2746</v>
      </c>
      <c r="C1606" s="3" t="s">
        <v>2648</v>
      </c>
      <c r="D1606" s="21"/>
      <c r="E1606" s="21" t="s">
        <v>2620</v>
      </c>
      <c r="F1606" s="3" t="s">
        <v>78</v>
      </c>
      <c r="G1606" s="3">
        <v>1</v>
      </c>
      <c r="H1606" s="23">
        <v>134583.4</v>
      </c>
      <c r="I1606" s="124">
        <f t="shared" si="58"/>
        <v>134583.4</v>
      </c>
      <c r="J1606" s="21"/>
      <c r="K1606" s="24"/>
    </row>
    <row r="1607" spans="1:11" ht="34.5" customHeight="1" x14ac:dyDescent="0.25">
      <c r="A1607" s="21" t="s">
        <v>2747</v>
      </c>
      <c r="B1607" s="26" t="s">
        <v>2650</v>
      </c>
      <c r="C1607" s="3" t="s">
        <v>2651</v>
      </c>
      <c r="D1607" s="21"/>
      <c r="E1607" s="21" t="s">
        <v>2620</v>
      </c>
      <c r="F1607" s="3" t="s">
        <v>78</v>
      </c>
      <c r="G1607" s="3">
        <v>1</v>
      </c>
      <c r="H1607" s="23"/>
      <c r="I1607" s="124">
        <f t="shared" si="58"/>
        <v>0</v>
      </c>
      <c r="J1607" s="21"/>
      <c r="K1607" s="24"/>
    </row>
    <row r="1608" spans="1:11" ht="15.75" customHeight="1" x14ac:dyDescent="0.25">
      <c r="A1608" s="21" t="s">
        <v>2748</v>
      </c>
      <c r="B1608" s="26" t="s">
        <v>2653</v>
      </c>
      <c r="C1608" s="3" t="s">
        <v>2654</v>
      </c>
      <c r="D1608" s="21"/>
      <c r="E1608" s="21" t="s">
        <v>2620</v>
      </c>
      <c r="F1608" s="3" t="s">
        <v>78</v>
      </c>
      <c r="G1608" s="3">
        <v>1</v>
      </c>
      <c r="H1608" s="23">
        <v>33159</v>
      </c>
      <c r="I1608" s="124">
        <f t="shared" si="58"/>
        <v>33159</v>
      </c>
      <c r="J1608" s="21"/>
      <c r="K1608" s="24"/>
    </row>
    <row r="1609" spans="1:11" ht="54.75" customHeight="1" x14ac:dyDescent="0.25">
      <c r="A1609" s="21" t="s">
        <v>2749</v>
      </c>
      <c r="B1609" s="26" t="s">
        <v>2750</v>
      </c>
      <c r="C1609" s="3" t="s">
        <v>2657</v>
      </c>
      <c r="D1609" s="21"/>
      <c r="E1609" s="21" t="s">
        <v>2620</v>
      </c>
      <c r="F1609" s="3" t="s">
        <v>78</v>
      </c>
      <c r="G1609" s="3">
        <v>1</v>
      </c>
      <c r="H1609" s="23">
        <v>22516</v>
      </c>
      <c r="I1609" s="124">
        <f t="shared" si="58"/>
        <v>22516</v>
      </c>
      <c r="J1609" s="21"/>
      <c r="K1609" s="24"/>
    </row>
    <row r="1610" spans="1:11" ht="34.5" customHeight="1" x14ac:dyDescent="0.25">
      <c r="A1610" s="21" t="s">
        <v>2751</v>
      </c>
      <c r="B1610" s="43" t="s">
        <v>2752</v>
      </c>
      <c r="C1610" s="3" t="s">
        <v>2753</v>
      </c>
      <c r="D1610" s="21" t="s">
        <v>2754</v>
      </c>
      <c r="E1610" s="21" t="s">
        <v>2601</v>
      </c>
      <c r="F1610" s="3" t="s">
        <v>78</v>
      </c>
      <c r="G1610" s="3">
        <v>1</v>
      </c>
      <c r="H1610" s="23">
        <v>13372.8</v>
      </c>
      <c r="I1610" s="124">
        <f t="shared" si="58"/>
        <v>13372.8</v>
      </c>
      <c r="J1610" s="21"/>
      <c r="K1610" s="24"/>
    </row>
    <row r="1611" spans="1:11" ht="34.5" customHeight="1" x14ac:dyDescent="0.25">
      <c r="A1611" s="21" t="s">
        <v>2755</v>
      </c>
      <c r="B1611" s="26" t="s">
        <v>2756</v>
      </c>
      <c r="C1611" s="3" t="s">
        <v>2757</v>
      </c>
      <c r="D1611" s="21" t="s">
        <v>2758</v>
      </c>
      <c r="E1611" s="21" t="s">
        <v>2601</v>
      </c>
      <c r="F1611" s="3" t="s">
        <v>78</v>
      </c>
      <c r="G1611" s="3">
        <v>1</v>
      </c>
      <c r="H1611" s="23">
        <v>61500</v>
      </c>
      <c r="I1611" s="124">
        <f t="shared" si="58"/>
        <v>61500</v>
      </c>
      <c r="J1611" s="21"/>
      <c r="K1611" s="24"/>
    </row>
    <row r="1612" spans="1:11" ht="34.5" customHeight="1" x14ac:dyDescent="0.25">
      <c r="A1612" s="21" t="s">
        <v>2759</v>
      </c>
      <c r="B1612" s="26" t="s">
        <v>2760</v>
      </c>
      <c r="C1612" s="3" t="s">
        <v>2761</v>
      </c>
      <c r="D1612" s="21" t="s">
        <v>2762</v>
      </c>
      <c r="E1612" s="21" t="s">
        <v>2601</v>
      </c>
      <c r="F1612" s="3" t="s">
        <v>78</v>
      </c>
      <c r="G1612" s="3">
        <v>2</v>
      </c>
      <c r="H1612" s="23">
        <v>6500</v>
      </c>
      <c r="I1612" s="124">
        <f t="shared" si="58"/>
        <v>13000</v>
      </c>
      <c r="J1612" s="21"/>
      <c r="K1612" s="24"/>
    </row>
    <row r="1613" spans="1:11" ht="15.75" customHeight="1" x14ac:dyDescent="0.25">
      <c r="A1613" s="21" t="s">
        <v>2763</v>
      </c>
      <c r="B1613" s="26" t="s">
        <v>2764</v>
      </c>
      <c r="C1613" s="3" t="s">
        <v>2611</v>
      </c>
      <c r="D1613" s="21" t="s">
        <v>2612</v>
      </c>
      <c r="E1613" s="21" t="s">
        <v>2601</v>
      </c>
      <c r="F1613" s="3" t="s">
        <v>78</v>
      </c>
      <c r="G1613" s="3">
        <v>1</v>
      </c>
      <c r="H1613" s="23">
        <v>75600</v>
      </c>
      <c r="I1613" s="124">
        <f t="shared" si="58"/>
        <v>75600</v>
      </c>
      <c r="J1613" s="21"/>
      <c r="K1613" s="24"/>
    </row>
    <row r="1614" spans="1:11" ht="15.75" customHeight="1" x14ac:dyDescent="0.25">
      <c r="A1614" s="21" t="s">
        <v>2765</v>
      </c>
      <c r="B1614" s="43" t="s">
        <v>2766</v>
      </c>
      <c r="C1614" s="3"/>
      <c r="D1614" s="21"/>
      <c r="E1614" s="21"/>
      <c r="F1614" s="3" t="s">
        <v>47</v>
      </c>
      <c r="G1614" s="3">
        <v>1</v>
      </c>
      <c r="H1614" s="23"/>
      <c r="I1614" s="124">
        <f t="shared" si="58"/>
        <v>0</v>
      </c>
      <c r="J1614" s="21"/>
      <c r="K1614" s="24"/>
    </row>
    <row r="1615" spans="1:11" ht="42.75" customHeight="1" x14ac:dyDescent="0.25">
      <c r="A1615" s="21" t="s">
        <v>2767</v>
      </c>
      <c r="B1615" s="26" t="s">
        <v>2727</v>
      </c>
      <c r="C1615" s="3" t="s">
        <v>2728</v>
      </c>
      <c r="D1615" s="21" t="s">
        <v>2729</v>
      </c>
      <c r="E1615" s="21" t="s">
        <v>2529</v>
      </c>
      <c r="F1615" s="3" t="s">
        <v>78</v>
      </c>
      <c r="G1615" s="3">
        <v>1</v>
      </c>
      <c r="H1615" s="23">
        <v>2189.15</v>
      </c>
      <c r="I1615" s="124">
        <f t="shared" si="58"/>
        <v>2189.15</v>
      </c>
      <c r="J1615" s="21"/>
      <c r="K1615" s="24"/>
    </row>
    <row r="1616" spans="1:11" ht="34.5" customHeight="1" x14ac:dyDescent="0.25">
      <c r="A1616" s="21" t="s">
        <v>2768</v>
      </c>
      <c r="B1616" s="26" t="s">
        <v>2560</v>
      </c>
      <c r="C1616" s="3" t="s">
        <v>2561</v>
      </c>
      <c r="D1616" s="21" t="s">
        <v>2562</v>
      </c>
      <c r="E1616" s="21" t="s">
        <v>2529</v>
      </c>
      <c r="F1616" s="3" t="s">
        <v>78</v>
      </c>
      <c r="G1616" s="3">
        <v>2</v>
      </c>
      <c r="H1616" s="23">
        <v>71.510000000000005</v>
      </c>
      <c r="I1616" s="124">
        <f t="shared" si="58"/>
        <v>143.02000000000001</v>
      </c>
      <c r="J1616" s="21"/>
      <c r="K1616" s="24"/>
    </row>
    <row r="1617" spans="1:11" ht="15.75" customHeight="1" x14ac:dyDescent="0.25">
      <c r="A1617" s="21" t="s">
        <v>2769</v>
      </c>
      <c r="B1617" s="26" t="s">
        <v>2564</v>
      </c>
      <c r="C1617" s="3" t="s">
        <v>2565</v>
      </c>
      <c r="D1617" s="21" t="s">
        <v>2566</v>
      </c>
      <c r="E1617" s="21" t="s">
        <v>2529</v>
      </c>
      <c r="F1617" s="3" t="s">
        <v>78</v>
      </c>
      <c r="G1617" s="3">
        <v>4</v>
      </c>
      <c r="H1617" s="23">
        <v>146.31</v>
      </c>
      <c r="I1617" s="124">
        <f t="shared" si="58"/>
        <v>585.24</v>
      </c>
      <c r="J1617" s="21"/>
      <c r="K1617" s="24"/>
    </row>
    <row r="1618" spans="1:11" s="49" customFormat="1" ht="15.75" customHeight="1" x14ac:dyDescent="0.25">
      <c r="A1618" s="44" t="s">
        <v>2770</v>
      </c>
      <c r="B1618" s="50" t="s">
        <v>2771</v>
      </c>
      <c r="C1618" s="46"/>
      <c r="D1618" s="44"/>
      <c r="E1618" s="44"/>
      <c r="F1618" s="46"/>
      <c r="G1618" s="46"/>
      <c r="H1618" s="47"/>
      <c r="I1618" s="128"/>
      <c r="J1618" s="44"/>
      <c r="K1618" s="48"/>
    </row>
    <row r="1619" spans="1:11" s="49" customFormat="1" ht="15.75" customHeight="1" x14ac:dyDescent="0.25">
      <c r="A1619" s="44" t="s">
        <v>2772</v>
      </c>
      <c r="B1619" s="45" t="s">
        <v>2773</v>
      </c>
      <c r="C1619" s="46" t="s">
        <v>2774</v>
      </c>
      <c r="D1619" s="44"/>
      <c r="E1619" s="21" t="s">
        <v>2620</v>
      </c>
      <c r="F1619" s="46" t="s">
        <v>78</v>
      </c>
      <c r="G1619" s="46">
        <v>3</v>
      </c>
      <c r="H1619" s="47">
        <v>4158</v>
      </c>
      <c r="I1619" s="128">
        <f>H1619*G1619</f>
        <v>12474</v>
      </c>
      <c r="J1619" s="44"/>
      <c r="K1619" s="48"/>
    </row>
    <row r="1620" spans="1:11" s="49" customFormat="1" ht="30" customHeight="1" x14ac:dyDescent="0.25">
      <c r="A1620" s="44" t="s">
        <v>2775</v>
      </c>
      <c r="B1620" s="45" t="s">
        <v>2776</v>
      </c>
      <c r="C1620" s="46" t="s">
        <v>2777</v>
      </c>
      <c r="D1620" s="44"/>
      <c r="E1620" s="21" t="s">
        <v>2620</v>
      </c>
      <c r="F1620" s="46" t="s">
        <v>78</v>
      </c>
      <c r="G1620" s="46">
        <v>8</v>
      </c>
      <c r="H1620" s="47">
        <v>1871.1</v>
      </c>
      <c r="I1620" s="128">
        <f>H1620*G1620</f>
        <v>14968.8</v>
      </c>
      <c r="J1620" s="44"/>
      <c r="K1620" s="48"/>
    </row>
    <row r="1621" spans="1:11" s="49" customFormat="1" ht="15.75" customHeight="1" x14ac:dyDescent="0.25">
      <c r="A1621" s="44" t="s">
        <v>2778</v>
      </c>
      <c r="B1621" s="50" t="s">
        <v>2779</v>
      </c>
      <c r="C1621" s="46"/>
      <c r="D1621" s="44"/>
      <c r="E1621" s="44"/>
      <c r="F1621" s="46"/>
      <c r="G1621" s="46"/>
      <c r="H1621" s="47"/>
      <c r="I1621" s="128"/>
      <c r="J1621" s="44"/>
      <c r="K1621" s="48"/>
    </row>
    <row r="1622" spans="1:11" s="49" customFormat="1" ht="15.75" customHeight="1" x14ac:dyDescent="0.25">
      <c r="A1622" s="44" t="s">
        <v>2780</v>
      </c>
      <c r="B1622" s="45" t="s">
        <v>2781</v>
      </c>
      <c r="C1622" s="46"/>
      <c r="D1622" s="44" t="s">
        <v>2782</v>
      </c>
      <c r="E1622" s="44" t="s">
        <v>2783</v>
      </c>
      <c r="F1622" s="46" t="s">
        <v>78</v>
      </c>
      <c r="G1622" s="46">
        <v>3</v>
      </c>
      <c r="H1622" s="47"/>
      <c r="I1622" s="128">
        <f t="shared" ref="I1622:I1631" si="59">H1622*G1622</f>
        <v>0</v>
      </c>
      <c r="J1622" s="44"/>
      <c r="K1622" s="48" t="s">
        <v>2784</v>
      </c>
    </row>
    <row r="1623" spans="1:11" s="49" customFormat="1" ht="15.75" customHeight="1" x14ac:dyDescent="0.25">
      <c r="A1623" s="44" t="s">
        <v>2785</v>
      </c>
      <c r="B1623" s="45" t="s">
        <v>2786</v>
      </c>
      <c r="C1623" s="46"/>
      <c r="D1623" s="44" t="s">
        <v>2787</v>
      </c>
      <c r="E1623" s="44" t="s">
        <v>2783</v>
      </c>
      <c r="F1623" s="46" t="s">
        <v>78</v>
      </c>
      <c r="G1623" s="46">
        <v>3</v>
      </c>
      <c r="H1623" s="47"/>
      <c r="I1623" s="128">
        <f t="shared" si="59"/>
        <v>0</v>
      </c>
      <c r="J1623" s="44"/>
      <c r="K1623" s="48" t="s">
        <v>2784</v>
      </c>
    </row>
    <row r="1624" spans="1:11" s="49" customFormat="1" ht="15.75" customHeight="1" x14ac:dyDescent="0.25">
      <c r="A1624" s="44" t="s">
        <v>2788</v>
      </c>
      <c r="B1624" s="45" t="s">
        <v>2789</v>
      </c>
      <c r="C1624" s="46"/>
      <c r="D1624" s="44" t="s">
        <v>2790</v>
      </c>
      <c r="E1624" s="46" t="s">
        <v>292</v>
      </c>
      <c r="F1624" s="46" t="s">
        <v>78</v>
      </c>
      <c r="G1624" s="46">
        <v>3</v>
      </c>
      <c r="H1624" s="47"/>
      <c r="I1624" s="128">
        <f t="shared" si="59"/>
        <v>0</v>
      </c>
      <c r="J1624" s="44"/>
      <c r="K1624" s="48" t="s">
        <v>2784</v>
      </c>
    </row>
    <row r="1625" spans="1:11" ht="34.5" customHeight="1" x14ac:dyDescent="0.25">
      <c r="A1625" s="21" t="s">
        <v>2791</v>
      </c>
      <c r="B1625" s="26" t="s">
        <v>2792</v>
      </c>
      <c r="C1625" s="3"/>
      <c r="D1625" s="21" t="s">
        <v>2793</v>
      </c>
      <c r="E1625" s="3" t="s">
        <v>292</v>
      </c>
      <c r="F1625" s="3" t="s">
        <v>78</v>
      </c>
      <c r="G1625" s="3">
        <v>3</v>
      </c>
      <c r="H1625" s="23"/>
      <c r="I1625" s="124">
        <f t="shared" si="59"/>
        <v>0</v>
      </c>
      <c r="J1625" s="21"/>
      <c r="K1625" s="24" t="s">
        <v>2784</v>
      </c>
    </row>
    <row r="1626" spans="1:11" ht="15.75" customHeight="1" x14ac:dyDescent="0.25">
      <c r="A1626" s="21" t="s">
        <v>2794</v>
      </c>
      <c r="B1626" s="26" t="s">
        <v>2795</v>
      </c>
      <c r="C1626" s="3" t="s">
        <v>2796</v>
      </c>
      <c r="D1626" s="21" t="s">
        <v>2797</v>
      </c>
      <c r="E1626" s="21" t="s">
        <v>2529</v>
      </c>
      <c r="F1626" s="3" t="s">
        <v>78</v>
      </c>
      <c r="G1626" s="3">
        <v>49</v>
      </c>
      <c r="H1626" s="23">
        <v>132.01</v>
      </c>
      <c r="I1626" s="124">
        <f t="shared" si="59"/>
        <v>6468.49</v>
      </c>
      <c r="J1626" s="21"/>
      <c r="K1626" s="24" t="s">
        <v>2798</v>
      </c>
    </row>
    <row r="1627" spans="1:11" ht="34.5" customHeight="1" x14ac:dyDescent="0.25">
      <c r="A1627" s="21" t="s">
        <v>2799</v>
      </c>
      <c r="B1627" s="26" t="s">
        <v>2800</v>
      </c>
      <c r="C1627" s="3" t="s">
        <v>2801</v>
      </c>
      <c r="D1627" s="21" t="s">
        <v>2802</v>
      </c>
      <c r="E1627" s="21" t="s">
        <v>2529</v>
      </c>
      <c r="F1627" s="3" t="s">
        <v>78</v>
      </c>
      <c r="G1627" s="3">
        <v>8</v>
      </c>
      <c r="H1627" s="23">
        <v>44</v>
      </c>
      <c r="I1627" s="124">
        <f t="shared" si="59"/>
        <v>352</v>
      </c>
      <c r="J1627" s="21"/>
      <c r="K1627" s="24" t="s">
        <v>2803</v>
      </c>
    </row>
    <row r="1628" spans="1:11" ht="34.5" customHeight="1" x14ac:dyDescent="0.25">
      <c r="A1628" s="21" t="s">
        <v>2804</v>
      </c>
      <c r="B1628" s="26" t="s">
        <v>2805</v>
      </c>
      <c r="C1628" s="3" t="s">
        <v>2806</v>
      </c>
      <c r="D1628" s="21" t="s">
        <v>2807</v>
      </c>
      <c r="E1628" s="21" t="s">
        <v>2529</v>
      </c>
      <c r="F1628" s="3" t="s">
        <v>78</v>
      </c>
      <c r="G1628" s="3">
        <v>44</v>
      </c>
      <c r="H1628" s="23">
        <v>81.41</v>
      </c>
      <c r="I1628" s="124">
        <f t="shared" si="59"/>
        <v>3582.04</v>
      </c>
      <c r="J1628" s="21"/>
      <c r="K1628" s="24" t="s">
        <v>2798</v>
      </c>
    </row>
    <row r="1629" spans="1:11" ht="15.75" customHeight="1" x14ac:dyDescent="0.25">
      <c r="A1629" s="21" t="s">
        <v>2808</v>
      </c>
      <c r="B1629" s="26" t="s">
        <v>2809</v>
      </c>
      <c r="C1629" s="3"/>
      <c r="D1629" s="21"/>
      <c r="E1629" s="21" t="s">
        <v>46</v>
      </c>
      <c r="F1629" s="3" t="s">
        <v>78</v>
      </c>
      <c r="G1629" s="3">
        <v>36</v>
      </c>
      <c r="H1629" s="23"/>
      <c r="I1629" s="124">
        <f t="shared" si="59"/>
        <v>0</v>
      </c>
      <c r="J1629" s="21"/>
      <c r="K1629" s="24" t="s">
        <v>2798</v>
      </c>
    </row>
    <row r="1630" spans="1:11" ht="15.75" customHeight="1" x14ac:dyDescent="0.25">
      <c r="A1630" s="21" t="s">
        <v>2810</v>
      </c>
      <c r="B1630" s="26" t="s">
        <v>2811</v>
      </c>
      <c r="C1630" s="3" t="s">
        <v>2812</v>
      </c>
      <c r="D1630" s="21" t="s">
        <v>2813</v>
      </c>
      <c r="E1630" s="21" t="s">
        <v>2529</v>
      </c>
      <c r="F1630" s="3" t="s">
        <v>78</v>
      </c>
      <c r="G1630" s="3">
        <v>16</v>
      </c>
      <c r="H1630" s="23">
        <v>77</v>
      </c>
      <c r="I1630" s="124">
        <f t="shared" si="59"/>
        <v>1232</v>
      </c>
      <c r="J1630" s="21"/>
      <c r="K1630" s="24" t="s">
        <v>2814</v>
      </c>
    </row>
    <row r="1631" spans="1:11" ht="34.5" customHeight="1" x14ac:dyDescent="0.25">
      <c r="A1631" s="21" t="s">
        <v>2815</v>
      </c>
      <c r="B1631" s="26" t="s">
        <v>2816</v>
      </c>
      <c r="C1631" s="3" t="s">
        <v>2817</v>
      </c>
      <c r="D1631" s="21" t="s">
        <v>2818</v>
      </c>
      <c r="E1631" s="21" t="s">
        <v>2529</v>
      </c>
      <c r="F1631" s="3" t="s">
        <v>78</v>
      </c>
      <c r="G1631" s="3">
        <v>112</v>
      </c>
      <c r="H1631" s="23">
        <v>149.61000000000001</v>
      </c>
      <c r="I1631" s="124">
        <f t="shared" si="59"/>
        <v>16756.32</v>
      </c>
      <c r="J1631" s="21"/>
      <c r="K1631" s="24" t="s">
        <v>2819</v>
      </c>
    </row>
    <row r="1632" spans="1:11" ht="15.75" customHeight="1" x14ac:dyDescent="0.25">
      <c r="A1632" s="42" t="s">
        <v>2820</v>
      </c>
      <c r="B1632" s="43" t="s">
        <v>2821</v>
      </c>
      <c r="C1632" s="22"/>
      <c r="D1632" s="21"/>
      <c r="E1632" s="21"/>
      <c r="F1632" s="22"/>
      <c r="G1632" s="21"/>
      <c r="H1632" s="23"/>
      <c r="I1632" s="124"/>
      <c r="J1632" s="21"/>
      <c r="K1632" s="24"/>
    </row>
    <row r="1633" spans="1:11" ht="34.5" customHeight="1" x14ac:dyDescent="0.25">
      <c r="A1633" s="21" t="s">
        <v>2822</v>
      </c>
      <c r="B1633" s="26" t="s">
        <v>2823</v>
      </c>
      <c r="C1633" s="3" t="s">
        <v>2824</v>
      </c>
      <c r="D1633" s="21" t="s">
        <v>2825</v>
      </c>
      <c r="E1633" s="21" t="s">
        <v>2529</v>
      </c>
      <c r="F1633" s="3" t="s">
        <v>78</v>
      </c>
      <c r="G1633" s="3">
        <v>10</v>
      </c>
      <c r="H1633" s="23">
        <v>149.61000000000001</v>
      </c>
      <c r="I1633" s="124">
        <f t="shared" ref="I1633:I1651" si="60">H1633*G1633</f>
        <v>1496.1000000000001</v>
      </c>
      <c r="J1633" s="21"/>
      <c r="K1633" s="24"/>
    </row>
    <row r="1634" spans="1:11" ht="34.5" customHeight="1" x14ac:dyDescent="0.25">
      <c r="A1634" s="21" t="s">
        <v>2826</v>
      </c>
      <c r="B1634" s="26" t="s">
        <v>2827</v>
      </c>
      <c r="C1634" s="3" t="s">
        <v>2828</v>
      </c>
      <c r="D1634" s="21" t="s">
        <v>2829</v>
      </c>
      <c r="E1634" s="21" t="s">
        <v>2529</v>
      </c>
      <c r="F1634" s="3" t="s">
        <v>78</v>
      </c>
      <c r="G1634" s="3">
        <v>45</v>
      </c>
      <c r="H1634" s="23">
        <v>233.21</v>
      </c>
      <c r="I1634" s="124">
        <f t="shared" si="60"/>
        <v>10494.45</v>
      </c>
      <c r="J1634" s="21"/>
      <c r="K1634" s="24" t="s">
        <v>2798</v>
      </c>
    </row>
    <row r="1635" spans="1:11" ht="34.5" customHeight="1" x14ac:dyDescent="0.25">
      <c r="A1635" s="21" t="s">
        <v>2830</v>
      </c>
      <c r="B1635" s="26" t="s">
        <v>2831</v>
      </c>
      <c r="C1635" s="3" t="s">
        <v>2832</v>
      </c>
      <c r="D1635" s="21" t="s">
        <v>2833</v>
      </c>
      <c r="E1635" s="21" t="s">
        <v>2529</v>
      </c>
      <c r="F1635" s="3" t="s">
        <v>78</v>
      </c>
      <c r="G1635" s="3">
        <v>45</v>
      </c>
      <c r="H1635" s="23">
        <v>310.22000000000003</v>
      </c>
      <c r="I1635" s="124">
        <f t="shared" si="60"/>
        <v>13959.900000000001</v>
      </c>
      <c r="J1635" s="21"/>
      <c r="K1635" s="24" t="s">
        <v>2798</v>
      </c>
    </row>
    <row r="1636" spans="1:11" ht="34.5" customHeight="1" x14ac:dyDescent="0.25">
      <c r="A1636" s="21" t="s">
        <v>2834</v>
      </c>
      <c r="B1636" s="26" t="s">
        <v>2835</v>
      </c>
      <c r="C1636" s="3" t="s">
        <v>2836</v>
      </c>
      <c r="D1636" s="21" t="s">
        <v>2837</v>
      </c>
      <c r="E1636" s="21" t="s">
        <v>2529</v>
      </c>
      <c r="F1636" s="3" t="s">
        <v>78</v>
      </c>
      <c r="G1636" s="3">
        <v>107</v>
      </c>
      <c r="H1636" s="23">
        <v>480.73</v>
      </c>
      <c r="I1636" s="124">
        <f t="shared" si="60"/>
        <v>51438.11</v>
      </c>
      <c r="J1636" s="21"/>
      <c r="K1636" s="24" t="s">
        <v>2798</v>
      </c>
    </row>
    <row r="1637" spans="1:11" ht="45" customHeight="1" x14ac:dyDescent="0.25">
      <c r="A1637" s="21" t="s">
        <v>2838</v>
      </c>
      <c r="B1637" s="26" t="s">
        <v>2839</v>
      </c>
      <c r="C1637" s="3" t="s">
        <v>2840</v>
      </c>
      <c r="D1637" s="21" t="s">
        <v>2841</v>
      </c>
      <c r="E1637" s="21" t="s">
        <v>2529</v>
      </c>
      <c r="F1637" s="3" t="s">
        <v>78</v>
      </c>
      <c r="G1637" s="51">
        <v>27</v>
      </c>
      <c r="H1637" s="23">
        <v>14897.17</v>
      </c>
      <c r="I1637" s="129">
        <f t="shared" si="60"/>
        <v>402223.59</v>
      </c>
      <c r="J1637" s="52"/>
      <c r="K1637" s="24" t="s">
        <v>2842</v>
      </c>
    </row>
    <row r="1638" spans="1:11" ht="54.75" customHeight="1" x14ac:dyDescent="0.25">
      <c r="A1638" s="21" t="s">
        <v>2843</v>
      </c>
      <c r="B1638" s="26" t="s">
        <v>2844</v>
      </c>
      <c r="C1638" s="3" t="s">
        <v>2845</v>
      </c>
      <c r="D1638" s="21" t="s">
        <v>2846</v>
      </c>
      <c r="E1638" s="21" t="s">
        <v>2529</v>
      </c>
      <c r="F1638" s="3" t="s">
        <v>89</v>
      </c>
      <c r="G1638" s="3">
        <v>45</v>
      </c>
      <c r="H1638" s="23">
        <v>721.26</v>
      </c>
      <c r="I1638" s="124">
        <f t="shared" si="60"/>
        <v>32456.7</v>
      </c>
      <c r="J1638" s="21"/>
      <c r="K1638" s="24" t="s">
        <v>2847</v>
      </c>
    </row>
    <row r="1639" spans="1:11" ht="57" customHeight="1" x14ac:dyDescent="0.25">
      <c r="A1639" s="21" t="s">
        <v>2848</v>
      </c>
      <c r="B1639" s="26" t="s">
        <v>2849</v>
      </c>
      <c r="C1639" s="3" t="s">
        <v>2850</v>
      </c>
      <c r="D1639" s="21" t="s">
        <v>2851</v>
      </c>
      <c r="E1639" s="21" t="s">
        <v>2529</v>
      </c>
      <c r="F1639" s="3" t="s">
        <v>89</v>
      </c>
      <c r="G1639" s="3">
        <v>160</v>
      </c>
      <c r="H1639" s="23">
        <v>721.26</v>
      </c>
      <c r="I1639" s="124">
        <f t="shared" si="60"/>
        <v>115401.60000000001</v>
      </c>
      <c r="J1639" s="21"/>
      <c r="K1639" s="24" t="s">
        <v>2847</v>
      </c>
    </row>
    <row r="1640" spans="1:11" ht="15.75" customHeight="1" x14ac:dyDescent="0.25">
      <c r="A1640" s="21" t="s">
        <v>2852</v>
      </c>
      <c r="B1640" s="26" t="s">
        <v>2853</v>
      </c>
      <c r="C1640" s="3" t="s">
        <v>2854</v>
      </c>
      <c r="D1640" s="21" t="s">
        <v>2855</v>
      </c>
      <c r="E1640" s="21" t="s">
        <v>2529</v>
      </c>
      <c r="F1640" s="3" t="s">
        <v>78</v>
      </c>
      <c r="G1640" s="3">
        <v>5</v>
      </c>
      <c r="H1640" s="23">
        <v>228.82</v>
      </c>
      <c r="I1640" s="124">
        <f t="shared" si="60"/>
        <v>1144.0999999999999</v>
      </c>
      <c r="J1640" s="21"/>
      <c r="K1640" s="24"/>
    </row>
    <row r="1641" spans="1:11" ht="34.5" customHeight="1" x14ac:dyDescent="0.25">
      <c r="A1641" s="21" t="s">
        <v>2856</v>
      </c>
      <c r="B1641" s="26" t="s">
        <v>2857</v>
      </c>
      <c r="C1641" s="3" t="s">
        <v>2858</v>
      </c>
      <c r="D1641" s="21" t="s">
        <v>2859</v>
      </c>
      <c r="E1641" s="21" t="s">
        <v>2529</v>
      </c>
      <c r="F1641" s="3" t="s">
        <v>78</v>
      </c>
      <c r="G1641" s="3">
        <v>50</v>
      </c>
      <c r="H1641" s="23">
        <v>5.5</v>
      </c>
      <c r="I1641" s="124">
        <f t="shared" si="60"/>
        <v>275</v>
      </c>
      <c r="J1641" s="21"/>
      <c r="K1641" s="24"/>
    </row>
    <row r="1642" spans="1:11" ht="34.5" customHeight="1" x14ac:dyDescent="0.25">
      <c r="A1642" s="21" t="s">
        <v>2860</v>
      </c>
      <c r="B1642" s="26" t="s">
        <v>2861</v>
      </c>
      <c r="C1642" s="3" t="s">
        <v>2862</v>
      </c>
      <c r="D1642" s="21" t="s">
        <v>2863</v>
      </c>
      <c r="E1642" s="21" t="s">
        <v>2529</v>
      </c>
      <c r="F1642" s="3" t="s">
        <v>78</v>
      </c>
      <c r="G1642" s="3">
        <v>50</v>
      </c>
      <c r="H1642" s="23">
        <v>3.3</v>
      </c>
      <c r="I1642" s="124">
        <f t="shared" si="60"/>
        <v>165</v>
      </c>
      <c r="J1642" s="21"/>
      <c r="K1642" s="24"/>
    </row>
    <row r="1643" spans="1:11" s="49" customFormat="1" ht="15.75" customHeight="1" x14ac:dyDescent="0.25">
      <c r="A1643" s="44" t="s">
        <v>2864</v>
      </c>
      <c r="B1643" s="45" t="s">
        <v>2865</v>
      </c>
      <c r="C1643" s="46" t="s">
        <v>2866</v>
      </c>
      <c r="D1643" s="44" t="s">
        <v>2867</v>
      </c>
      <c r="E1643" s="44" t="s">
        <v>2783</v>
      </c>
      <c r="F1643" s="46" t="s">
        <v>89</v>
      </c>
      <c r="G1643" s="46">
        <v>1600</v>
      </c>
      <c r="H1643" s="47"/>
      <c r="I1643" s="128">
        <f t="shared" si="60"/>
        <v>0</v>
      </c>
      <c r="J1643" s="44"/>
      <c r="K1643" s="48" t="s">
        <v>2847</v>
      </c>
    </row>
    <row r="1644" spans="1:11" s="49" customFormat="1" ht="28.5" customHeight="1" x14ac:dyDescent="0.25">
      <c r="A1644" s="44" t="s">
        <v>2868</v>
      </c>
      <c r="B1644" s="45" t="s">
        <v>2869</v>
      </c>
      <c r="C1644" s="46" t="s">
        <v>2866</v>
      </c>
      <c r="D1644" s="44" t="s">
        <v>2870</v>
      </c>
      <c r="E1644" s="44" t="s">
        <v>2783</v>
      </c>
      <c r="F1644" s="46" t="s">
        <v>78</v>
      </c>
      <c r="G1644" s="46">
        <v>3300</v>
      </c>
      <c r="H1644" s="47"/>
      <c r="I1644" s="128">
        <f t="shared" si="60"/>
        <v>0</v>
      </c>
      <c r="J1644" s="44"/>
      <c r="K1644" s="48" t="s">
        <v>2847</v>
      </c>
    </row>
    <row r="1645" spans="1:11" s="49" customFormat="1" ht="15.75" customHeight="1" x14ac:dyDescent="0.25">
      <c r="A1645" s="44" t="s">
        <v>2871</v>
      </c>
      <c r="B1645" s="45" t="s">
        <v>2872</v>
      </c>
      <c r="C1645" s="46"/>
      <c r="D1645" s="44" t="s">
        <v>2873</v>
      </c>
      <c r="E1645" s="44" t="s">
        <v>2783</v>
      </c>
      <c r="F1645" s="46" t="s">
        <v>78</v>
      </c>
      <c r="G1645" s="46">
        <v>2000</v>
      </c>
      <c r="H1645" s="47"/>
      <c r="I1645" s="128">
        <f t="shared" si="60"/>
        <v>0</v>
      </c>
      <c r="J1645" s="44"/>
      <c r="K1645" s="48"/>
    </row>
    <row r="1646" spans="1:11" s="49" customFormat="1" ht="15.75" customHeight="1" x14ac:dyDescent="0.25">
      <c r="A1646" s="44" t="s">
        <v>2874</v>
      </c>
      <c r="B1646" s="45" t="s">
        <v>2875</v>
      </c>
      <c r="C1646" s="46" t="s">
        <v>2876</v>
      </c>
      <c r="D1646" s="44"/>
      <c r="E1646" s="44" t="s">
        <v>46</v>
      </c>
      <c r="F1646" s="46" t="s">
        <v>78</v>
      </c>
      <c r="G1646" s="46">
        <v>2000</v>
      </c>
      <c r="H1646" s="47"/>
      <c r="I1646" s="128">
        <f t="shared" si="60"/>
        <v>0</v>
      </c>
      <c r="J1646" s="44"/>
      <c r="K1646" s="48"/>
    </row>
    <row r="1647" spans="1:11" s="49" customFormat="1" ht="15.75" customHeight="1" x14ac:dyDescent="0.25">
      <c r="A1647" s="44" t="s">
        <v>2877</v>
      </c>
      <c r="B1647" s="45" t="s">
        <v>2878</v>
      </c>
      <c r="C1647" s="46" t="s">
        <v>2879</v>
      </c>
      <c r="D1647" s="44"/>
      <c r="E1647" s="44" t="s">
        <v>2880</v>
      </c>
      <c r="F1647" s="46" t="s">
        <v>89</v>
      </c>
      <c r="G1647" s="46">
        <v>7</v>
      </c>
      <c r="H1647" s="47"/>
      <c r="I1647" s="128">
        <f t="shared" si="60"/>
        <v>0</v>
      </c>
      <c r="J1647" s="44"/>
      <c r="K1647" s="48"/>
    </row>
    <row r="1648" spans="1:11" s="49" customFormat="1" ht="15.75" customHeight="1" x14ac:dyDescent="0.25">
      <c r="A1648" s="44" t="s">
        <v>2881</v>
      </c>
      <c r="B1648" s="45" t="s">
        <v>2882</v>
      </c>
      <c r="C1648" s="46" t="s">
        <v>2883</v>
      </c>
      <c r="D1648" s="44"/>
      <c r="E1648" s="44" t="s">
        <v>2880</v>
      </c>
      <c r="F1648" s="46" t="s">
        <v>89</v>
      </c>
      <c r="G1648" s="46">
        <v>20</v>
      </c>
      <c r="H1648" s="47"/>
      <c r="I1648" s="128">
        <f t="shared" si="60"/>
        <v>0</v>
      </c>
      <c r="J1648" s="44"/>
      <c r="K1648" s="48"/>
    </row>
    <row r="1649" spans="1:11" s="49" customFormat="1" ht="15.75" customHeight="1" x14ac:dyDescent="0.25">
      <c r="A1649" s="44" t="s">
        <v>2884</v>
      </c>
      <c r="B1649" s="45" t="s">
        <v>2885</v>
      </c>
      <c r="C1649" s="46" t="s">
        <v>2886</v>
      </c>
      <c r="D1649" s="44"/>
      <c r="E1649" s="46" t="s">
        <v>292</v>
      </c>
      <c r="F1649" s="46" t="s">
        <v>78</v>
      </c>
      <c r="G1649" s="46">
        <v>60</v>
      </c>
      <c r="H1649" s="47"/>
      <c r="I1649" s="128">
        <f t="shared" si="60"/>
        <v>0</v>
      </c>
      <c r="J1649" s="44"/>
      <c r="K1649" s="48"/>
    </row>
    <row r="1650" spans="1:11" ht="15.75" customHeight="1" x14ac:dyDescent="0.25">
      <c r="A1650" s="21" t="s">
        <v>2887</v>
      </c>
      <c r="B1650" s="26" t="s">
        <v>2888</v>
      </c>
      <c r="C1650" s="3" t="s">
        <v>2889</v>
      </c>
      <c r="D1650" s="21"/>
      <c r="E1650" s="3" t="s">
        <v>292</v>
      </c>
      <c r="F1650" s="3" t="s">
        <v>78</v>
      </c>
      <c r="G1650" s="3">
        <v>3</v>
      </c>
      <c r="H1650" s="23"/>
      <c r="I1650" s="124">
        <f t="shared" si="60"/>
        <v>0</v>
      </c>
      <c r="J1650" s="21"/>
      <c r="K1650" s="24"/>
    </row>
    <row r="1651" spans="1:11" ht="15.75" customHeight="1" x14ac:dyDescent="0.25">
      <c r="A1651" s="21" t="s">
        <v>2890</v>
      </c>
      <c r="B1651" s="26" t="s">
        <v>2891</v>
      </c>
      <c r="C1651" s="3" t="s">
        <v>2892</v>
      </c>
      <c r="D1651" s="21"/>
      <c r="E1651" s="3" t="s">
        <v>292</v>
      </c>
      <c r="F1651" s="3" t="s">
        <v>78</v>
      </c>
      <c r="G1651" s="3">
        <v>5</v>
      </c>
      <c r="H1651" s="23"/>
      <c r="I1651" s="124">
        <f t="shared" si="60"/>
        <v>0</v>
      </c>
      <c r="J1651" s="21"/>
      <c r="K1651" s="24"/>
    </row>
    <row r="1652" spans="1:11" ht="15.75" customHeight="1" x14ac:dyDescent="0.25">
      <c r="A1652" s="42" t="s">
        <v>375</v>
      </c>
      <c r="B1652" s="43" t="s">
        <v>2893</v>
      </c>
      <c r="C1652" s="22"/>
      <c r="D1652" s="21"/>
      <c r="E1652" s="21"/>
      <c r="F1652" s="22"/>
      <c r="G1652" s="21"/>
      <c r="H1652" s="23"/>
      <c r="I1652" s="124"/>
      <c r="J1652" s="21"/>
      <c r="K1652" s="24"/>
    </row>
    <row r="1653" spans="1:11" ht="15.75" customHeight="1" x14ac:dyDescent="0.25">
      <c r="A1653" s="21" t="s">
        <v>2086</v>
      </c>
      <c r="B1653" s="26" t="s">
        <v>2894</v>
      </c>
      <c r="C1653" s="3" t="s">
        <v>2895</v>
      </c>
      <c r="D1653" s="21"/>
      <c r="E1653" s="21" t="s">
        <v>2896</v>
      </c>
      <c r="F1653" s="3" t="s">
        <v>47</v>
      </c>
      <c r="G1653" s="3">
        <v>1</v>
      </c>
      <c r="H1653" s="23"/>
      <c r="I1653" s="124">
        <f t="shared" ref="I1653:I1684" si="61">H1653*G1653</f>
        <v>0</v>
      </c>
      <c r="J1653" s="21"/>
      <c r="K1653" s="24"/>
    </row>
    <row r="1654" spans="1:11" ht="15.75" customHeight="1" x14ac:dyDescent="0.25">
      <c r="A1654" s="21" t="s">
        <v>2093</v>
      </c>
      <c r="B1654" s="26" t="s">
        <v>2897</v>
      </c>
      <c r="C1654" s="3" t="s">
        <v>2898</v>
      </c>
      <c r="D1654" s="21"/>
      <c r="E1654" s="21" t="s">
        <v>2896</v>
      </c>
      <c r="F1654" s="3" t="s">
        <v>47</v>
      </c>
      <c r="G1654" s="3">
        <v>1</v>
      </c>
      <c r="H1654" s="23"/>
      <c r="I1654" s="124">
        <f t="shared" si="61"/>
        <v>0</v>
      </c>
      <c r="J1654" s="21"/>
      <c r="K1654" s="24"/>
    </row>
    <row r="1655" spans="1:11" ht="15.75" customHeight="1" x14ac:dyDescent="0.25">
      <c r="A1655" s="21" t="s">
        <v>2097</v>
      </c>
      <c r="B1655" s="26" t="s">
        <v>2899</v>
      </c>
      <c r="C1655" s="3" t="s">
        <v>2900</v>
      </c>
      <c r="D1655" s="21"/>
      <c r="E1655" s="21" t="s">
        <v>2896</v>
      </c>
      <c r="F1655" s="3" t="s">
        <v>47</v>
      </c>
      <c r="G1655" s="3">
        <v>1</v>
      </c>
      <c r="H1655" s="23"/>
      <c r="I1655" s="124">
        <f t="shared" si="61"/>
        <v>0</v>
      </c>
      <c r="J1655" s="21"/>
      <c r="K1655" s="24"/>
    </row>
    <row r="1656" spans="1:11" ht="15.75" customHeight="1" x14ac:dyDescent="0.25">
      <c r="A1656" s="21" t="s">
        <v>2101</v>
      </c>
      <c r="B1656" s="26" t="s">
        <v>2901</v>
      </c>
      <c r="C1656" s="3" t="s">
        <v>2902</v>
      </c>
      <c r="D1656" s="21"/>
      <c r="E1656" s="21" t="s">
        <v>2903</v>
      </c>
      <c r="F1656" s="3" t="s">
        <v>78</v>
      </c>
      <c r="G1656" s="3">
        <v>2</v>
      </c>
      <c r="H1656" s="23"/>
      <c r="I1656" s="124">
        <f t="shared" si="61"/>
        <v>0</v>
      </c>
      <c r="J1656" s="21"/>
      <c r="K1656" s="24"/>
    </row>
    <row r="1657" spans="1:11" ht="15.75" customHeight="1" x14ac:dyDescent="0.25">
      <c r="A1657" s="21" t="s">
        <v>2105</v>
      </c>
      <c r="B1657" s="26" t="s">
        <v>2904</v>
      </c>
      <c r="C1657" s="3" t="s">
        <v>2905</v>
      </c>
      <c r="D1657" s="21"/>
      <c r="E1657" s="21" t="s">
        <v>2906</v>
      </c>
      <c r="F1657" s="3" t="s">
        <v>78</v>
      </c>
      <c r="G1657" s="3">
        <v>6</v>
      </c>
      <c r="H1657" s="23"/>
      <c r="I1657" s="124">
        <f t="shared" si="61"/>
        <v>0</v>
      </c>
      <c r="J1657" s="21"/>
      <c r="K1657" s="24"/>
    </row>
    <row r="1658" spans="1:11" ht="15.75" customHeight="1" x14ac:dyDescent="0.25">
      <c r="A1658" s="21" t="s">
        <v>2106</v>
      </c>
      <c r="B1658" s="26" t="s">
        <v>2907</v>
      </c>
      <c r="C1658" s="3" t="s">
        <v>2908</v>
      </c>
      <c r="D1658" s="21"/>
      <c r="E1658" s="21" t="s">
        <v>2909</v>
      </c>
      <c r="F1658" s="3" t="s">
        <v>78</v>
      </c>
      <c r="G1658" s="3">
        <v>1</v>
      </c>
      <c r="H1658" s="23"/>
      <c r="I1658" s="124">
        <f t="shared" si="61"/>
        <v>0</v>
      </c>
      <c r="J1658" s="21"/>
      <c r="K1658" s="24"/>
    </row>
    <row r="1659" spans="1:11" ht="15.75" customHeight="1" x14ac:dyDescent="0.25">
      <c r="A1659" s="21" t="s">
        <v>2108</v>
      </c>
      <c r="B1659" s="26" t="s">
        <v>2910</v>
      </c>
      <c r="C1659" s="3" t="s">
        <v>2911</v>
      </c>
      <c r="D1659" s="21"/>
      <c r="E1659" s="21" t="s">
        <v>2909</v>
      </c>
      <c r="F1659" s="3" t="s">
        <v>78</v>
      </c>
      <c r="G1659" s="3">
        <v>1</v>
      </c>
      <c r="H1659" s="23"/>
      <c r="I1659" s="124">
        <f t="shared" si="61"/>
        <v>0</v>
      </c>
      <c r="J1659" s="21"/>
      <c r="K1659" s="24"/>
    </row>
    <row r="1660" spans="1:11" ht="15.75" customHeight="1" x14ac:dyDescent="0.25">
      <c r="A1660" s="21" t="s">
        <v>2110</v>
      </c>
      <c r="B1660" s="26" t="s">
        <v>2912</v>
      </c>
      <c r="C1660" s="3" t="s">
        <v>2913</v>
      </c>
      <c r="D1660" s="21"/>
      <c r="E1660" s="21" t="s">
        <v>2914</v>
      </c>
      <c r="F1660" s="3" t="s">
        <v>78</v>
      </c>
      <c r="G1660" s="3">
        <v>1</v>
      </c>
      <c r="H1660" s="23"/>
      <c r="I1660" s="124">
        <f t="shared" si="61"/>
        <v>0</v>
      </c>
      <c r="J1660" s="21"/>
      <c r="K1660" s="24"/>
    </row>
    <row r="1661" spans="1:11" ht="15.75" customHeight="1" x14ac:dyDescent="0.25">
      <c r="A1661" s="21" t="s">
        <v>2114</v>
      </c>
      <c r="B1661" s="26" t="s">
        <v>2915</v>
      </c>
      <c r="C1661" s="3" t="s">
        <v>2916</v>
      </c>
      <c r="D1661" s="21"/>
      <c r="E1661" s="21" t="s">
        <v>2914</v>
      </c>
      <c r="F1661" s="3" t="s">
        <v>78</v>
      </c>
      <c r="G1661" s="3">
        <v>1</v>
      </c>
      <c r="H1661" s="23"/>
      <c r="I1661" s="124">
        <f t="shared" si="61"/>
        <v>0</v>
      </c>
      <c r="J1661" s="21"/>
      <c r="K1661" s="24"/>
    </row>
    <row r="1662" spans="1:11" ht="15.75" customHeight="1" x14ac:dyDescent="0.25">
      <c r="A1662" s="21" t="s">
        <v>2917</v>
      </c>
      <c r="B1662" s="26" t="s">
        <v>2918</v>
      </c>
      <c r="C1662" s="3" t="s">
        <v>2919</v>
      </c>
      <c r="D1662" s="21"/>
      <c r="E1662" s="21" t="s">
        <v>2909</v>
      </c>
      <c r="F1662" s="3" t="s">
        <v>78</v>
      </c>
      <c r="G1662" s="3">
        <v>1</v>
      </c>
      <c r="H1662" s="23"/>
      <c r="I1662" s="124">
        <f t="shared" si="61"/>
        <v>0</v>
      </c>
      <c r="J1662" s="21"/>
      <c r="K1662" s="24"/>
    </row>
    <row r="1663" spans="1:11" ht="15.75" customHeight="1" x14ac:dyDescent="0.25">
      <c r="A1663" s="21" t="s">
        <v>2920</v>
      </c>
      <c r="B1663" s="26" t="s">
        <v>2921</v>
      </c>
      <c r="C1663" s="3" t="s">
        <v>2922</v>
      </c>
      <c r="D1663" s="21"/>
      <c r="E1663" s="21" t="s">
        <v>2914</v>
      </c>
      <c r="F1663" s="3" t="s">
        <v>78</v>
      </c>
      <c r="G1663" s="3">
        <v>1</v>
      </c>
      <c r="H1663" s="23"/>
      <c r="I1663" s="124">
        <f t="shared" si="61"/>
        <v>0</v>
      </c>
      <c r="J1663" s="21"/>
      <c r="K1663" s="24"/>
    </row>
    <row r="1664" spans="1:11" ht="15.75" customHeight="1" x14ac:dyDescent="0.25">
      <c r="A1664" s="21" t="s">
        <v>2923</v>
      </c>
      <c r="B1664" s="26" t="s">
        <v>2924</v>
      </c>
      <c r="C1664" s="3" t="s">
        <v>2925</v>
      </c>
      <c r="D1664" s="21"/>
      <c r="E1664" s="21" t="s">
        <v>2914</v>
      </c>
      <c r="F1664" s="3" t="s">
        <v>78</v>
      </c>
      <c r="G1664" s="3">
        <v>1</v>
      </c>
      <c r="H1664" s="23"/>
      <c r="I1664" s="124">
        <f t="shared" si="61"/>
        <v>0</v>
      </c>
      <c r="J1664" s="21"/>
      <c r="K1664" s="24"/>
    </row>
    <row r="1665" spans="1:11" ht="15.75" customHeight="1" x14ac:dyDescent="0.25">
      <c r="A1665" s="21" t="s">
        <v>2926</v>
      </c>
      <c r="B1665" s="26" t="s">
        <v>2927</v>
      </c>
      <c r="C1665" s="3" t="s">
        <v>2928</v>
      </c>
      <c r="D1665" s="21"/>
      <c r="E1665" s="21" t="s">
        <v>2914</v>
      </c>
      <c r="F1665" s="3" t="s">
        <v>78</v>
      </c>
      <c r="G1665" s="3">
        <v>1</v>
      </c>
      <c r="H1665" s="23"/>
      <c r="I1665" s="124">
        <f t="shared" si="61"/>
        <v>0</v>
      </c>
      <c r="J1665" s="21"/>
      <c r="K1665" s="24"/>
    </row>
    <row r="1666" spans="1:11" ht="15.75" customHeight="1" x14ac:dyDescent="0.25">
      <c r="A1666" s="21" t="s">
        <v>2929</v>
      </c>
      <c r="B1666" s="26" t="s">
        <v>2930</v>
      </c>
      <c r="C1666" s="3" t="s">
        <v>2931</v>
      </c>
      <c r="D1666" s="21"/>
      <c r="E1666" s="21" t="s">
        <v>2914</v>
      </c>
      <c r="F1666" s="3" t="s">
        <v>78</v>
      </c>
      <c r="G1666" s="3">
        <v>3</v>
      </c>
      <c r="H1666" s="23"/>
      <c r="I1666" s="124">
        <f t="shared" si="61"/>
        <v>0</v>
      </c>
      <c r="J1666" s="21"/>
      <c r="K1666" s="24"/>
    </row>
    <row r="1667" spans="1:11" ht="15.75" customHeight="1" x14ac:dyDescent="0.25">
      <c r="A1667" s="21" t="s">
        <v>2932</v>
      </c>
      <c r="B1667" s="26" t="s">
        <v>2933</v>
      </c>
      <c r="C1667" s="3" t="s">
        <v>2934</v>
      </c>
      <c r="D1667" s="21"/>
      <c r="E1667" s="21" t="s">
        <v>2914</v>
      </c>
      <c r="F1667" s="3" t="s">
        <v>78</v>
      </c>
      <c r="G1667" s="3">
        <v>19</v>
      </c>
      <c r="H1667" s="23"/>
      <c r="I1667" s="124">
        <f t="shared" si="61"/>
        <v>0</v>
      </c>
      <c r="J1667" s="21"/>
      <c r="K1667" s="24"/>
    </row>
    <row r="1668" spans="1:11" ht="15.75" customHeight="1" x14ac:dyDescent="0.25">
      <c r="A1668" s="21" t="s">
        <v>2935</v>
      </c>
      <c r="B1668" s="26" t="s">
        <v>2936</v>
      </c>
      <c r="C1668" s="3" t="s">
        <v>2937</v>
      </c>
      <c r="D1668" s="21"/>
      <c r="E1668" s="21" t="s">
        <v>2914</v>
      </c>
      <c r="F1668" s="3" t="s">
        <v>78</v>
      </c>
      <c r="G1668" s="3">
        <v>9</v>
      </c>
      <c r="H1668" s="23"/>
      <c r="I1668" s="124">
        <f t="shared" si="61"/>
        <v>0</v>
      </c>
      <c r="J1668" s="21"/>
      <c r="K1668" s="24"/>
    </row>
    <row r="1669" spans="1:11" ht="15.75" customHeight="1" x14ac:dyDescent="0.25">
      <c r="A1669" s="21" t="s">
        <v>2938</v>
      </c>
      <c r="B1669" s="26" t="s">
        <v>2939</v>
      </c>
      <c r="C1669" s="3" t="s">
        <v>2940</v>
      </c>
      <c r="D1669" s="21"/>
      <c r="E1669" s="21" t="s">
        <v>2914</v>
      </c>
      <c r="F1669" s="3" t="s">
        <v>78</v>
      </c>
      <c r="G1669" s="3">
        <v>8</v>
      </c>
      <c r="H1669" s="23"/>
      <c r="I1669" s="124">
        <f t="shared" si="61"/>
        <v>0</v>
      </c>
      <c r="J1669" s="21"/>
      <c r="K1669" s="24"/>
    </row>
    <row r="1670" spans="1:11" s="49" customFormat="1" ht="15.75" customHeight="1" x14ac:dyDescent="0.25">
      <c r="A1670" s="44" t="s">
        <v>2941</v>
      </c>
      <c r="B1670" s="45" t="s">
        <v>2942</v>
      </c>
      <c r="C1670" s="46" t="s">
        <v>2943</v>
      </c>
      <c r="D1670" s="44"/>
      <c r="E1670" s="44" t="s">
        <v>2914</v>
      </c>
      <c r="F1670" s="46" t="s">
        <v>78</v>
      </c>
      <c r="G1670" s="46">
        <v>1</v>
      </c>
      <c r="H1670" s="47"/>
      <c r="I1670" s="128">
        <f t="shared" si="61"/>
        <v>0</v>
      </c>
      <c r="J1670" s="44"/>
      <c r="K1670" s="48"/>
    </row>
    <row r="1671" spans="1:11" s="49" customFormat="1" ht="15.75" customHeight="1" x14ac:dyDescent="0.25">
      <c r="A1671" s="44" t="s">
        <v>2944</v>
      </c>
      <c r="B1671" s="45" t="s">
        <v>2945</v>
      </c>
      <c r="C1671" s="46" t="s">
        <v>2946</v>
      </c>
      <c r="D1671" s="44"/>
      <c r="E1671" s="44" t="s">
        <v>2914</v>
      </c>
      <c r="F1671" s="46" t="s">
        <v>78</v>
      </c>
      <c r="G1671" s="46">
        <v>1</v>
      </c>
      <c r="H1671" s="47"/>
      <c r="I1671" s="128">
        <f t="shared" si="61"/>
        <v>0</v>
      </c>
      <c r="J1671" s="44"/>
      <c r="K1671" s="48"/>
    </row>
    <row r="1672" spans="1:11" s="49" customFormat="1" ht="30" customHeight="1" x14ac:dyDescent="0.25">
      <c r="A1672" s="44" t="s">
        <v>2947</v>
      </c>
      <c r="B1672" s="45" t="s">
        <v>2948</v>
      </c>
      <c r="C1672" s="46" t="s">
        <v>2949</v>
      </c>
      <c r="D1672" s="44"/>
      <c r="E1672" s="44" t="s">
        <v>2950</v>
      </c>
      <c r="F1672" s="46" t="s">
        <v>78</v>
      </c>
      <c r="G1672" s="46">
        <v>10</v>
      </c>
      <c r="H1672" s="47">
        <v>460</v>
      </c>
      <c r="I1672" s="128">
        <f t="shared" si="61"/>
        <v>4600</v>
      </c>
      <c r="J1672" s="44"/>
      <c r="K1672" s="48"/>
    </row>
    <row r="1673" spans="1:11" s="49" customFormat="1" ht="15.75" customHeight="1" x14ac:dyDescent="0.25">
      <c r="A1673" s="44" t="s">
        <v>2951</v>
      </c>
      <c r="B1673" s="45" t="s">
        <v>2952</v>
      </c>
      <c r="C1673" s="46" t="s">
        <v>2953</v>
      </c>
      <c r="D1673" s="44"/>
      <c r="E1673" s="44" t="s">
        <v>2954</v>
      </c>
      <c r="F1673" s="46" t="s">
        <v>89</v>
      </c>
      <c r="G1673" s="46">
        <v>190</v>
      </c>
      <c r="H1673" s="47">
        <v>174</v>
      </c>
      <c r="I1673" s="128">
        <f t="shared" si="61"/>
        <v>33060</v>
      </c>
      <c r="J1673" s="44"/>
      <c r="K1673" s="48" t="s">
        <v>2955</v>
      </c>
    </row>
    <row r="1674" spans="1:11" s="49" customFormat="1" ht="15.75" customHeight="1" x14ac:dyDescent="0.25">
      <c r="A1674" s="44" t="s">
        <v>2956</v>
      </c>
      <c r="B1674" s="45" t="s">
        <v>2957</v>
      </c>
      <c r="C1674" s="46" t="s">
        <v>2958</v>
      </c>
      <c r="D1674" s="44"/>
      <c r="E1674" s="44" t="s">
        <v>2954</v>
      </c>
      <c r="F1674" s="46" t="s">
        <v>89</v>
      </c>
      <c r="G1674" s="46">
        <v>155</v>
      </c>
      <c r="H1674" s="47">
        <v>108</v>
      </c>
      <c r="I1674" s="128">
        <f t="shared" si="61"/>
        <v>16740</v>
      </c>
      <c r="J1674" s="44"/>
      <c r="K1674" s="48" t="s">
        <v>2955</v>
      </c>
    </row>
    <row r="1675" spans="1:11" s="49" customFormat="1" ht="15.75" customHeight="1" x14ac:dyDescent="0.25">
      <c r="A1675" s="44" t="s">
        <v>2959</v>
      </c>
      <c r="B1675" s="45" t="s">
        <v>2960</v>
      </c>
      <c r="C1675" s="46" t="s">
        <v>2961</v>
      </c>
      <c r="D1675" s="44" t="s">
        <v>2962</v>
      </c>
      <c r="E1675" s="44" t="s">
        <v>2783</v>
      </c>
      <c r="F1675" s="46" t="s">
        <v>89</v>
      </c>
      <c r="G1675" s="46">
        <v>2000</v>
      </c>
      <c r="H1675" s="47"/>
      <c r="I1675" s="128">
        <f t="shared" si="61"/>
        <v>0</v>
      </c>
      <c r="J1675" s="44"/>
      <c r="K1675" s="48"/>
    </row>
    <row r="1676" spans="1:11" s="49" customFormat="1" ht="15.75" customHeight="1" x14ac:dyDescent="0.25">
      <c r="A1676" s="44" t="s">
        <v>2963</v>
      </c>
      <c r="B1676" s="45" t="s">
        <v>2964</v>
      </c>
      <c r="C1676" s="46" t="s">
        <v>2961</v>
      </c>
      <c r="D1676" s="44" t="s">
        <v>2965</v>
      </c>
      <c r="E1676" s="46" t="s">
        <v>292</v>
      </c>
      <c r="F1676" s="46" t="s">
        <v>78</v>
      </c>
      <c r="G1676" s="46">
        <v>100</v>
      </c>
      <c r="H1676" s="47"/>
      <c r="I1676" s="128">
        <f t="shared" si="61"/>
        <v>0</v>
      </c>
      <c r="J1676" s="44"/>
      <c r="K1676" s="48"/>
    </row>
    <row r="1677" spans="1:11" ht="15.75" customHeight="1" x14ac:dyDescent="0.25">
      <c r="A1677" s="21" t="s">
        <v>2966</v>
      </c>
      <c r="B1677" s="26" t="s">
        <v>2967</v>
      </c>
      <c r="C1677" s="3"/>
      <c r="D1677" s="21" t="s">
        <v>2968</v>
      </c>
      <c r="E1677" s="21" t="s">
        <v>292</v>
      </c>
      <c r="F1677" s="3" t="s">
        <v>89</v>
      </c>
      <c r="G1677" s="3">
        <v>5</v>
      </c>
      <c r="H1677" s="23"/>
      <c r="I1677" s="124">
        <f t="shared" si="61"/>
        <v>0</v>
      </c>
      <c r="J1677" s="21"/>
      <c r="K1677" s="24"/>
    </row>
    <row r="1678" spans="1:11" ht="15.75" customHeight="1" x14ac:dyDescent="0.25">
      <c r="A1678" s="21" t="s">
        <v>2969</v>
      </c>
      <c r="B1678" s="26" t="s">
        <v>2970</v>
      </c>
      <c r="C1678" s="3"/>
      <c r="D1678" s="21" t="s">
        <v>2971</v>
      </c>
      <c r="E1678" s="3" t="s">
        <v>292</v>
      </c>
      <c r="F1678" s="3" t="s">
        <v>78</v>
      </c>
      <c r="G1678" s="3">
        <v>10</v>
      </c>
      <c r="H1678" s="23"/>
      <c r="I1678" s="124">
        <f t="shared" si="61"/>
        <v>0</v>
      </c>
      <c r="J1678" s="21"/>
      <c r="K1678" s="24"/>
    </row>
    <row r="1679" spans="1:11" ht="15.75" customHeight="1" x14ac:dyDescent="0.25">
      <c r="A1679" s="21" t="s">
        <v>2972</v>
      </c>
      <c r="B1679" s="26" t="s">
        <v>2973</v>
      </c>
      <c r="C1679" s="3"/>
      <c r="D1679" s="21" t="s">
        <v>2974</v>
      </c>
      <c r="E1679" s="3" t="s">
        <v>292</v>
      </c>
      <c r="F1679" s="3" t="s">
        <v>78</v>
      </c>
      <c r="G1679" s="3">
        <v>10</v>
      </c>
      <c r="H1679" s="23"/>
      <c r="I1679" s="124">
        <f t="shared" si="61"/>
        <v>0</v>
      </c>
      <c r="J1679" s="21"/>
      <c r="K1679" s="24"/>
    </row>
    <row r="1680" spans="1:11" ht="15.75" customHeight="1" x14ac:dyDescent="0.25">
      <c r="A1680" s="21" t="s">
        <v>2975</v>
      </c>
      <c r="B1680" s="26" t="s">
        <v>2872</v>
      </c>
      <c r="C1680" s="3"/>
      <c r="D1680" s="21" t="s">
        <v>2873</v>
      </c>
      <c r="E1680" s="3" t="s">
        <v>292</v>
      </c>
      <c r="F1680" s="3" t="s">
        <v>78</v>
      </c>
      <c r="G1680" s="3">
        <v>100</v>
      </c>
      <c r="H1680" s="23"/>
      <c r="I1680" s="124">
        <f t="shared" si="61"/>
        <v>0</v>
      </c>
      <c r="J1680" s="21"/>
      <c r="K1680" s="24"/>
    </row>
    <row r="1681" spans="1:11" ht="15.75" customHeight="1" x14ac:dyDescent="0.25">
      <c r="A1681" s="21" t="s">
        <v>2976</v>
      </c>
      <c r="B1681" s="26" t="s">
        <v>2875</v>
      </c>
      <c r="C1681" s="3" t="s">
        <v>2977</v>
      </c>
      <c r="D1681" s="21"/>
      <c r="E1681" s="21" t="s">
        <v>46</v>
      </c>
      <c r="F1681" s="3" t="s">
        <v>78</v>
      </c>
      <c r="G1681" s="3">
        <v>100</v>
      </c>
      <c r="H1681" s="23"/>
      <c r="I1681" s="124">
        <f t="shared" si="61"/>
        <v>0</v>
      </c>
      <c r="J1681" s="21"/>
      <c r="K1681" s="24"/>
    </row>
    <row r="1682" spans="1:11" ht="15.75" customHeight="1" x14ac:dyDescent="0.25">
      <c r="A1682" s="21" t="s">
        <v>2978</v>
      </c>
      <c r="B1682" s="26" t="s">
        <v>2878</v>
      </c>
      <c r="C1682" s="3" t="s">
        <v>2879</v>
      </c>
      <c r="D1682" s="21"/>
      <c r="E1682" s="21" t="s">
        <v>2880</v>
      </c>
      <c r="F1682" s="3" t="s">
        <v>89</v>
      </c>
      <c r="G1682" s="3">
        <v>1</v>
      </c>
      <c r="H1682" s="23"/>
      <c r="I1682" s="124">
        <f t="shared" si="61"/>
        <v>0</v>
      </c>
      <c r="J1682" s="21"/>
      <c r="K1682" s="24"/>
    </row>
    <row r="1683" spans="1:11" ht="15.75" customHeight="1" x14ac:dyDescent="0.25">
      <c r="A1683" s="21" t="s">
        <v>2979</v>
      </c>
      <c r="B1683" s="26" t="s">
        <v>2888</v>
      </c>
      <c r="C1683" s="3" t="s">
        <v>2889</v>
      </c>
      <c r="D1683" s="21"/>
      <c r="E1683" s="3" t="s">
        <v>292</v>
      </c>
      <c r="F1683" s="3" t="s">
        <v>78</v>
      </c>
      <c r="G1683" s="3">
        <v>1</v>
      </c>
      <c r="H1683" s="23"/>
      <c r="I1683" s="124">
        <f t="shared" si="61"/>
        <v>0</v>
      </c>
      <c r="J1683" s="21"/>
      <c r="K1683" s="24"/>
    </row>
    <row r="1684" spans="1:11" ht="15.75" customHeight="1" x14ac:dyDescent="0.25">
      <c r="A1684" s="21" t="s">
        <v>2980</v>
      </c>
      <c r="B1684" s="26" t="s">
        <v>2891</v>
      </c>
      <c r="C1684" s="3" t="s">
        <v>2892</v>
      </c>
      <c r="D1684" s="21"/>
      <c r="E1684" s="3" t="s">
        <v>292</v>
      </c>
      <c r="F1684" s="3" t="s">
        <v>78</v>
      </c>
      <c r="G1684" s="3">
        <v>1</v>
      </c>
      <c r="H1684" s="23"/>
      <c r="I1684" s="124">
        <f t="shared" si="61"/>
        <v>0</v>
      </c>
      <c r="J1684" s="21"/>
      <c r="K1684" s="24"/>
    </row>
    <row r="1685" spans="1:11" ht="15.75" customHeight="1" x14ac:dyDescent="0.25">
      <c r="A1685" s="42" t="s">
        <v>432</v>
      </c>
      <c r="B1685" s="43" t="s">
        <v>2981</v>
      </c>
      <c r="C1685" s="22"/>
      <c r="D1685" s="21"/>
      <c r="E1685" s="21"/>
      <c r="F1685" s="22"/>
      <c r="G1685" s="21"/>
      <c r="H1685" s="23"/>
      <c r="I1685" s="124"/>
      <c r="J1685" s="21"/>
      <c r="K1685" s="24"/>
    </row>
    <row r="1686" spans="1:11" ht="34.5" customHeight="1" x14ac:dyDescent="0.25">
      <c r="A1686" s="21" t="s">
        <v>1995</v>
      </c>
      <c r="B1686" s="26" t="s">
        <v>2982</v>
      </c>
      <c r="C1686" s="3" t="s">
        <v>2983</v>
      </c>
      <c r="D1686" s="21" t="s">
        <v>2984</v>
      </c>
      <c r="E1686" s="21" t="s">
        <v>2985</v>
      </c>
      <c r="F1686" s="3" t="s">
        <v>78</v>
      </c>
      <c r="G1686" s="3">
        <v>1</v>
      </c>
      <c r="H1686" s="23"/>
      <c r="I1686" s="124">
        <f t="shared" ref="I1686:I1722" si="62">H1686*G1686</f>
        <v>0</v>
      </c>
      <c r="J1686" s="21"/>
      <c r="K1686" s="24" t="s">
        <v>2986</v>
      </c>
    </row>
    <row r="1687" spans="1:11" ht="42.75" customHeight="1" x14ac:dyDescent="0.25">
      <c r="A1687" s="21" t="s">
        <v>1999</v>
      </c>
      <c r="B1687" s="26" t="s">
        <v>2727</v>
      </c>
      <c r="C1687" s="3" t="s">
        <v>2728</v>
      </c>
      <c r="D1687" s="21" t="s">
        <v>2729</v>
      </c>
      <c r="E1687" s="21" t="s">
        <v>2529</v>
      </c>
      <c r="F1687" s="3" t="s">
        <v>78</v>
      </c>
      <c r="G1687" s="3">
        <v>1</v>
      </c>
      <c r="H1687" s="23">
        <v>2189.15</v>
      </c>
      <c r="I1687" s="124">
        <f t="shared" si="62"/>
        <v>2189.15</v>
      </c>
      <c r="J1687" s="21"/>
      <c r="K1687" s="24" t="s">
        <v>2986</v>
      </c>
    </row>
    <row r="1688" spans="1:11" ht="34.5" customHeight="1" x14ac:dyDescent="0.25">
      <c r="A1688" s="21" t="s">
        <v>2003</v>
      </c>
      <c r="B1688" s="26" t="s">
        <v>2987</v>
      </c>
      <c r="C1688" s="3" t="s">
        <v>2988</v>
      </c>
      <c r="D1688" s="21" t="s">
        <v>2989</v>
      </c>
      <c r="E1688" s="21" t="s">
        <v>2529</v>
      </c>
      <c r="F1688" s="3" t="s">
        <v>78</v>
      </c>
      <c r="G1688" s="3">
        <v>2</v>
      </c>
      <c r="H1688" s="23">
        <v>25.3</v>
      </c>
      <c r="I1688" s="124">
        <f t="shared" si="62"/>
        <v>50.6</v>
      </c>
      <c r="J1688" s="21"/>
      <c r="K1688" s="24" t="s">
        <v>2986</v>
      </c>
    </row>
    <row r="1689" spans="1:11" ht="15.75" customHeight="1" x14ac:dyDescent="0.25">
      <c r="A1689" s="21" t="s">
        <v>2007</v>
      </c>
      <c r="B1689" s="26" t="s">
        <v>2990</v>
      </c>
      <c r="C1689" s="3" t="s">
        <v>2991</v>
      </c>
      <c r="D1689" s="21" t="s">
        <v>2992</v>
      </c>
      <c r="E1689" s="21" t="s">
        <v>2529</v>
      </c>
      <c r="F1689" s="3" t="s">
        <v>78</v>
      </c>
      <c r="G1689" s="3">
        <v>2</v>
      </c>
      <c r="H1689" s="23">
        <v>100.1</v>
      </c>
      <c r="I1689" s="124">
        <f t="shared" si="62"/>
        <v>200.2</v>
      </c>
      <c r="J1689" s="21"/>
      <c r="K1689" s="24" t="s">
        <v>2986</v>
      </c>
    </row>
    <row r="1690" spans="1:11" ht="15.75" customHeight="1" x14ac:dyDescent="0.25">
      <c r="A1690" s="21" t="s">
        <v>2008</v>
      </c>
      <c r="B1690" s="26" t="s">
        <v>2993</v>
      </c>
      <c r="C1690" s="3" t="s">
        <v>2994</v>
      </c>
      <c r="D1690" s="21" t="s">
        <v>2995</v>
      </c>
      <c r="E1690" s="21" t="s">
        <v>2529</v>
      </c>
      <c r="F1690" s="3" t="s">
        <v>78</v>
      </c>
      <c r="G1690" s="3">
        <v>1</v>
      </c>
      <c r="H1690" s="23">
        <v>228.82</v>
      </c>
      <c r="I1690" s="124">
        <f t="shared" si="62"/>
        <v>228.82</v>
      </c>
      <c r="J1690" s="21"/>
      <c r="K1690" s="24" t="s">
        <v>2986</v>
      </c>
    </row>
    <row r="1691" spans="1:11" ht="34.5" customHeight="1" x14ac:dyDescent="0.25">
      <c r="A1691" s="21" t="s">
        <v>2012</v>
      </c>
      <c r="B1691" s="26" t="s">
        <v>2996</v>
      </c>
      <c r="C1691" s="3" t="s">
        <v>2997</v>
      </c>
      <c r="D1691" s="21" t="s">
        <v>2998</v>
      </c>
      <c r="E1691" s="21" t="s">
        <v>2985</v>
      </c>
      <c r="F1691" s="3" t="s">
        <v>78</v>
      </c>
      <c r="G1691" s="3">
        <v>1</v>
      </c>
      <c r="H1691" s="23"/>
      <c r="I1691" s="124">
        <f t="shared" si="62"/>
        <v>0</v>
      </c>
      <c r="J1691" s="21"/>
      <c r="K1691" s="24" t="s">
        <v>2986</v>
      </c>
    </row>
    <row r="1692" spans="1:11" ht="34.5" customHeight="1" x14ac:dyDescent="0.25">
      <c r="A1692" s="21" t="s">
        <v>2016</v>
      </c>
      <c r="B1692" s="26" t="s">
        <v>2999</v>
      </c>
      <c r="C1692" s="3" t="s">
        <v>3000</v>
      </c>
      <c r="D1692" s="21" t="s">
        <v>3001</v>
      </c>
      <c r="E1692" s="21" t="s">
        <v>2985</v>
      </c>
      <c r="F1692" s="3" t="s">
        <v>78</v>
      </c>
      <c r="G1692" s="3">
        <v>1</v>
      </c>
      <c r="H1692" s="23"/>
      <c r="I1692" s="124">
        <f t="shared" si="62"/>
        <v>0</v>
      </c>
      <c r="J1692" s="21"/>
      <c r="K1692" s="24" t="s">
        <v>2986</v>
      </c>
    </row>
    <row r="1693" spans="1:11" ht="34.5" customHeight="1" x14ac:dyDescent="0.25">
      <c r="A1693" s="21" t="s">
        <v>2020</v>
      </c>
      <c r="B1693" s="26" t="s">
        <v>3002</v>
      </c>
      <c r="C1693" s="3" t="s">
        <v>3003</v>
      </c>
      <c r="D1693" s="21" t="s">
        <v>3004</v>
      </c>
      <c r="E1693" s="21" t="s">
        <v>2985</v>
      </c>
      <c r="F1693" s="3" t="s">
        <v>78</v>
      </c>
      <c r="G1693" s="3">
        <v>1</v>
      </c>
      <c r="H1693" s="23"/>
      <c r="I1693" s="124">
        <f t="shared" si="62"/>
        <v>0</v>
      </c>
      <c r="J1693" s="21"/>
      <c r="K1693" s="24" t="s">
        <v>2986</v>
      </c>
    </row>
    <row r="1694" spans="1:11" ht="34.5" customHeight="1" x14ac:dyDescent="0.25">
      <c r="A1694" s="21" t="s">
        <v>3005</v>
      </c>
      <c r="B1694" s="26" t="s">
        <v>3006</v>
      </c>
      <c r="C1694" s="3" t="s">
        <v>3007</v>
      </c>
      <c r="D1694" s="21" t="s">
        <v>3008</v>
      </c>
      <c r="E1694" s="21" t="s">
        <v>2985</v>
      </c>
      <c r="F1694" s="3" t="s">
        <v>78</v>
      </c>
      <c r="G1694" s="3">
        <v>1</v>
      </c>
      <c r="H1694" s="23"/>
      <c r="I1694" s="124">
        <f t="shared" si="62"/>
        <v>0</v>
      </c>
      <c r="J1694" s="21"/>
      <c r="K1694" s="24" t="s">
        <v>2986</v>
      </c>
    </row>
    <row r="1695" spans="1:11" ht="15.75" customHeight="1" x14ac:dyDescent="0.25">
      <c r="A1695" s="21" t="s">
        <v>3009</v>
      </c>
      <c r="B1695" s="26" t="s">
        <v>3010</v>
      </c>
      <c r="C1695" s="3" t="s">
        <v>3011</v>
      </c>
      <c r="D1695" s="21" t="s">
        <v>3012</v>
      </c>
      <c r="E1695" s="21" t="s">
        <v>2586</v>
      </c>
      <c r="F1695" s="3" t="s">
        <v>78</v>
      </c>
      <c r="G1695" s="3">
        <v>1</v>
      </c>
      <c r="H1695" s="23"/>
      <c r="I1695" s="124">
        <f t="shared" si="62"/>
        <v>0</v>
      </c>
      <c r="J1695" s="21"/>
      <c r="K1695" s="24" t="s">
        <v>2986</v>
      </c>
    </row>
    <row r="1696" spans="1:11" ht="15.75" customHeight="1" x14ac:dyDescent="0.25">
      <c r="A1696" s="21" t="s">
        <v>3013</v>
      </c>
      <c r="B1696" s="26" t="s">
        <v>2588</v>
      </c>
      <c r="C1696" s="3" t="s">
        <v>3014</v>
      </c>
      <c r="D1696" s="21"/>
      <c r="E1696" s="21" t="s">
        <v>2586</v>
      </c>
      <c r="F1696" s="3" t="s">
        <v>78</v>
      </c>
      <c r="G1696" s="3">
        <v>2</v>
      </c>
      <c r="H1696" s="23"/>
      <c r="I1696" s="124">
        <f t="shared" si="62"/>
        <v>0</v>
      </c>
      <c r="J1696" s="21"/>
      <c r="K1696" s="24" t="s">
        <v>2986</v>
      </c>
    </row>
    <row r="1697" spans="1:11" s="49" customFormat="1" ht="15.75" customHeight="1" x14ac:dyDescent="0.25">
      <c r="A1697" s="44" t="s">
        <v>3015</v>
      </c>
      <c r="B1697" s="45" t="s">
        <v>3016</v>
      </c>
      <c r="C1697" s="46" t="s">
        <v>3017</v>
      </c>
      <c r="D1697" s="44"/>
      <c r="E1697" s="44" t="s">
        <v>2586</v>
      </c>
      <c r="F1697" s="46" t="s">
        <v>78</v>
      </c>
      <c r="G1697" s="46">
        <v>4</v>
      </c>
      <c r="H1697" s="47"/>
      <c r="I1697" s="128">
        <f t="shared" si="62"/>
        <v>0</v>
      </c>
      <c r="J1697" s="44"/>
      <c r="K1697" s="48" t="s">
        <v>2986</v>
      </c>
    </row>
    <row r="1698" spans="1:11" s="49" customFormat="1" ht="15.75" customHeight="1" x14ac:dyDescent="0.25">
      <c r="A1698" s="44" t="s">
        <v>3018</v>
      </c>
      <c r="B1698" s="45" t="s">
        <v>2584</v>
      </c>
      <c r="C1698" s="46" t="s">
        <v>2585</v>
      </c>
      <c r="D1698" s="44"/>
      <c r="E1698" s="44" t="s">
        <v>2586</v>
      </c>
      <c r="F1698" s="46" t="s">
        <v>78</v>
      </c>
      <c r="G1698" s="46">
        <v>1</v>
      </c>
      <c r="H1698" s="47"/>
      <c r="I1698" s="128">
        <f t="shared" si="62"/>
        <v>0</v>
      </c>
      <c r="J1698" s="44"/>
      <c r="K1698" s="48" t="s">
        <v>2986</v>
      </c>
    </row>
    <row r="1699" spans="1:11" s="49" customFormat="1" ht="30" customHeight="1" x14ac:dyDescent="0.25">
      <c r="A1699" s="44" t="s">
        <v>3019</v>
      </c>
      <c r="B1699" s="45" t="s">
        <v>3020</v>
      </c>
      <c r="C1699" s="46" t="s">
        <v>3021</v>
      </c>
      <c r="D1699" s="44"/>
      <c r="E1699" s="44" t="s">
        <v>3022</v>
      </c>
      <c r="F1699" s="46" t="s">
        <v>78</v>
      </c>
      <c r="G1699" s="46">
        <v>1</v>
      </c>
      <c r="H1699" s="47"/>
      <c r="I1699" s="128">
        <f t="shared" si="62"/>
        <v>0</v>
      </c>
      <c r="J1699" s="44"/>
      <c r="K1699" s="48" t="s">
        <v>2986</v>
      </c>
    </row>
    <row r="1700" spans="1:11" s="49" customFormat="1" ht="15.75" customHeight="1" x14ac:dyDescent="0.25">
      <c r="A1700" s="44" t="s">
        <v>3023</v>
      </c>
      <c r="B1700" s="45" t="s">
        <v>3024</v>
      </c>
      <c r="C1700" s="46" t="s">
        <v>3025</v>
      </c>
      <c r="D1700" s="44"/>
      <c r="E1700" s="44" t="s">
        <v>3026</v>
      </c>
      <c r="F1700" s="46" t="s">
        <v>78</v>
      </c>
      <c r="G1700" s="46">
        <v>2</v>
      </c>
      <c r="H1700" s="47"/>
      <c r="I1700" s="128">
        <f t="shared" si="62"/>
        <v>0</v>
      </c>
      <c r="J1700" s="44"/>
      <c r="K1700" s="48" t="s">
        <v>2986</v>
      </c>
    </row>
    <row r="1701" spans="1:11" s="49" customFormat="1" ht="42.75" customHeight="1" x14ac:dyDescent="0.25">
      <c r="A1701" s="44" t="s">
        <v>3027</v>
      </c>
      <c r="B1701" s="45" t="s">
        <v>3028</v>
      </c>
      <c r="C1701" s="46" t="s">
        <v>3029</v>
      </c>
      <c r="D1701" s="44"/>
      <c r="E1701" s="21" t="s">
        <v>2620</v>
      </c>
      <c r="F1701" s="46" t="s">
        <v>78</v>
      </c>
      <c r="G1701" s="46">
        <v>1</v>
      </c>
      <c r="H1701" s="47"/>
      <c r="I1701" s="128">
        <f t="shared" si="62"/>
        <v>0</v>
      </c>
      <c r="J1701" s="44"/>
      <c r="K1701" s="48" t="s">
        <v>2986</v>
      </c>
    </row>
    <row r="1702" spans="1:11" s="49" customFormat="1" ht="34.5" customHeight="1" x14ac:dyDescent="0.25">
      <c r="A1702" s="44" t="s">
        <v>3030</v>
      </c>
      <c r="B1702" s="45" t="s">
        <v>3031</v>
      </c>
      <c r="C1702" s="46" t="s">
        <v>3032</v>
      </c>
      <c r="D1702" s="44"/>
      <c r="E1702" s="44" t="s">
        <v>3033</v>
      </c>
      <c r="F1702" s="46" t="s">
        <v>78</v>
      </c>
      <c r="G1702" s="46">
        <v>1</v>
      </c>
      <c r="H1702" s="47"/>
      <c r="I1702" s="128">
        <f t="shared" si="62"/>
        <v>0</v>
      </c>
      <c r="J1702" s="44"/>
      <c r="K1702" s="48" t="s">
        <v>3034</v>
      </c>
    </row>
    <row r="1703" spans="1:11" ht="34.5" customHeight="1" x14ac:dyDescent="0.25">
      <c r="A1703" s="21" t="s">
        <v>3035</v>
      </c>
      <c r="B1703" s="26" t="s">
        <v>3036</v>
      </c>
      <c r="C1703" s="3" t="s">
        <v>3037</v>
      </c>
      <c r="D1703" s="21"/>
      <c r="E1703" s="21" t="s">
        <v>3033</v>
      </c>
      <c r="F1703" s="3" t="s">
        <v>78</v>
      </c>
      <c r="G1703" s="3">
        <v>1</v>
      </c>
      <c r="H1703" s="23"/>
      <c r="I1703" s="124">
        <f t="shared" si="62"/>
        <v>0</v>
      </c>
      <c r="J1703" s="21"/>
      <c r="K1703" s="24" t="s">
        <v>3038</v>
      </c>
    </row>
    <row r="1704" spans="1:11" ht="15.75" customHeight="1" x14ac:dyDescent="0.25">
      <c r="A1704" s="21" t="s">
        <v>3039</v>
      </c>
      <c r="B1704" s="26" t="s">
        <v>3040</v>
      </c>
      <c r="C1704" s="3" t="s">
        <v>3041</v>
      </c>
      <c r="D1704" s="21"/>
      <c r="E1704" s="21" t="s">
        <v>2620</v>
      </c>
      <c r="F1704" s="3" t="s">
        <v>78</v>
      </c>
      <c r="G1704" s="3">
        <v>1</v>
      </c>
      <c r="H1704" s="23"/>
      <c r="I1704" s="124">
        <f t="shared" si="62"/>
        <v>0</v>
      </c>
      <c r="J1704" s="21"/>
      <c r="K1704" s="24" t="s">
        <v>2986</v>
      </c>
    </row>
    <row r="1705" spans="1:11" ht="45" customHeight="1" x14ac:dyDescent="0.25">
      <c r="A1705" s="21" t="s">
        <v>3042</v>
      </c>
      <c r="B1705" s="26" t="s">
        <v>3043</v>
      </c>
      <c r="C1705" s="3" t="s">
        <v>3044</v>
      </c>
      <c r="D1705" s="21"/>
      <c r="E1705" s="21" t="s">
        <v>3045</v>
      </c>
      <c r="F1705" s="3" t="s">
        <v>78</v>
      </c>
      <c r="G1705" s="3">
        <v>1</v>
      </c>
      <c r="H1705" s="23"/>
      <c r="I1705" s="124">
        <f t="shared" si="62"/>
        <v>0</v>
      </c>
      <c r="J1705" s="21"/>
      <c r="K1705" s="24" t="s">
        <v>2986</v>
      </c>
    </row>
    <row r="1706" spans="1:11" ht="15.75" customHeight="1" x14ac:dyDescent="0.25">
      <c r="A1706" s="21" t="s">
        <v>3046</v>
      </c>
      <c r="B1706" s="26" t="s">
        <v>3047</v>
      </c>
      <c r="C1706" s="3" t="s">
        <v>3048</v>
      </c>
      <c r="D1706" s="21"/>
      <c r="E1706" s="21" t="s">
        <v>3045</v>
      </c>
      <c r="F1706" s="3" t="s">
        <v>78</v>
      </c>
      <c r="G1706" s="3">
        <v>1</v>
      </c>
      <c r="H1706" s="23"/>
      <c r="I1706" s="124">
        <f t="shared" si="62"/>
        <v>0</v>
      </c>
      <c r="J1706" s="21"/>
      <c r="K1706" s="24" t="s">
        <v>2986</v>
      </c>
    </row>
    <row r="1707" spans="1:11" ht="15.75" customHeight="1" x14ac:dyDescent="0.25">
      <c r="A1707" s="21" t="s">
        <v>3049</v>
      </c>
      <c r="B1707" s="26" t="s">
        <v>3050</v>
      </c>
      <c r="C1707" s="3" t="s">
        <v>3051</v>
      </c>
      <c r="D1707" s="21"/>
      <c r="E1707" s="21" t="s">
        <v>3052</v>
      </c>
      <c r="F1707" s="3" t="s">
        <v>78</v>
      </c>
      <c r="G1707" s="3">
        <v>12</v>
      </c>
      <c r="H1707" s="23">
        <v>107</v>
      </c>
      <c r="I1707" s="124">
        <f t="shared" si="62"/>
        <v>1284</v>
      </c>
      <c r="J1707" s="21"/>
      <c r="K1707" s="24"/>
    </row>
    <row r="1708" spans="1:11" ht="15.75" customHeight="1" x14ac:dyDescent="0.25">
      <c r="A1708" s="21" t="s">
        <v>3053</v>
      </c>
      <c r="B1708" s="26" t="s">
        <v>2809</v>
      </c>
      <c r="C1708" s="3"/>
      <c r="D1708" s="21"/>
      <c r="E1708" s="21" t="s">
        <v>46</v>
      </c>
      <c r="F1708" s="3" t="s">
        <v>78</v>
      </c>
      <c r="G1708" s="3">
        <v>12</v>
      </c>
      <c r="H1708" s="23"/>
      <c r="I1708" s="124">
        <f t="shared" si="62"/>
        <v>0</v>
      </c>
      <c r="J1708" s="21"/>
      <c r="K1708" s="24"/>
    </row>
    <row r="1709" spans="1:11" ht="15.75" customHeight="1" x14ac:dyDescent="0.25">
      <c r="A1709" s="21" t="s">
        <v>3054</v>
      </c>
      <c r="B1709" s="26" t="s">
        <v>3055</v>
      </c>
      <c r="C1709" s="3" t="s">
        <v>3056</v>
      </c>
      <c r="D1709" s="21"/>
      <c r="E1709" s="21" t="s">
        <v>3057</v>
      </c>
      <c r="F1709" s="3" t="s">
        <v>78</v>
      </c>
      <c r="G1709" s="3">
        <v>12</v>
      </c>
      <c r="H1709" s="23"/>
      <c r="I1709" s="124">
        <f t="shared" si="62"/>
        <v>0</v>
      </c>
      <c r="J1709" s="21"/>
      <c r="K1709" s="24"/>
    </row>
    <row r="1710" spans="1:11" ht="15.75" customHeight="1" x14ac:dyDescent="0.25">
      <c r="A1710" s="21" t="s">
        <v>3058</v>
      </c>
      <c r="B1710" s="26" t="s">
        <v>3059</v>
      </c>
      <c r="C1710" s="3" t="s">
        <v>3060</v>
      </c>
      <c r="D1710" s="21"/>
      <c r="E1710" s="21" t="s">
        <v>46</v>
      </c>
      <c r="F1710" s="3" t="s">
        <v>78</v>
      </c>
      <c r="G1710" s="3">
        <v>3</v>
      </c>
      <c r="H1710" s="23"/>
      <c r="I1710" s="124">
        <f t="shared" si="62"/>
        <v>0</v>
      </c>
      <c r="J1710" s="21"/>
      <c r="K1710" s="24"/>
    </row>
    <row r="1711" spans="1:11" ht="15.75" customHeight="1" x14ac:dyDescent="0.25">
      <c r="A1711" s="21" t="s">
        <v>3061</v>
      </c>
      <c r="B1711" s="26" t="s">
        <v>3062</v>
      </c>
      <c r="C1711" s="3" t="s">
        <v>3063</v>
      </c>
      <c r="D1711" s="21"/>
      <c r="E1711" s="21" t="s">
        <v>46</v>
      </c>
      <c r="F1711" s="3" t="s">
        <v>78</v>
      </c>
      <c r="G1711" s="3">
        <v>12</v>
      </c>
      <c r="H1711" s="23"/>
      <c r="I1711" s="124">
        <f t="shared" si="62"/>
        <v>0</v>
      </c>
      <c r="J1711" s="21"/>
      <c r="K1711" s="24"/>
    </row>
    <row r="1712" spans="1:11" ht="15.75" customHeight="1" x14ac:dyDescent="0.25">
      <c r="A1712" s="21" t="s">
        <v>3064</v>
      </c>
      <c r="B1712" s="26" t="s">
        <v>3065</v>
      </c>
      <c r="C1712" s="3" t="s">
        <v>3066</v>
      </c>
      <c r="D1712" s="21"/>
      <c r="E1712" s="21" t="s">
        <v>3067</v>
      </c>
      <c r="F1712" s="3" t="s">
        <v>89</v>
      </c>
      <c r="G1712" s="3">
        <v>361</v>
      </c>
      <c r="H1712" s="23">
        <v>89</v>
      </c>
      <c r="I1712" s="124">
        <f t="shared" si="62"/>
        <v>32129</v>
      </c>
      <c r="J1712" s="21"/>
      <c r="K1712" s="24" t="s">
        <v>2955</v>
      </c>
    </row>
    <row r="1713" spans="1:11" ht="34.5" customHeight="1" x14ac:dyDescent="0.25">
      <c r="A1713" s="21" t="s">
        <v>3068</v>
      </c>
      <c r="B1713" s="26" t="s">
        <v>2827</v>
      </c>
      <c r="C1713" s="3" t="s">
        <v>2828</v>
      </c>
      <c r="D1713" s="21" t="s">
        <v>2829</v>
      </c>
      <c r="E1713" s="21" t="s">
        <v>2529</v>
      </c>
      <c r="F1713" s="3" t="s">
        <v>78</v>
      </c>
      <c r="G1713" s="3">
        <v>5</v>
      </c>
      <c r="H1713" s="23">
        <v>480.73</v>
      </c>
      <c r="I1713" s="124">
        <f t="shared" si="62"/>
        <v>2403.65</v>
      </c>
      <c r="J1713" s="21"/>
      <c r="K1713" s="24"/>
    </row>
    <row r="1714" spans="1:11" ht="15.75" customHeight="1" x14ac:dyDescent="0.25">
      <c r="A1714" s="21" t="s">
        <v>3069</v>
      </c>
      <c r="B1714" s="26" t="s">
        <v>3070</v>
      </c>
      <c r="C1714" s="3" t="s">
        <v>3071</v>
      </c>
      <c r="D1714" s="21"/>
      <c r="E1714" s="21" t="s">
        <v>46</v>
      </c>
      <c r="F1714" s="3" t="s">
        <v>89</v>
      </c>
      <c r="G1714" s="3">
        <v>5</v>
      </c>
      <c r="H1714" s="23"/>
      <c r="I1714" s="124">
        <f t="shared" si="62"/>
        <v>0</v>
      </c>
      <c r="J1714" s="21"/>
      <c r="K1714" s="24"/>
    </row>
    <row r="1715" spans="1:11" ht="15.75" customHeight="1" x14ac:dyDescent="0.25">
      <c r="A1715" s="21" t="s">
        <v>3072</v>
      </c>
      <c r="B1715" s="26" t="s">
        <v>3073</v>
      </c>
      <c r="C1715" s="3" t="s">
        <v>3074</v>
      </c>
      <c r="D1715" s="21"/>
      <c r="E1715" s="21" t="s">
        <v>3075</v>
      </c>
      <c r="F1715" s="3" t="s">
        <v>89</v>
      </c>
      <c r="G1715" s="3">
        <v>5</v>
      </c>
      <c r="H1715" s="23">
        <v>60</v>
      </c>
      <c r="I1715" s="124">
        <f t="shared" si="62"/>
        <v>300</v>
      </c>
      <c r="J1715" s="21"/>
      <c r="K1715" s="24"/>
    </row>
    <row r="1716" spans="1:11" ht="15.75" customHeight="1" x14ac:dyDescent="0.25">
      <c r="A1716" s="21" t="s">
        <v>3076</v>
      </c>
      <c r="B1716" s="26" t="s">
        <v>2960</v>
      </c>
      <c r="C1716" s="3" t="s">
        <v>2961</v>
      </c>
      <c r="D1716" s="21" t="s">
        <v>2962</v>
      </c>
      <c r="E1716" s="21" t="s">
        <v>2783</v>
      </c>
      <c r="F1716" s="3" t="s">
        <v>89</v>
      </c>
      <c r="G1716" s="3">
        <v>146</v>
      </c>
      <c r="H1716" s="23"/>
      <c r="I1716" s="124">
        <f t="shared" si="62"/>
        <v>0</v>
      </c>
      <c r="J1716" s="21"/>
      <c r="K1716" s="24" t="s">
        <v>2955</v>
      </c>
    </row>
    <row r="1717" spans="1:11" ht="15.75" customHeight="1" x14ac:dyDescent="0.25">
      <c r="A1717" s="21" t="s">
        <v>3077</v>
      </c>
      <c r="B1717" s="26" t="s">
        <v>2964</v>
      </c>
      <c r="C1717" s="3" t="s">
        <v>2961</v>
      </c>
      <c r="D1717" s="21" t="s">
        <v>2965</v>
      </c>
      <c r="E1717" s="3" t="s">
        <v>292</v>
      </c>
      <c r="F1717" s="3" t="s">
        <v>78</v>
      </c>
      <c r="G1717" s="3">
        <v>490</v>
      </c>
      <c r="H1717" s="23"/>
      <c r="I1717" s="124">
        <f t="shared" si="62"/>
        <v>0</v>
      </c>
      <c r="J1717" s="21"/>
      <c r="K1717" s="24" t="s">
        <v>2955</v>
      </c>
    </row>
    <row r="1718" spans="1:11" ht="15.75" customHeight="1" x14ac:dyDescent="0.25">
      <c r="A1718" s="21" t="s">
        <v>3078</v>
      </c>
      <c r="B1718" s="26" t="s">
        <v>2872</v>
      </c>
      <c r="C1718" s="3"/>
      <c r="D1718" s="21" t="s">
        <v>2873</v>
      </c>
      <c r="E1718" s="3" t="s">
        <v>292</v>
      </c>
      <c r="F1718" s="3" t="s">
        <v>78</v>
      </c>
      <c r="G1718" s="3">
        <v>100</v>
      </c>
      <c r="H1718" s="23"/>
      <c r="I1718" s="124">
        <f t="shared" si="62"/>
        <v>0</v>
      </c>
      <c r="J1718" s="21"/>
      <c r="K1718" s="24"/>
    </row>
    <row r="1719" spans="1:11" ht="15.75" customHeight="1" x14ac:dyDescent="0.25">
      <c r="A1719" s="21" t="s">
        <v>3079</v>
      </c>
      <c r="B1719" s="26" t="s">
        <v>2875</v>
      </c>
      <c r="C1719" s="3" t="s">
        <v>2876</v>
      </c>
      <c r="D1719" s="21"/>
      <c r="E1719" s="21" t="s">
        <v>46</v>
      </c>
      <c r="F1719" s="3" t="s">
        <v>78</v>
      </c>
      <c r="G1719" s="3">
        <v>100</v>
      </c>
      <c r="H1719" s="23"/>
      <c r="I1719" s="124">
        <f t="shared" si="62"/>
        <v>0</v>
      </c>
      <c r="J1719" s="21"/>
      <c r="K1719" s="24"/>
    </row>
    <row r="1720" spans="1:11" ht="15.75" customHeight="1" x14ac:dyDescent="0.25">
      <c r="A1720" s="21" t="s">
        <v>3080</v>
      </c>
      <c r="B1720" s="26" t="s">
        <v>2878</v>
      </c>
      <c r="C1720" s="3" t="s">
        <v>2879</v>
      </c>
      <c r="D1720" s="21"/>
      <c r="E1720" s="21" t="s">
        <v>2880</v>
      </c>
      <c r="F1720" s="3" t="s">
        <v>89</v>
      </c>
      <c r="G1720" s="3">
        <v>4</v>
      </c>
      <c r="H1720" s="23"/>
      <c r="I1720" s="124">
        <f t="shared" si="62"/>
        <v>0</v>
      </c>
      <c r="J1720" s="21"/>
      <c r="K1720" s="24"/>
    </row>
    <row r="1721" spans="1:11" ht="15.75" customHeight="1" x14ac:dyDescent="0.25">
      <c r="A1721" s="21" t="s">
        <v>3081</v>
      </c>
      <c r="B1721" s="26" t="s">
        <v>2888</v>
      </c>
      <c r="C1721" s="3" t="s">
        <v>2889</v>
      </c>
      <c r="D1721" s="21"/>
      <c r="E1721" s="3" t="s">
        <v>292</v>
      </c>
      <c r="F1721" s="3" t="s">
        <v>78</v>
      </c>
      <c r="G1721" s="3">
        <v>1</v>
      </c>
      <c r="H1721" s="23"/>
      <c r="I1721" s="124">
        <f t="shared" si="62"/>
        <v>0</v>
      </c>
      <c r="J1721" s="21"/>
      <c r="K1721" s="24"/>
    </row>
    <row r="1722" spans="1:11" ht="15.75" customHeight="1" x14ac:dyDescent="0.25">
      <c r="A1722" s="21" t="s">
        <v>3082</v>
      </c>
      <c r="B1722" s="26" t="s">
        <v>2891</v>
      </c>
      <c r="C1722" s="3" t="s">
        <v>2892</v>
      </c>
      <c r="D1722" s="21"/>
      <c r="E1722" s="3" t="s">
        <v>292</v>
      </c>
      <c r="F1722" s="3" t="s">
        <v>78</v>
      </c>
      <c r="G1722" s="3">
        <v>2</v>
      </c>
      <c r="H1722" s="23"/>
      <c r="I1722" s="124">
        <f t="shared" si="62"/>
        <v>0</v>
      </c>
      <c r="J1722" s="21"/>
      <c r="K1722" s="24"/>
    </row>
    <row r="1723" spans="1:11" s="49" customFormat="1" ht="15.75" customHeight="1" x14ac:dyDescent="0.25">
      <c r="A1723" s="53" t="s">
        <v>459</v>
      </c>
      <c r="B1723" s="50" t="s">
        <v>3083</v>
      </c>
      <c r="C1723" s="54"/>
      <c r="D1723" s="44"/>
      <c r="E1723" s="44"/>
      <c r="F1723" s="54"/>
      <c r="G1723" s="44"/>
      <c r="H1723" s="47"/>
      <c r="I1723" s="128"/>
      <c r="J1723" s="44"/>
      <c r="K1723" s="48"/>
    </row>
    <row r="1724" spans="1:11" s="49" customFormat="1" ht="30" customHeight="1" x14ac:dyDescent="0.25">
      <c r="A1724" s="44" t="s">
        <v>2432</v>
      </c>
      <c r="B1724" s="45" t="s">
        <v>3084</v>
      </c>
      <c r="C1724" s="46" t="s">
        <v>3085</v>
      </c>
      <c r="D1724" s="44"/>
      <c r="E1724" s="44" t="s">
        <v>3086</v>
      </c>
      <c r="F1724" s="46" t="s">
        <v>78</v>
      </c>
      <c r="G1724" s="46">
        <v>1</v>
      </c>
      <c r="H1724" s="47"/>
      <c r="I1724" s="128">
        <f t="shared" ref="I1724:I1733" si="63">H1724*G1724</f>
        <v>0</v>
      </c>
      <c r="J1724" s="44"/>
      <c r="K1724" s="48"/>
    </row>
    <row r="1725" spans="1:11" s="49" customFormat="1" ht="30" customHeight="1" x14ac:dyDescent="0.25">
      <c r="A1725" s="44" t="s">
        <v>2434</v>
      </c>
      <c r="B1725" s="45" t="s">
        <v>3087</v>
      </c>
      <c r="C1725" s="46" t="s">
        <v>3088</v>
      </c>
      <c r="D1725" s="44"/>
      <c r="E1725" s="44" t="s">
        <v>3086</v>
      </c>
      <c r="F1725" s="46" t="s">
        <v>78</v>
      </c>
      <c r="G1725" s="46">
        <v>1</v>
      </c>
      <c r="H1725" s="47"/>
      <c r="I1725" s="128">
        <f t="shared" si="63"/>
        <v>0</v>
      </c>
      <c r="J1725" s="44"/>
      <c r="K1725" s="48"/>
    </row>
    <row r="1726" spans="1:11" s="49" customFormat="1" ht="30" customHeight="1" x14ac:dyDescent="0.25">
      <c r="A1726" s="44" t="s">
        <v>2435</v>
      </c>
      <c r="B1726" s="45" t="s">
        <v>3089</v>
      </c>
      <c r="C1726" s="46" t="s">
        <v>3090</v>
      </c>
      <c r="D1726" s="44"/>
      <c r="E1726" s="44" t="s">
        <v>3086</v>
      </c>
      <c r="F1726" s="46" t="s">
        <v>78</v>
      </c>
      <c r="G1726" s="46">
        <v>49</v>
      </c>
      <c r="H1726" s="47"/>
      <c r="I1726" s="128">
        <f t="shared" si="63"/>
        <v>0</v>
      </c>
      <c r="J1726" s="44"/>
      <c r="K1726" s="48"/>
    </row>
    <row r="1727" spans="1:11" s="49" customFormat="1" ht="30" customHeight="1" x14ac:dyDescent="0.25">
      <c r="A1727" s="44" t="s">
        <v>2437</v>
      </c>
      <c r="B1727" s="45" t="s">
        <v>2827</v>
      </c>
      <c r="C1727" s="46" t="s">
        <v>2828</v>
      </c>
      <c r="D1727" s="44" t="s">
        <v>2829</v>
      </c>
      <c r="E1727" s="44" t="s">
        <v>2529</v>
      </c>
      <c r="F1727" s="46" t="s">
        <v>78</v>
      </c>
      <c r="G1727" s="46">
        <v>1</v>
      </c>
      <c r="H1727" s="47"/>
      <c r="I1727" s="128">
        <f t="shared" si="63"/>
        <v>0</v>
      </c>
      <c r="J1727" s="44"/>
      <c r="K1727" s="48"/>
    </row>
    <row r="1728" spans="1:11" s="49" customFormat="1" ht="15.75" customHeight="1" x14ac:dyDescent="0.25">
      <c r="A1728" s="44" t="s">
        <v>2438</v>
      </c>
      <c r="B1728" s="45" t="s">
        <v>3059</v>
      </c>
      <c r="C1728" s="46" t="s">
        <v>3060</v>
      </c>
      <c r="D1728" s="44"/>
      <c r="E1728" s="44" t="s">
        <v>46</v>
      </c>
      <c r="F1728" s="46" t="s">
        <v>78</v>
      </c>
      <c r="G1728" s="46">
        <v>41</v>
      </c>
      <c r="H1728" s="47"/>
      <c r="I1728" s="128">
        <f t="shared" si="63"/>
        <v>0</v>
      </c>
      <c r="J1728" s="44"/>
      <c r="K1728" s="48"/>
    </row>
    <row r="1729" spans="1:11" ht="15.75" customHeight="1" x14ac:dyDescent="0.25">
      <c r="A1729" s="21" t="s">
        <v>2440</v>
      </c>
      <c r="B1729" s="26" t="s">
        <v>3091</v>
      </c>
      <c r="C1729" s="3" t="s">
        <v>3092</v>
      </c>
      <c r="D1729" s="21"/>
      <c r="E1729" s="21" t="s">
        <v>3067</v>
      </c>
      <c r="F1729" s="3" t="s">
        <v>89</v>
      </c>
      <c r="G1729" s="3">
        <v>983</v>
      </c>
      <c r="H1729" s="23">
        <v>80</v>
      </c>
      <c r="I1729" s="124">
        <f t="shared" si="63"/>
        <v>78640</v>
      </c>
      <c r="J1729" s="21"/>
      <c r="K1729" s="24" t="s">
        <v>2955</v>
      </c>
    </row>
    <row r="1730" spans="1:11" ht="15.75" customHeight="1" x14ac:dyDescent="0.25">
      <c r="A1730" s="21" t="s">
        <v>2441</v>
      </c>
      <c r="B1730" s="26" t="s">
        <v>2960</v>
      </c>
      <c r="C1730" s="3" t="s">
        <v>2961</v>
      </c>
      <c r="D1730" s="21" t="s">
        <v>2962</v>
      </c>
      <c r="E1730" s="21" t="s">
        <v>2783</v>
      </c>
      <c r="F1730" s="3" t="s">
        <v>89</v>
      </c>
      <c r="G1730" s="3">
        <v>746</v>
      </c>
      <c r="H1730" s="23"/>
      <c r="I1730" s="124">
        <f t="shared" si="63"/>
        <v>0</v>
      </c>
      <c r="J1730" s="21"/>
      <c r="K1730" s="24" t="s">
        <v>2955</v>
      </c>
    </row>
    <row r="1731" spans="1:11" ht="15.75" customHeight="1" x14ac:dyDescent="0.25">
      <c r="A1731" s="21" t="s">
        <v>2442</v>
      </c>
      <c r="B1731" s="26" t="s">
        <v>2964</v>
      </c>
      <c r="C1731" s="3" t="s">
        <v>2961</v>
      </c>
      <c r="D1731" s="21" t="s">
        <v>2965</v>
      </c>
      <c r="E1731" s="3" t="s">
        <v>292</v>
      </c>
      <c r="F1731" s="3" t="s">
        <v>78</v>
      </c>
      <c r="G1731" s="3">
        <v>2075</v>
      </c>
      <c r="H1731" s="23"/>
      <c r="I1731" s="124">
        <f t="shared" si="63"/>
        <v>0</v>
      </c>
      <c r="J1731" s="21"/>
      <c r="K1731" s="24" t="s">
        <v>2955</v>
      </c>
    </row>
    <row r="1732" spans="1:11" ht="15.75" customHeight="1" x14ac:dyDescent="0.25">
      <c r="A1732" s="21" t="s">
        <v>2443</v>
      </c>
      <c r="B1732" s="26" t="s">
        <v>2872</v>
      </c>
      <c r="C1732" s="3"/>
      <c r="D1732" s="21" t="s">
        <v>2873</v>
      </c>
      <c r="E1732" s="3" t="s">
        <v>292</v>
      </c>
      <c r="F1732" s="3" t="s">
        <v>78</v>
      </c>
      <c r="G1732" s="3">
        <v>200</v>
      </c>
      <c r="H1732" s="23"/>
      <c r="I1732" s="124">
        <f t="shared" si="63"/>
        <v>0</v>
      </c>
      <c r="J1732" s="21"/>
      <c r="K1732" s="24"/>
    </row>
    <row r="1733" spans="1:11" ht="15.75" customHeight="1" x14ac:dyDescent="0.25">
      <c r="A1733" s="21" t="s">
        <v>2444</v>
      </c>
      <c r="B1733" s="26" t="s">
        <v>2875</v>
      </c>
      <c r="C1733" s="3" t="s">
        <v>2977</v>
      </c>
      <c r="D1733" s="21"/>
      <c r="E1733" s="21" t="s">
        <v>46</v>
      </c>
      <c r="F1733" s="3" t="s">
        <v>78</v>
      </c>
      <c r="G1733" s="3">
        <v>200</v>
      </c>
      <c r="H1733" s="23"/>
      <c r="I1733" s="124">
        <f t="shared" si="63"/>
        <v>0</v>
      </c>
      <c r="J1733" s="21"/>
      <c r="K1733" s="24"/>
    </row>
    <row r="1734" spans="1:11" ht="15.75" customHeight="1" x14ac:dyDescent="0.25">
      <c r="A1734" s="42" t="s">
        <v>485</v>
      </c>
      <c r="B1734" s="43" t="s">
        <v>3093</v>
      </c>
      <c r="C1734" s="22"/>
      <c r="D1734" s="21"/>
      <c r="E1734" s="21"/>
      <c r="F1734" s="22"/>
      <c r="G1734" s="21"/>
      <c r="H1734" s="23"/>
      <c r="I1734" s="124"/>
      <c r="J1734" s="21"/>
      <c r="K1734" s="24"/>
    </row>
    <row r="1735" spans="1:11" ht="15.75" customHeight="1" x14ac:dyDescent="0.25">
      <c r="A1735" s="21" t="s">
        <v>3094</v>
      </c>
      <c r="B1735" s="26" t="s">
        <v>3095</v>
      </c>
      <c r="C1735" s="3" t="s">
        <v>3096</v>
      </c>
      <c r="D1735" s="21"/>
      <c r="E1735" s="21" t="s">
        <v>3097</v>
      </c>
      <c r="F1735" s="3" t="s">
        <v>78</v>
      </c>
      <c r="G1735" s="3">
        <v>1</v>
      </c>
      <c r="H1735" s="23">
        <v>196800</v>
      </c>
      <c r="I1735" s="124">
        <f t="shared" ref="I1735:I1758" si="64">H1735*G1735</f>
        <v>196800</v>
      </c>
      <c r="J1735" s="21"/>
      <c r="K1735" s="24"/>
    </row>
    <row r="1736" spans="1:11" ht="15.75" customHeight="1" x14ac:dyDescent="0.25">
      <c r="A1736" s="21" t="s">
        <v>3098</v>
      </c>
      <c r="B1736" s="26" t="s">
        <v>3099</v>
      </c>
      <c r="C1736" s="3" t="s">
        <v>3100</v>
      </c>
      <c r="D1736" s="21"/>
      <c r="E1736" s="21" t="s">
        <v>3097</v>
      </c>
      <c r="F1736" s="3" t="s">
        <v>78</v>
      </c>
      <c r="G1736" s="3">
        <v>1</v>
      </c>
      <c r="H1736" s="23">
        <v>150110</v>
      </c>
      <c r="I1736" s="124">
        <f t="shared" si="64"/>
        <v>150110</v>
      </c>
      <c r="J1736" s="21"/>
      <c r="K1736" s="24"/>
    </row>
    <row r="1737" spans="1:11" ht="15.75" customHeight="1" x14ac:dyDescent="0.25">
      <c r="A1737" s="21" t="s">
        <v>3101</v>
      </c>
      <c r="B1737" s="26" t="s">
        <v>3102</v>
      </c>
      <c r="C1737" s="3"/>
      <c r="D1737" s="21"/>
      <c r="E1737" s="21" t="s">
        <v>3097</v>
      </c>
      <c r="F1737" s="3" t="s">
        <v>78</v>
      </c>
      <c r="G1737" s="3">
        <v>2</v>
      </c>
      <c r="H1737" s="23">
        <v>15410</v>
      </c>
      <c r="I1737" s="124">
        <f t="shared" si="64"/>
        <v>30820</v>
      </c>
      <c r="J1737" s="21"/>
      <c r="K1737" s="24"/>
    </row>
    <row r="1738" spans="1:11" ht="15.75" customHeight="1" x14ac:dyDescent="0.25">
      <c r="A1738" s="21" t="s">
        <v>3103</v>
      </c>
      <c r="B1738" s="26" t="s">
        <v>3104</v>
      </c>
      <c r="C1738" s="3" t="s">
        <v>3105</v>
      </c>
      <c r="D1738" s="21"/>
      <c r="E1738" s="21" t="s">
        <v>3097</v>
      </c>
      <c r="F1738" s="3" t="s">
        <v>78</v>
      </c>
      <c r="G1738" s="3">
        <v>17</v>
      </c>
      <c r="H1738" s="23">
        <v>5230</v>
      </c>
      <c r="I1738" s="124">
        <f t="shared" si="64"/>
        <v>88910</v>
      </c>
      <c r="J1738" s="21"/>
      <c r="K1738" s="24"/>
    </row>
    <row r="1739" spans="1:11" ht="15.75" customHeight="1" x14ac:dyDescent="0.25">
      <c r="A1739" s="21" t="s">
        <v>3106</v>
      </c>
      <c r="B1739" s="26" t="s">
        <v>3104</v>
      </c>
      <c r="C1739" s="3" t="s">
        <v>3107</v>
      </c>
      <c r="D1739" s="21"/>
      <c r="E1739" s="21" t="s">
        <v>3097</v>
      </c>
      <c r="F1739" s="3" t="s">
        <v>78</v>
      </c>
      <c r="G1739" s="3">
        <v>4</v>
      </c>
      <c r="H1739" s="23">
        <v>5230</v>
      </c>
      <c r="I1739" s="124">
        <f t="shared" si="64"/>
        <v>20920</v>
      </c>
      <c r="J1739" s="21"/>
      <c r="K1739" s="24"/>
    </row>
    <row r="1740" spans="1:11" ht="34.5" customHeight="1" x14ac:dyDescent="0.25">
      <c r="A1740" s="21" t="s">
        <v>3108</v>
      </c>
      <c r="B1740" s="26" t="s">
        <v>3109</v>
      </c>
      <c r="C1740" s="3" t="s">
        <v>3110</v>
      </c>
      <c r="D1740" s="21"/>
      <c r="E1740" s="21" t="s">
        <v>3097</v>
      </c>
      <c r="F1740" s="3" t="s">
        <v>78</v>
      </c>
      <c r="G1740" s="3">
        <v>4</v>
      </c>
      <c r="H1740" s="23">
        <v>1620</v>
      </c>
      <c r="I1740" s="124">
        <f t="shared" si="64"/>
        <v>6480</v>
      </c>
      <c r="J1740" s="21"/>
      <c r="K1740" s="24"/>
    </row>
    <row r="1741" spans="1:11" ht="15.75" customHeight="1" x14ac:dyDescent="0.25">
      <c r="A1741" s="21" t="s">
        <v>3111</v>
      </c>
      <c r="B1741" s="26" t="s">
        <v>3112</v>
      </c>
      <c r="C1741" s="3" t="s">
        <v>3113</v>
      </c>
      <c r="D1741" s="21"/>
      <c r="E1741" s="21" t="s">
        <v>3097</v>
      </c>
      <c r="F1741" s="3" t="s">
        <v>78</v>
      </c>
      <c r="G1741" s="3">
        <v>8</v>
      </c>
      <c r="H1741" s="23">
        <v>1620</v>
      </c>
      <c r="I1741" s="124">
        <f t="shared" si="64"/>
        <v>12960</v>
      </c>
      <c r="J1741" s="21"/>
      <c r="K1741" s="24"/>
    </row>
    <row r="1742" spans="1:11" ht="15.75" customHeight="1" x14ac:dyDescent="0.25">
      <c r="A1742" s="21" t="s">
        <v>3114</v>
      </c>
      <c r="B1742" s="26" t="s">
        <v>3115</v>
      </c>
      <c r="C1742" s="3" t="s">
        <v>3116</v>
      </c>
      <c r="D1742" s="21"/>
      <c r="E1742" s="21" t="s">
        <v>3097</v>
      </c>
      <c r="F1742" s="3" t="s">
        <v>78</v>
      </c>
      <c r="G1742" s="3">
        <v>18</v>
      </c>
      <c r="H1742" s="23">
        <v>1620</v>
      </c>
      <c r="I1742" s="124">
        <f t="shared" si="64"/>
        <v>29160</v>
      </c>
      <c r="J1742" s="21"/>
      <c r="K1742" s="24"/>
    </row>
    <row r="1743" spans="1:11" ht="15.75" customHeight="1" x14ac:dyDescent="0.25">
      <c r="A1743" s="21" t="s">
        <v>3117</v>
      </c>
      <c r="B1743" s="26" t="s">
        <v>3118</v>
      </c>
      <c r="C1743" s="3" t="s">
        <v>3119</v>
      </c>
      <c r="D1743" s="21"/>
      <c r="E1743" s="21" t="s">
        <v>3097</v>
      </c>
      <c r="F1743" s="3" t="s">
        <v>78</v>
      </c>
      <c r="G1743" s="3">
        <v>8</v>
      </c>
      <c r="H1743" s="23">
        <v>5270</v>
      </c>
      <c r="I1743" s="124">
        <f t="shared" si="64"/>
        <v>42160</v>
      </c>
      <c r="J1743" s="21"/>
      <c r="K1743" s="24"/>
    </row>
    <row r="1744" spans="1:11" ht="34.5" customHeight="1" x14ac:dyDescent="0.25">
      <c r="A1744" s="21" t="s">
        <v>3120</v>
      </c>
      <c r="B1744" s="26" t="s">
        <v>3121</v>
      </c>
      <c r="C1744" s="3" t="s">
        <v>3122</v>
      </c>
      <c r="D1744" s="21"/>
      <c r="E1744" s="21" t="s">
        <v>3097</v>
      </c>
      <c r="F1744" s="3" t="s">
        <v>78</v>
      </c>
      <c r="G1744" s="3">
        <v>8</v>
      </c>
      <c r="H1744" s="23">
        <v>6990</v>
      </c>
      <c r="I1744" s="124">
        <f t="shared" si="64"/>
        <v>55920</v>
      </c>
      <c r="J1744" s="21"/>
      <c r="K1744" s="24"/>
    </row>
    <row r="1745" spans="1:11" ht="15.75" customHeight="1" x14ac:dyDescent="0.25">
      <c r="A1745" s="21" t="s">
        <v>3123</v>
      </c>
      <c r="B1745" s="26" t="s">
        <v>3124</v>
      </c>
      <c r="C1745" s="3" t="s">
        <v>3125</v>
      </c>
      <c r="D1745" s="21"/>
      <c r="E1745" s="21" t="s">
        <v>3097</v>
      </c>
      <c r="F1745" s="3" t="s">
        <v>78</v>
      </c>
      <c r="G1745" s="3">
        <v>26</v>
      </c>
      <c r="H1745" s="23">
        <v>4510</v>
      </c>
      <c r="I1745" s="124">
        <f t="shared" si="64"/>
        <v>117260</v>
      </c>
      <c r="J1745" s="21"/>
      <c r="K1745" s="24"/>
    </row>
    <row r="1746" spans="1:11" ht="15.75" customHeight="1" x14ac:dyDescent="0.25">
      <c r="A1746" s="21" t="s">
        <v>3126</v>
      </c>
      <c r="B1746" s="26" t="s">
        <v>3124</v>
      </c>
      <c r="C1746" s="3" t="s">
        <v>3127</v>
      </c>
      <c r="D1746" s="21"/>
      <c r="E1746" s="21" t="s">
        <v>3097</v>
      </c>
      <c r="F1746" s="3" t="s">
        <v>78</v>
      </c>
      <c r="G1746" s="3">
        <v>2</v>
      </c>
      <c r="H1746" s="23">
        <v>4510</v>
      </c>
      <c r="I1746" s="124">
        <f t="shared" si="64"/>
        <v>9020</v>
      </c>
      <c r="J1746" s="21"/>
      <c r="K1746" s="24"/>
    </row>
    <row r="1747" spans="1:11" ht="15.75" customHeight="1" x14ac:dyDescent="0.25">
      <c r="A1747" s="21" t="s">
        <v>3128</v>
      </c>
      <c r="B1747" s="26" t="s">
        <v>3129</v>
      </c>
      <c r="C1747" s="3" t="s">
        <v>3130</v>
      </c>
      <c r="D1747" s="21"/>
      <c r="E1747" s="21" t="s">
        <v>3097</v>
      </c>
      <c r="F1747" s="3" t="s">
        <v>78</v>
      </c>
      <c r="G1747" s="3">
        <v>2</v>
      </c>
      <c r="H1747" s="23">
        <v>5430</v>
      </c>
      <c r="I1747" s="124">
        <f t="shared" si="64"/>
        <v>10860</v>
      </c>
      <c r="J1747" s="21"/>
      <c r="K1747" s="24"/>
    </row>
    <row r="1748" spans="1:11" ht="15.75" customHeight="1" x14ac:dyDescent="0.25">
      <c r="A1748" s="21" t="s">
        <v>3131</v>
      </c>
      <c r="B1748" s="26" t="s">
        <v>3132</v>
      </c>
      <c r="C1748" s="3"/>
      <c r="D1748" s="21"/>
      <c r="E1748" s="21" t="s">
        <v>3097</v>
      </c>
      <c r="F1748" s="3" t="s">
        <v>78</v>
      </c>
      <c r="G1748" s="3">
        <v>2</v>
      </c>
      <c r="H1748" s="23">
        <v>700</v>
      </c>
      <c r="I1748" s="124">
        <f t="shared" si="64"/>
        <v>1400</v>
      </c>
      <c r="J1748" s="21"/>
      <c r="K1748" s="24"/>
    </row>
    <row r="1749" spans="1:11" s="49" customFormat="1" ht="15.75" customHeight="1" x14ac:dyDescent="0.25">
      <c r="A1749" s="44" t="s">
        <v>3133</v>
      </c>
      <c r="B1749" s="45" t="s">
        <v>3134</v>
      </c>
      <c r="C1749" s="46"/>
      <c r="D1749" s="44"/>
      <c r="E1749" s="44" t="s">
        <v>46</v>
      </c>
      <c r="F1749" s="46" t="s">
        <v>78</v>
      </c>
      <c r="G1749" s="46">
        <v>2</v>
      </c>
      <c r="H1749" s="47"/>
      <c r="I1749" s="128">
        <f t="shared" si="64"/>
        <v>0</v>
      </c>
      <c r="J1749" s="44"/>
      <c r="K1749" s="48"/>
    </row>
    <row r="1750" spans="1:11" s="49" customFormat="1" ht="45" customHeight="1" x14ac:dyDescent="0.25">
      <c r="A1750" s="44" t="s">
        <v>3135</v>
      </c>
      <c r="B1750" s="45" t="s">
        <v>2839</v>
      </c>
      <c r="C1750" s="46" t="s">
        <v>2840</v>
      </c>
      <c r="D1750" s="44" t="s">
        <v>2841</v>
      </c>
      <c r="E1750" s="44" t="s">
        <v>2529</v>
      </c>
      <c r="F1750" s="46" t="s">
        <v>89</v>
      </c>
      <c r="G1750" s="46">
        <v>1300</v>
      </c>
      <c r="H1750" s="47">
        <v>48.843179999999997</v>
      </c>
      <c r="I1750" s="128">
        <f t="shared" si="64"/>
        <v>63496.133999999998</v>
      </c>
      <c r="J1750" s="44"/>
      <c r="K1750" s="48" t="s">
        <v>2955</v>
      </c>
    </row>
    <row r="1751" spans="1:11" s="49" customFormat="1" ht="30" customHeight="1" x14ac:dyDescent="0.25">
      <c r="A1751" s="44" t="s">
        <v>3136</v>
      </c>
      <c r="B1751" s="45" t="s">
        <v>3137</v>
      </c>
      <c r="C1751" s="46" t="s">
        <v>3138</v>
      </c>
      <c r="D1751" s="44"/>
      <c r="E1751" s="44" t="s">
        <v>3139</v>
      </c>
      <c r="F1751" s="46" t="s">
        <v>89</v>
      </c>
      <c r="G1751" s="46">
        <v>65</v>
      </c>
      <c r="H1751" s="47"/>
      <c r="I1751" s="128">
        <f t="shared" si="64"/>
        <v>0</v>
      </c>
      <c r="J1751" s="44"/>
      <c r="K1751" s="48"/>
    </row>
    <row r="1752" spans="1:11" s="49" customFormat="1" ht="15.75" customHeight="1" x14ac:dyDescent="0.25">
      <c r="A1752" s="44" t="s">
        <v>3140</v>
      </c>
      <c r="B1752" s="45" t="s">
        <v>2960</v>
      </c>
      <c r="C1752" s="46" t="s">
        <v>2961</v>
      </c>
      <c r="D1752" s="44" t="s">
        <v>2962</v>
      </c>
      <c r="E1752" s="44" t="s">
        <v>2783</v>
      </c>
      <c r="F1752" s="46" t="s">
        <v>89</v>
      </c>
      <c r="G1752" s="46">
        <v>780</v>
      </c>
      <c r="H1752" s="47"/>
      <c r="I1752" s="128">
        <f t="shared" si="64"/>
        <v>0</v>
      </c>
      <c r="J1752" s="44"/>
      <c r="K1752" s="48" t="s">
        <v>2955</v>
      </c>
    </row>
    <row r="1753" spans="1:11" s="49" customFormat="1" ht="15.75" customHeight="1" x14ac:dyDescent="0.25">
      <c r="A1753" s="44" t="s">
        <v>3141</v>
      </c>
      <c r="B1753" s="45" t="s">
        <v>2964</v>
      </c>
      <c r="C1753" s="46" t="s">
        <v>2961</v>
      </c>
      <c r="D1753" s="44" t="s">
        <v>2965</v>
      </c>
      <c r="E1753" s="44" t="s">
        <v>2783</v>
      </c>
      <c r="F1753" s="46" t="s">
        <v>78</v>
      </c>
      <c r="G1753" s="46">
        <v>1700</v>
      </c>
      <c r="H1753" s="47"/>
      <c r="I1753" s="128">
        <f t="shared" si="64"/>
        <v>0</v>
      </c>
      <c r="J1753" s="44"/>
      <c r="K1753" s="48" t="s">
        <v>2955</v>
      </c>
    </row>
    <row r="1754" spans="1:11" s="49" customFormat="1" ht="15.75" customHeight="1" x14ac:dyDescent="0.25">
      <c r="A1754" s="44" t="s">
        <v>3142</v>
      </c>
      <c r="B1754" s="45" t="s">
        <v>2872</v>
      </c>
      <c r="C1754" s="46"/>
      <c r="D1754" s="44" t="s">
        <v>2873</v>
      </c>
      <c r="E1754" s="46" t="s">
        <v>292</v>
      </c>
      <c r="F1754" s="46" t="s">
        <v>78</v>
      </c>
      <c r="G1754" s="46">
        <v>300</v>
      </c>
      <c r="H1754" s="47"/>
      <c r="I1754" s="128">
        <f t="shared" si="64"/>
        <v>0</v>
      </c>
      <c r="J1754" s="44"/>
      <c r="K1754" s="48"/>
    </row>
    <row r="1755" spans="1:11" ht="15.75" customHeight="1" x14ac:dyDescent="0.25">
      <c r="A1755" s="21" t="s">
        <v>3143</v>
      </c>
      <c r="B1755" s="26" t="s">
        <v>2875</v>
      </c>
      <c r="C1755" s="3" t="s">
        <v>2876</v>
      </c>
      <c r="D1755" s="21"/>
      <c r="E1755" s="21" t="s">
        <v>46</v>
      </c>
      <c r="F1755" s="3" t="s">
        <v>78</v>
      </c>
      <c r="G1755" s="3">
        <v>300</v>
      </c>
      <c r="H1755" s="23"/>
      <c r="I1755" s="124">
        <f t="shared" si="64"/>
        <v>0</v>
      </c>
      <c r="J1755" s="21"/>
      <c r="K1755" s="24"/>
    </row>
    <row r="1756" spans="1:11" ht="15.75" customHeight="1" x14ac:dyDescent="0.25">
      <c r="A1756" s="21" t="s">
        <v>3144</v>
      </c>
      <c r="B1756" s="26" t="s">
        <v>2878</v>
      </c>
      <c r="C1756" s="3" t="s">
        <v>2879</v>
      </c>
      <c r="D1756" s="21"/>
      <c r="E1756" s="21" t="s">
        <v>2880</v>
      </c>
      <c r="F1756" s="3" t="s">
        <v>89</v>
      </c>
      <c r="G1756" s="3">
        <v>3</v>
      </c>
      <c r="H1756" s="23"/>
      <c r="I1756" s="124">
        <f t="shared" si="64"/>
        <v>0</v>
      </c>
      <c r="J1756" s="21"/>
      <c r="K1756" s="24"/>
    </row>
    <row r="1757" spans="1:11" ht="15.75" customHeight="1" x14ac:dyDescent="0.25">
      <c r="A1757" s="21" t="s">
        <v>3145</v>
      </c>
      <c r="B1757" s="26" t="s">
        <v>2888</v>
      </c>
      <c r="C1757" s="3" t="s">
        <v>2889</v>
      </c>
      <c r="D1757" s="21"/>
      <c r="E1757" s="3" t="s">
        <v>292</v>
      </c>
      <c r="F1757" s="3" t="s">
        <v>78</v>
      </c>
      <c r="G1757" s="3">
        <v>1</v>
      </c>
      <c r="H1757" s="23"/>
      <c r="I1757" s="124">
        <f t="shared" si="64"/>
        <v>0</v>
      </c>
      <c r="J1757" s="21"/>
      <c r="K1757" s="24"/>
    </row>
    <row r="1758" spans="1:11" ht="15.75" customHeight="1" x14ac:dyDescent="0.25">
      <c r="A1758" s="21" t="s">
        <v>3146</v>
      </c>
      <c r="B1758" s="26" t="s">
        <v>2891</v>
      </c>
      <c r="C1758" s="3" t="s">
        <v>2892</v>
      </c>
      <c r="D1758" s="21"/>
      <c r="E1758" s="3" t="s">
        <v>292</v>
      </c>
      <c r="F1758" s="3" t="s">
        <v>78</v>
      </c>
      <c r="G1758" s="3">
        <v>2</v>
      </c>
      <c r="H1758" s="23"/>
      <c r="I1758" s="124">
        <f t="shared" si="64"/>
        <v>0</v>
      </c>
      <c r="J1758" s="21"/>
      <c r="K1758" s="24"/>
    </row>
    <row r="1759" spans="1:11" ht="15.75" customHeight="1" x14ac:dyDescent="0.25">
      <c r="A1759" s="42" t="s">
        <v>1838</v>
      </c>
      <c r="B1759" s="43" t="s">
        <v>3147</v>
      </c>
      <c r="C1759" s="22"/>
      <c r="D1759" s="21"/>
      <c r="E1759" s="21"/>
      <c r="F1759" s="22"/>
      <c r="G1759" s="21"/>
      <c r="H1759" s="23"/>
      <c r="I1759" s="124"/>
      <c r="J1759" s="21"/>
      <c r="K1759" s="24"/>
    </row>
    <row r="1760" spans="1:11" ht="15.75" customHeight="1" x14ac:dyDescent="0.25">
      <c r="A1760" s="21" t="s">
        <v>3148</v>
      </c>
      <c r="B1760" s="26" t="s">
        <v>3149</v>
      </c>
      <c r="C1760" s="3" t="s">
        <v>3150</v>
      </c>
      <c r="D1760" s="21"/>
      <c r="E1760" s="21" t="s">
        <v>3151</v>
      </c>
      <c r="F1760" s="3" t="s">
        <v>78</v>
      </c>
      <c r="G1760" s="3">
        <v>1</v>
      </c>
      <c r="H1760" s="23"/>
      <c r="I1760" s="124">
        <f t="shared" ref="I1760:I1772" si="65">H1760*G1760</f>
        <v>0</v>
      </c>
      <c r="J1760" s="21"/>
      <c r="K1760" s="24"/>
    </row>
    <row r="1761" spans="1:11" ht="15.75" customHeight="1" x14ac:dyDescent="0.25">
      <c r="A1761" s="21" t="s">
        <v>3152</v>
      </c>
      <c r="B1761" s="26" t="s">
        <v>3149</v>
      </c>
      <c r="C1761" s="3" t="s">
        <v>3153</v>
      </c>
      <c r="D1761" s="21"/>
      <c r="E1761" s="21" t="s">
        <v>3151</v>
      </c>
      <c r="F1761" s="3" t="s">
        <v>78</v>
      </c>
      <c r="G1761" s="3">
        <v>4</v>
      </c>
      <c r="H1761" s="23"/>
      <c r="I1761" s="124">
        <f t="shared" si="65"/>
        <v>0</v>
      </c>
      <c r="J1761" s="21"/>
      <c r="K1761" s="24"/>
    </row>
    <row r="1762" spans="1:11" ht="15.75" customHeight="1" x14ac:dyDescent="0.25">
      <c r="A1762" s="21" t="s">
        <v>3154</v>
      </c>
      <c r="B1762" s="26" t="s">
        <v>3149</v>
      </c>
      <c r="C1762" s="3" t="s">
        <v>3155</v>
      </c>
      <c r="D1762" s="21"/>
      <c r="E1762" s="21" t="s">
        <v>3151</v>
      </c>
      <c r="F1762" s="3" t="s">
        <v>78</v>
      </c>
      <c r="G1762" s="3">
        <v>2</v>
      </c>
      <c r="H1762" s="23"/>
      <c r="I1762" s="124">
        <f t="shared" si="65"/>
        <v>0</v>
      </c>
      <c r="J1762" s="21"/>
      <c r="K1762" s="24"/>
    </row>
    <row r="1763" spans="1:11" ht="15.75" customHeight="1" x14ac:dyDescent="0.25">
      <c r="A1763" s="21" t="s">
        <v>3156</v>
      </c>
      <c r="B1763" s="26" t="s">
        <v>3157</v>
      </c>
      <c r="C1763" s="3" t="s">
        <v>3158</v>
      </c>
      <c r="D1763" s="21"/>
      <c r="E1763" s="21" t="s">
        <v>3151</v>
      </c>
      <c r="F1763" s="3" t="s">
        <v>78</v>
      </c>
      <c r="G1763" s="3">
        <v>10</v>
      </c>
      <c r="H1763" s="23"/>
      <c r="I1763" s="124">
        <f t="shared" si="65"/>
        <v>0</v>
      </c>
      <c r="J1763" s="21"/>
      <c r="K1763" s="24"/>
    </row>
    <row r="1764" spans="1:11" ht="15.75" customHeight="1" x14ac:dyDescent="0.25">
      <c r="A1764" s="21" t="s">
        <v>3159</v>
      </c>
      <c r="B1764" s="26" t="s">
        <v>3160</v>
      </c>
      <c r="C1764" s="3" t="s">
        <v>3161</v>
      </c>
      <c r="D1764" s="21"/>
      <c r="E1764" s="21" t="s">
        <v>3151</v>
      </c>
      <c r="F1764" s="3" t="s">
        <v>78</v>
      </c>
      <c r="G1764" s="3">
        <v>9</v>
      </c>
      <c r="H1764" s="23"/>
      <c r="I1764" s="124">
        <f t="shared" si="65"/>
        <v>0</v>
      </c>
      <c r="J1764" s="21"/>
      <c r="K1764" s="24"/>
    </row>
    <row r="1765" spans="1:11" ht="15.75" customHeight="1" x14ac:dyDescent="0.25">
      <c r="A1765" s="21" t="s">
        <v>3162</v>
      </c>
      <c r="B1765" s="26" t="s">
        <v>3163</v>
      </c>
      <c r="C1765" s="3" t="s">
        <v>3164</v>
      </c>
      <c r="D1765" s="21"/>
      <c r="E1765" s="21" t="s">
        <v>3139</v>
      </c>
      <c r="F1765" s="3" t="s">
        <v>89</v>
      </c>
      <c r="G1765" s="3">
        <v>420</v>
      </c>
      <c r="H1765" s="23"/>
      <c r="I1765" s="124">
        <f t="shared" si="65"/>
        <v>0</v>
      </c>
      <c r="J1765" s="21"/>
      <c r="K1765" s="24"/>
    </row>
    <row r="1766" spans="1:11" ht="15.75" customHeight="1" x14ac:dyDescent="0.25">
      <c r="A1766" s="21" t="s">
        <v>3165</v>
      </c>
      <c r="B1766" s="26" t="s">
        <v>2960</v>
      </c>
      <c r="C1766" s="3" t="s">
        <v>2961</v>
      </c>
      <c r="D1766" s="21" t="s">
        <v>2962</v>
      </c>
      <c r="E1766" s="3" t="s">
        <v>292</v>
      </c>
      <c r="F1766" s="3" t="s">
        <v>89</v>
      </c>
      <c r="G1766" s="3">
        <v>330</v>
      </c>
      <c r="H1766" s="23"/>
      <c r="I1766" s="124">
        <f t="shared" si="65"/>
        <v>0</v>
      </c>
      <c r="J1766" s="21"/>
      <c r="K1766" s="24"/>
    </row>
    <row r="1767" spans="1:11" ht="15.75" customHeight="1" x14ac:dyDescent="0.25">
      <c r="A1767" s="21" t="s">
        <v>3166</v>
      </c>
      <c r="B1767" s="26" t="s">
        <v>2964</v>
      </c>
      <c r="C1767" s="3" t="s">
        <v>2961</v>
      </c>
      <c r="D1767" s="21" t="s">
        <v>2965</v>
      </c>
      <c r="E1767" s="3" t="s">
        <v>292</v>
      </c>
      <c r="F1767" s="3" t="s">
        <v>78</v>
      </c>
      <c r="G1767" s="3">
        <v>1100</v>
      </c>
      <c r="H1767" s="23"/>
      <c r="I1767" s="124">
        <f t="shared" si="65"/>
        <v>0</v>
      </c>
      <c r="J1767" s="21"/>
      <c r="K1767" s="24"/>
    </row>
    <row r="1768" spans="1:11" ht="15.75" customHeight="1" x14ac:dyDescent="0.25">
      <c r="A1768" s="21" t="s">
        <v>3167</v>
      </c>
      <c r="B1768" s="26" t="s">
        <v>2872</v>
      </c>
      <c r="C1768" s="3"/>
      <c r="D1768" s="21" t="s">
        <v>2873</v>
      </c>
      <c r="E1768" s="3" t="s">
        <v>292</v>
      </c>
      <c r="F1768" s="3" t="s">
        <v>78</v>
      </c>
      <c r="G1768" s="3">
        <v>100</v>
      </c>
      <c r="H1768" s="23"/>
      <c r="I1768" s="124">
        <f t="shared" si="65"/>
        <v>0</v>
      </c>
      <c r="J1768" s="21"/>
      <c r="K1768" s="24"/>
    </row>
    <row r="1769" spans="1:11" ht="15.75" customHeight="1" x14ac:dyDescent="0.25">
      <c r="A1769" s="21" t="s">
        <v>3168</v>
      </c>
      <c r="B1769" s="26" t="s">
        <v>2875</v>
      </c>
      <c r="C1769" s="3" t="s">
        <v>2876</v>
      </c>
      <c r="D1769" s="21"/>
      <c r="E1769" s="21" t="s">
        <v>46</v>
      </c>
      <c r="F1769" s="3" t="s">
        <v>78</v>
      </c>
      <c r="G1769" s="3">
        <v>100</v>
      </c>
      <c r="H1769" s="23"/>
      <c r="I1769" s="124">
        <f t="shared" si="65"/>
        <v>0</v>
      </c>
      <c r="J1769" s="21"/>
      <c r="K1769" s="24"/>
    </row>
    <row r="1770" spans="1:11" ht="15.75" customHeight="1" x14ac:dyDescent="0.25">
      <c r="A1770" s="21" t="s">
        <v>3169</v>
      </c>
      <c r="B1770" s="26" t="s">
        <v>2878</v>
      </c>
      <c r="C1770" s="3" t="s">
        <v>2879</v>
      </c>
      <c r="D1770" s="21"/>
      <c r="E1770" s="21" t="s">
        <v>2880</v>
      </c>
      <c r="F1770" s="3" t="s">
        <v>89</v>
      </c>
      <c r="G1770" s="3">
        <v>3</v>
      </c>
      <c r="H1770" s="23"/>
      <c r="I1770" s="124">
        <f t="shared" si="65"/>
        <v>0</v>
      </c>
      <c r="J1770" s="21"/>
      <c r="K1770" s="24"/>
    </row>
    <row r="1771" spans="1:11" ht="15.75" customHeight="1" x14ac:dyDescent="0.25">
      <c r="A1771" s="21" t="s">
        <v>3170</v>
      </c>
      <c r="B1771" s="26" t="s">
        <v>2888</v>
      </c>
      <c r="C1771" s="3" t="s">
        <v>2889</v>
      </c>
      <c r="D1771" s="21"/>
      <c r="E1771" s="3" t="s">
        <v>292</v>
      </c>
      <c r="F1771" s="3" t="s">
        <v>78</v>
      </c>
      <c r="G1771" s="3">
        <v>1</v>
      </c>
      <c r="H1771" s="23"/>
      <c r="I1771" s="124">
        <f t="shared" si="65"/>
        <v>0</v>
      </c>
      <c r="J1771" s="21"/>
      <c r="K1771" s="24"/>
    </row>
    <row r="1772" spans="1:11" ht="15.75" customHeight="1" x14ac:dyDescent="0.25">
      <c r="A1772" s="21" t="s">
        <v>3171</v>
      </c>
      <c r="B1772" s="26" t="s">
        <v>2891</v>
      </c>
      <c r="C1772" s="3" t="s">
        <v>2892</v>
      </c>
      <c r="D1772" s="21"/>
      <c r="E1772" s="3" t="s">
        <v>292</v>
      </c>
      <c r="F1772" s="3" t="s">
        <v>78</v>
      </c>
      <c r="G1772" s="3">
        <v>2</v>
      </c>
      <c r="H1772" s="23"/>
      <c r="I1772" s="124">
        <f t="shared" si="65"/>
        <v>0</v>
      </c>
      <c r="J1772" s="21"/>
      <c r="K1772" s="24"/>
    </row>
    <row r="1773" spans="1:11" ht="15.75" customHeight="1" x14ac:dyDescent="0.25">
      <c r="A1773" s="42" t="s">
        <v>1861</v>
      </c>
      <c r="B1773" s="50" t="s">
        <v>3172</v>
      </c>
      <c r="C1773" s="22"/>
      <c r="D1773" s="21"/>
      <c r="E1773" s="21"/>
      <c r="F1773" s="22"/>
      <c r="G1773" s="21"/>
      <c r="H1773" s="23"/>
      <c r="I1773" s="124"/>
      <c r="J1773" s="21"/>
      <c r="K1773" s="24"/>
    </row>
    <row r="1774" spans="1:11" ht="15.75" customHeight="1" x14ac:dyDescent="0.25">
      <c r="A1774" s="21" t="s">
        <v>3173</v>
      </c>
      <c r="B1774" s="43" t="s">
        <v>3174</v>
      </c>
      <c r="C1774" s="3"/>
      <c r="D1774" s="21" t="s">
        <v>3175</v>
      </c>
      <c r="E1774" s="3" t="s">
        <v>292</v>
      </c>
      <c r="F1774" s="3" t="s">
        <v>89</v>
      </c>
      <c r="G1774" s="3">
        <v>110</v>
      </c>
      <c r="H1774" s="23"/>
      <c r="I1774" s="124">
        <f t="shared" ref="I1774:I1805" si="66">H1774*G1774</f>
        <v>0</v>
      </c>
      <c r="J1774" s="21">
        <v>2.08</v>
      </c>
      <c r="K1774" s="24"/>
    </row>
    <row r="1775" spans="1:11" ht="15.75" customHeight="1" x14ac:dyDescent="0.25">
      <c r="A1775" s="21" t="s">
        <v>3176</v>
      </c>
      <c r="B1775" s="26" t="s">
        <v>3177</v>
      </c>
      <c r="C1775" s="3"/>
      <c r="D1775" s="21" t="s">
        <v>3178</v>
      </c>
      <c r="E1775" s="3" t="s">
        <v>292</v>
      </c>
      <c r="F1775" s="3" t="s">
        <v>78</v>
      </c>
      <c r="G1775" s="3">
        <v>110</v>
      </c>
      <c r="H1775" s="23"/>
      <c r="I1775" s="124">
        <f t="shared" si="66"/>
        <v>0</v>
      </c>
      <c r="J1775" s="21">
        <v>3.0000000000000001E-3</v>
      </c>
      <c r="K1775" s="24"/>
    </row>
    <row r="1776" spans="1:11" ht="15.75" customHeight="1" x14ac:dyDescent="0.25">
      <c r="A1776" s="21" t="s">
        <v>3179</v>
      </c>
      <c r="B1776" s="26" t="s">
        <v>3180</v>
      </c>
      <c r="C1776" s="3"/>
      <c r="D1776" s="21" t="s">
        <v>3181</v>
      </c>
      <c r="E1776" s="3" t="s">
        <v>292</v>
      </c>
      <c r="F1776" s="3" t="s">
        <v>78</v>
      </c>
      <c r="G1776" s="3">
        <v>18</v>
      </c>
      <c r="H1776" s="23"/>
      <c r="I1776" s="124">
        <f t="shared" si="66"/>
        <v>0</v>
      </c>
      <c r="J1776" s="21">
        <v>4.0000000000000001E-3</v>
      </c>
      <c r="K1776" s="24" t="s">
        <v>3182</v>
      </c>
    </row>
    <row r="1777" spans="1:11" ht="15.75" customHeight="1" x14ac:dyDescent="0.25">
      <c r="A1777" s="21" t="s">
        <v>3183</v>
      </c>
      <c r="B1777" s="26" t="s">
        <v>3184</v>
      </c>
      <c r="C1777" s="3"/>
      <c r="D1777" s="21">
        <v>36480</v>
      </c>
      <c r="E1777" s="3" t="s">
        <v>292</v>
      </c>
      <c r="F1777" s="3" t="s">
        <v>89</v>
      </c>
      <c r="G1777" s="3">
        <v>220</v>
      </c>
      <c r="H1777" s="23"/>
      <c r="I1777" s="124">
        <f t="shared" si="66"/>
        <v>0</v>
      </c>
      <c r="J1777" s="21">
        <v>0.50600000000000001</v>
      </c>
      <c r="K1777" s="24" t="s">
        <v>3182</v>
      </c>
    </row>
    <row r="1778" spans="1:11" ht="15.75" customHeight="1" x14ac:dyDescent="0.25">
      <c r="A1778" s="21" t="s">
        <v>3185</v>
      </c>
      <c r="B1778" s="26" t="s">
        <v>3177</v>
      </c>
      <c r="C1778" s="3"/>
      <c r="D1778" s="21" t="s">
        <v>3178</v>
      </c>
      <c r="E1778" s="3" t="s">
        <v>292</v>
      </c>
      <c r="F1778" s="3" t="s">
        <v>78</v>
      </c>
      <c r="G1778" s="3">
        <v>220</v>
      </c>
      <c r="H1778" s="23"/>
      <c r="I1778" s="124">
        <f t="shared" si="66"/>
        <v>0</v>
      </c>
      <c r="J1778" s="21">
        <v>3.0000000000000001E-3</v>
      </c>
      <c r="K1778" s="24" t="s">
        <v>3182</v>
      </c>
    </row>
    <row r="1779" spans="1:11" ht="15.75" customHeight="1" x14ac:dyDescent="0.25">
      <c r="A1779" s="21" t="s">
        <v>3186</v>
      </c>
      <c r="B1779" s="26" t="s">
        <v>3180</v>
      </c>
      <c r="C1779" s="3"/>
      <c r="D1779" s="21" t="s">
        <v>3181</v>
      </c>
      <c r="E1779" s="3" t="s">
        <v>292</v>
      </c>
      <c r="F1779" s="3" t="s">
        <v>78</v>
      </c>
      <c r="G1779" s="3">
        <v>220</v>
      </c>
      <c r="H1779" s="23"/>
      <c r="I1779" s="124">
        <f t="shared" si="66"/>
        <v>0</v>
      </c>
      <c r="J1779" s="21">
        <v>4.0000000000000001E-3</v>
      </c>
      <c r="K1779" s="24" t="s">
        <v>3182</v>
      </c>
    </row>
    <row r="1780" spans="1:11" ht="34.5" customHeight="1" x14ac:dyDescent="0.25">
      <c r="A1780" s="21" t="s">
        <v>3187</v>
      </c>
      <c r="B1780" s="26" t="s">
        <v>3188</v>
      </c>
      <c r="C1780" s="3"/>
      <c r="D1780" s="21">
        <v>3552412</v>
      </c>
      <c r="E1780" s="3" t="s">
        <v>292</v>
      </c>
      <c r="F1780" s="3" t="s">
        <v>89</v>
      </c>
      <c r="G1780" s="3">
        <v>110</v>
      </c>
      <c r="H1780" s="23"/>
      <c r="I1780" s="124">
        <f t="shared" si="66"/>
        <v>0</v>
      </c>
      <c r="J1780" s="21">
        <v>2.19</v>
      </c>
      <c r="K1780" s="24" t="s">
        <v>3182</v>
      </c>
    </row>
    <row r="1781" spans="1:11" ht="15.75" customHeight="1" x14ac:dyDescent="0.25">
      <c r="A1781" s="21" t="s">
        <v>3189</v>
      </c>
      <c r="B1781" s="26" t="s">
        <v>3190</v>
      </c>
      <c r="C1781" s="3"/>
      <c r="D1781" s="21" t="s">
        <v>3191</v>
      </c>
      <c r="E1781" s="3" t="s">
        <v>292</v>
      </c>
      <c r="F1781" s="3" t="s">
        <v>78</v>
      </c>
      <c r="G1781" s="3">
        <v>62</v>
      </c>
      <c r="H1781" s="23"/>
      <c r="I1781" s="124">
        <f t="shared" si="66"/>
        <v>0</v>
      </c>
      <c r="J1781" s="21">
        <v>3.0000000000000001E-3</v>
      </c>
      <c r="K1781" s="24"/>
    </row>
    <row r="1782" spans="1:11" ht="45" customHeight="1" x14ac:dyDescent="0.25">
      <c r="A1782" s="21" t="s">
        <v>3192</v>
      </c>
      <c r="B1782" s="26" t="s">
        <v>3193</v>
      </c>
      <c r="C1782" s="3"/>
      <c r="D1782" s="21" t="s">
        <v>3194</v>
      </c>
      <c r="E1782" s="3" t="s">
        <v>292</v>
      </c>
      <c r="F1782" s="3" t="s">
        <v>120</v>
      </c>
      <c r="G1782" s="3">
        <v>6</v>
      </c>
      <c r="H1782" s="23"/>
      <c r="I1782" s="124">
        <f t="shared" si="66"/>
        <v>0</v>
      </c>
      <c r="J1782" s="21">
        <v>0.74</v>
      </c>
      <c r="K1782" s="24" t="s">
        <v>3182</v>
      </c>
    </row>
    <row r="1783" spans="1:11" ht="34.5" customHeight="1" x14ac:dyDescent="0.25">
      <c r="A1783" s="21" t="s">
        <v>3195</v>
      </c>
      <c r="B1783" s="26" t="s">
        <v>3196</v>
      </c>
      <c r="C1783" s="3"/>
      <c r="D1783" s="21" t="s">
        <v>3197</v>
      </c>
      <c r="E1783" s="3" t="s">
        <v>292</v>
      </c>
      <c r="F1783" s="3" t="s">
        <v>78</v>
      </c>
      <c r="G1783" s="3">
        <v>12</v>
      </c>
      <c r="H1783" s="23"/>
      <c r="I1783" s="124">
        <f t="shared" si="66"/>
        <v>0</v>
      </c>
      <c r="J1783" s="21">
        <v>0.45</v>
      </c>
      <c r="K1783" s="24"/>
    </row>
    <row r="1784" spans="1:11" ht="15.75" customHeight="1" x14ac:dyDescent="0.25">
      <c r="A1784" s="21" t="s">
        <v>3198</v>
      </c>
      <c r="B1784" s="26" t="s">
        <v>3199</v>
      </c>
      <c r="C1784" s="3"/>
      <c r="D1784" s="21" t="s">
        <v>3200</v>
      </c>
      <c r="E1784" s="3" t="s">
        <v>292</v>
      </c>
      <c r="F1784" s="3" t="s">
        <v>78</v>
      </c>
      <c r="G1784" s="3">
        <v>6</v>
      </c>
      <c r="H1784" s="23"/>
      <c r="I1784" s="124">
        <f t="shared" si="66"/>
        <v>0</v>
      </c>
      <c r="J1784" s="21">
        <v>0.39</v>
      </c>
      <c r="K1784" s="24"/>
    </row>
    <row r="1785" spans="1:11" ht="15.75" customHeight="1" x14ac:dyDescent="0.25">
      <c r="A1785" s="21" t="s">
        <v>3201</v>
      </c>
      <c r="B1785" s="26" t="s">
        <v>3190</v>
      </c>
      <c r="C1785" s="3"/>
      <c r="D1785" s="21" t="s">
        <v>3191</v>
      </c>
      <c r="E1785" s="3" t="s">
        <v>292</v>
      </c>
      <c r="F1785" s="3" t="s">
        <v>78</v>
      </c>
      <c r="G1785" s="3">
        <v>24</v>
      </c>
      <c r="H1785" s="23"/>
      <c r="I1785" s="124">
        <f t="shared" si="66"/>
        <v>0</v>
      </c>
      <c r="J1785" s="21">
        <v>3.0000000000000001E-3</v>
      </c>
      <c r="K1785" s="24"/>
    </row>
    <row r="1786" spans="1:11" ht="15.75" customHeight="1" x14ac:dyDescent="0.25">
      <c r="A1786" s="21" t="s">
        <v>3202</v>
      </c>
      <c r="B1786" s="26" t="s">
        <v>3203</v>
      </c>
      <c r="C1786" s="3"/>
      <c r="D1786" s="21" t="s">
        <v>3204</v>
      </c>
      <c r="E1786" s="3" t="s">
        <v>292</v>
      </c>
      <c r="F1786" s="3" t="s">
        <v>78</v>
      </c>
      <c r="G1786" s="3">
        <v>12</v>
      </c>
      <c r="H1786" s="23"/>
      <c r="I1786" s="124">
        <f t="shared" si="66"/>
        <v>0</v>
      </c>
      <c r="J1786" s="21">
        <v>7.0000000000000001E-3</v>
      </c>
      <c r="K1786" s="24"/>
    </row>
    <row r="1787" spans="1:11" ht="45" customHeight="1" x14ac:dyDescent="0.25">
      <c r="A1787" s="21" t="s">
        <v>3205</v>
      </c>
      <c r="B1787" s="26" t="s">
        <v>3206</v>
      </c>
      <c r="C1787" s="3"/>
      <c r="D1787" s="21" t="s">
        <v>3207</v>
      </c>
      <c r="E1787" s="3" t="s">
        <v>292</v>
      </c>
      <c r="F1787" s="3" t="s">
        <v>120</v>
      </c>
      <c r="G1787" s="3">
        <v>5</v>
      </c>
      <c r="H1787" s="23"/>
      <c r="I1787" s="124">
        <f t="shared" si="66"/>
        <v>0</v>
      </c>
      <c r="J1787" s="21">
        <v>1.06</v>
      </c>
      <c r="K1787" s="24" t="s">
        <v>3182</v>
      </c>
    </row>
    <row r="1788" spans="1:11" ht="34.5" customHeight="1" x14ac:dyDescent="0.25">
      <c r="A1788" s="21" t="s">
        <v>3208</v>
      </c>
      <c r="B1788" s="26" t="s">
        <v>3196</v>
      </c>
      <c r="C1788" s="3"/>
      <c r="D1788" s="21" t="s">
        <v>3197</v>
      </c>
      <c r="E1788" s="3" t="s">
        <v>292</v>
      </c>
      <c r="F1788" s="3" t="s">
        <v>78</v>
      </c>
      <c r="G1788" s="3">
        <v>10</v>
      </c>
      <c r="H1788" s="23"/>
      <c r="I1788" s="124">
        <f t="shared" si="66"/>
        <v>0</v>
      </c>
      <c r="J1788" s="21">
        <v>0.45</v>
      </c>
      <c r="K1788" s="24"/>
    </row>
    <row r="1789" spans="1:11" ht="15.75" customHeight="1" x14ac:dyDescent="0.25">
      <c r="A1789" s="21" t="s">
        <v>3209</v>
      </c>
      <c r="B1789" s="26" t="s">
        <v>3210</v>
      </c>
      <c r="C1789" s="3"/>
      <c r="D1789" s="21" t="s">
        <v>3211</v>
      </c>
      <c r="E1789" s="3" t="s">
        <v>292</v>
      </c>
      <c r="F1789" s="3" t="s">
        <v>78</v>
      </c>
      <c r="G1789" s="3">
        <v>5</v>
      </c>
      <c r="H1789" s="23"/>
      <c r="I1789" s="124">
        <f t="shared" si="66"/>
        <v>0</v>
      </c>
      <c r="J1789" s="21">
        <v>0.63600000000000001</v>
      </c>
      <c r="K1789" s="24"/>
    </row>
    <row r="1790" spans="1:11" ht="15.75" customHeight="1" x14ac:dyDescent="0.25">
      <c r="A1790" s="21" t="s">
        <v>3212</v>
      </c>
      <c r="B1790" s="26" t="s">
        <v>3190</v>
      </c>
      <c r="C1790" s="3"/>
      <c r="D1790" s="21" t="s">
        <v>3191</v>
      </c>
      <c r="E1790" s="3" t="s">
        <v>292</v>
      </c>
      <c r="F1790" s="3" t="s">
        <v>78</v>
      </c>
      <c r="G1790" s="3">
        <v>20</v>
      </c>
      <c r="H1790" s="23"/>
      <c r="I1790" s="124">
        <f t="shared" si="66"/>
        <v>0</v>
      </c>
      <c r="J1790" s="21">
        <v>3.0000000000000001E-3</v>
      </c>
      <c r="K1790" s="24"/>
    </row>
    <row r="1791" spans="1:11" ht="15.75" customHeight="1" x14ac:dyDescent="0.25">
      <c r="A1791" s="21" t="s">
        <v>3213</v>
      </c>
      <c r="B1791" s="26" t="s">
        <v>3203</v>
      </c>
      <c r="C1791" s="3"/>
      <c r="D1791" s="21" t="s">
        <v>3204</v>
      </c>
      <c r="E1791" s="3" t="s">
        <v>292</v>
      </c>
      <c r="F1791" s="3" t="s">
        <v>78</v>
      </c>
      <c r="G1791" s="3">
        <v>10</v>
      </c>
      <c r="H1791" s="23"/>
      <c r="I1791" s="124">
        <f t="shared" si="66"/>
        <v>0</v>
      </c>
      <c r="J1791" s="21">
        <v>7.0000000000000001E-3</v>
      </c>
      <c r="K1791" s="24"/>
    </row>
    <row r="1792" spans="1:11" ht="15.75" customHeight="1" x14ac:dyDescent="0.25">
      <c r="A1792" s="21" t="s">
        <v>3214</v>
      </c>
      <c r="B1792" s="26" t="s">
        <v>3215</v>
      </c>
      <c r="C1792" s="3"/>
      <c r="D1792" s="21" t="s">
        <v>3216</v>
      </c>
      <c r="E1792" s="3" t="s">
        <v>292</v>
      </c>
      <c r="F1792" s="3" t="s">
        <v>78</v>
      </c>
      <c r="G1792" s="3">
        <v>10</v>
      </c>
      <c r="H1792" s="23"/>
      <c r="I1792" s="124">
        <f t="shared" si="66"/>
        <v>0</v>
      </c>
      <c r="J1792" s="21">
        <v>0.24</v>
      </c>
      <c r="K1792" s="24"/>
    </row>
    <row r="1793" spans="1:11" ht="34.5" customHeight="1" x14ac:dyDescent="0.25">
      <c r="A1793" s="21" t="s">
        <v>3217</v>
      </c>
      <c r="B1793" s="26" t="s">
        <v>3196</v>
      </c>
      <c r="C1793" s="3"/>
      <c r="D1793" s="21" t="s">
        <v>3197</v>
      </c>
      <c r="E1793" s="3" t="s">
        <v>292</v>
      </c>
      <c r="F1793" s="3" t="s">
        <v>78</v>
      </c>
      <c r="G1793" s="3">
        <v>20</v>
      </c>
      <c r="H1793" s="23"/>
      <c r="I1793" s="124">
        <f t="shared" si="66"/>
        <v>0</v>
      </c>
      <c r="J1793" s="21">
        <v>0.45</v>
      </c>
      <c r="K1793" s="24"/>
    </row>
    <row r="1794" spans="1:11" ht="15.75" customHeight="1" x14ac:dyDescent="0.25">
      <c r="A1794" s="21" t="s">
        <v>3218</v>
      </c>
      <c r="B1794" s="26" t="s">
        <v>3177</v>
      </c>
      <c r="C1794" s="3"/>
      <c r="D1794" s="21" t="s">
        <v>3178</v>
      </c>
      <c r="E1794" s="3" t="s">
        <v>292</v>
      </c>
      <c r="F1794" s="3" t="s">
        <v>78</v>
      </c>
      <c r="G1794" s="3">
        <v>60</v>
      </c>
      <c r="H1794" s="23"/>
      <c r="I1794" s="124">
        <f t="shared" si="66"/>
        <v>0</v>
      </c>
      <c r="J1794" s="21">
        <v>3.0000000000000001E-3</v>
      </c>
      <c r="K1794" s="24"/>
    </row>
    <row r="1795" spans="1:11" ht="15.75" customHeight="1" x14ac:dyDescent="0.25">
      <c r="A1795" s="21" t="s">
        <v>3219</v>
      </c>
      <c r="B1795" s="26" t="s">
        <v>3180</v>
      </c>
      <c r="C1795" s="3"/>
      <c r="D1795" s="21" t="s">
        <v>3181</v>
      </c>
      <c r="E1795" s="3" t="s">
        <v>292</v>
      </c>
      <c r="F1795" s="3" t="s">
        <v>78</v>
      </c>
      <c r="G1795" s="3">
        <v>60</v>
      </c>
      <c r="H1795" s="23"/>
      <c r="I1795" s="124">
        <f t="shared" si="66"/>
        <v>0</v>
      </c>
      <c r="J1795" s="21">
        <v>4.0000000000000001E-3</v>
      </c>
      <c r="K1795" s="24"/>
    </row>
    <row r="1796" spans="1:11" ht="34.5" customHeight="1" x14ac:dyDescent="0.25">
      <c r="A1796" s="21" t="s">
        <v>3220</v>
      </c>
      <c r="B1796" s="26" t="s">
        <v>3221</v>
      </c>
      <c r="C1796" s="3"/>
      <c r="D1796" s="21" t="s">
        <v>3222</v>
      </c>
      <c r="E1796" s="3" t="s">
        <v>292</v>
      </c>
      <c r="F1796" s="3" t="s">
        <v>78</v>
      </c>
      <c r="G1796" s="3">
        <v>10</v>
      </c>
      <c r="H1796" s="23"/>
      <c r="I1796" s="124">
        <f t="shared" si="66"/>
        <v>0</v>
      </c>
      <c r="J1796" s="21">
        <v>0.27</v>
      </c>
      <c r="K1796" s="24"/>
    </row>
    <row r="1797" spans="1:11" ht="45" customHeight="1" x14ac:dyDescent="0.25">
      <c r="A1797" s="21" t="s">
        <v>3223</v>
      </c>
      <c r="B1797" s="26" t="s">
        <v>3224</v>
      </c>
      <c r="C1797" s="3"/>
      <c r="D1797" s="21" t="s">
        <v>3225</v>
      </c>
      <c r="E1797" s="3" t="s">
        <v>292</v>
      </c>
      <c r="F1797" s="3" t="s">
        <v>78</v>
      </c>
      <c r="G1797" s="3">
        <v>10</v>
      </c>
      <c r="H1797" s="23"/>
      <c r="I1797" s="124">
        <f t="shared" si="66"/>
        <v>0</v>
      </c>
      <c r="J1797" s="21">
        <v>0.61</v>
      </c>
      <c r="K1797" s="24" t="s">
        <v>3182</v>
      </c>
    </row>
    <row r="1798" spans="1:11" ht="34.5" customHeight="1" x14ac:dyDescent="0.25">
      <c r="A1798" s="21" t="s">
        <v>3226</v>
      </c>
      <c r="B1798" s="26" t="s">
        <v>3227</v>
      </c>
      <c r="C1798" s="3"/>
      <c r="D1798" s="21" t="s">
        <v>3228</v>
      </c>
      <c r="E1798" s="3" t="s">
        <v>292</v>
      </c>
      <c r="F1798" s="3" t="s">
        <v>78</v>
      </c>
      <c r="G1798" s="3">
        <v>20</v>
      </c>
      <c r="H1798" s="23"/>
      <c r="I1798" s="124">
        <f t="shared" si="66"/>
        <v>0</v>
      </c>
      <c r="J1798" s="21">
        <v>0.09</v>
      </c>
      <c r="K1798" s="24"/>
    </row>
    <row r="1799" spans="1:11" ht="15.75" customHeight="1" x14ac:dyDescent="0.25">
      <c r="A1799" s="21" t="s">
        <v>3229</v>
      </c>
      <c r="B1799" s="26" t="s">
        <v>3230</v>
      </c>
      <c r="C1799" s="3"/>
      <c r="D1799" s="21" t="s">
        <v>3231</v>
      </c>
      <c r="E1799" s="3" t="s">
        <v>292</v>
      </c>
      <c r="F1799" s="3" t="s">
        <v>78</v>
      </c>
      <c r="G1799" s="3">
        <v>10</v>
      </c>
      <c r="H1799" s="23"/>
      <c r="I1799" s="124">
        <f t="shared" si="66"/>
        <v>0</v>
      </c>
      <c r="J1799" s="21">
        <v>0.26500000000000001</v>
      </c>
      <c r="K1799" s="24"/>
    </row>
    <row r="1800" spans="1:11" ht="15.75" customHeight="1" x14ac:dyDescent="0.25">
      <c r="A1800" s="21" t="s">
        <v>3232</v>
      </c>
      <c r="B1800" s="26" t="s">
        <v>3190</v>
      </c>
      <c r="C1800" s="3"/>
      <c r="D1800" s="21" t="s">
        <v>3191</v>
      </c>
      <c r="E1800" s="3" t="s">
        <v>292</v>
      </c>
      <c r="F1800" s="3" t="s">
        <v>78</v>
      </c>
      <c r="G1800" s="3">
        <v>40</v>
      </c>
      <c r="H1800" s="23"/>
      <c r="I1800" s="124">
        <f t="shared" si="66"/>
        <v>0</v>
      </c>
      <c r="J1800" s="21">
        <v>3.0000000000000001E-3</v>
      </c>
      <c r="K1800" s="24"/>
    </row>
    <row r="1801" spans="1:11" ht="15.75" customHeight="1" x14ac:dyDescent="0.25">
      <c r="A1801" s="21" t="s">
        <v>3233</v>
      </c>
      <c r="B1801" s="26" t="s">
        <v>3203</v>
      </c>
      <c r="C1801" s="3"/>
      <c r="D1801" s="21" t="s">
        <v>3204</v>
      </c>
      <c r="E1801" s="3" t="s">
        <v>292</v>
      </c>
      <c r="F1801" s="3" t="s">
        <v>78</v>
      </c>
      <c r="G1801" s="3">
        <v>20</v>
      </c>
      <c r="H1801" s="23"/>
      <c r="I1801" s="124">
        <f t="shared" si="66"/>
        <v>0</v>
      </c>
      <c r="J1801" s="21">
        <v>7.0000000000000001E-3</v>
      </c>
      <c r="K1801" s="24"/>
    </row>
    <row r="1802" spans="1:11" ht="45" customHeight="1" x14ac:dyDescent="0.25">
      <c r="A1802" s="21" t="s">
        <v>3234</v>
      </c>
      <c r="B1802" s="26" t="s">
        <v>3235</v>
      </c>
      <c r="C1802" s="3"/>
      <c r="D1802" s="21" t="s">
        <v>3236</v>
      </c>
      <c r="E1802" s="3" t="s">
        <v>292</v>
      </c>
      <c r="F1802" s="3" t="s">
        <v>78</v>
      </c>
      <c r="G1802" s="3">
        <v>10</v>
      </c>
      <c r="H1802" s="23"/>
      <c r="I1802" s="124">
        <f t="shared" si="66"/>
        <v>0</v>
      </c>
      <c r="J1802" s="21">
        <v>0.65</v>
      </c>
      <c r="K1802" s="24" t="s">
        <v>3182</v>
      </c>
    </row>
    <row r="1803" spans="1:11" ht="34.5" customHeight="1" x14ac:dyDescent="0.25">
      <c r="A1803" s="21" t="s">
        <v>3237</v>
      </c>
      <c r="B1803" s="26" t="s">
        <v>3238</v>
      </c>
      <c r="C1803" s="3"/>
      <c r="D1803" s="21" t="s">
        <v>3239</v>
      </c>
      <c r="E1803" s="3" t="s">
        <v>292</v>
      </c>
      <c r="F1803" s="3" t="s">
        <v>78</v>
      </c>
      <c r="G1803" s="3">
        <v>20</v>
      </c>
      <c r="H1803" s="23"/>
      <c r="I1803" s="124">
        <f t="shared" si="66"/>
        <v>0</v>
      </c>
      <c r="J1803" s="21">
        <v>0.09</v>
      </c>
      <c r="K1803" s="24" t="s">
        <v>3182</v>
      </c>
    </row>
    <row r="1804" spans="1:11" ht="15.75" customHeight="1" x14ac:dyDescent="0.25">
      <c r="A1804" s="21" t="s">
        <v>3240</v>
      </c>
      <c r="B1804" s="26" t="s">
        <v>3241</v>
      </c>
      <c r="C1804" s="3"/>
      <c r="D1804" s="21">
        <v>38264</v>
      </c>
      <c r="E1804" s="3" t="s">
        <v>292</v>
      </c>
      <c r="F1804" s="3" t="s">
        <v>78</v>
      </c>
      <c r="G1804" s="3">
        <v>10</v>
      </c>
      <c r="H1804" s="23"/>
      <c r="I1804" s="124">
        <f t="shared" si="66"/>
        <v>0</v>
      </c>
      <c r="J1804" s="21">
        <v>0.37</v>
      </c>
      <c r="K1804" s="24" t="s">
        <v>3182</v>
      </c>
    </row>
    <row r="1805" spans="1:11" ht="15.75" customHeight="1" x14ac:dyDescent="0.25">
      <c r="A1805" s="21" t="s">
        <v>3242</v>
      </c>
      <c r="B1805" s="26" t="s">
        <v>3190</v>
      </c>
      <c r="C1805" s="3"/>
      <c r="D1805" s="21" t="s">
        <v>3191</v>
      </c>
      <c r="E1805" s="3" t="s">
        <v>292</v>
      </c>
      <c r="F1805" s="3" t="s">
        <v>78</v>
      </c>
      <c r="G1805" s="3">
        <v>40</v>
      </c>
      <c r="H1805" s="23"/>
      <c r="I1805" s="124">
        <f t="shared" si="66"/>
        <v>0</v>
      </c>
      <c r="J1805" s="21">
        <v>3.0000000000000001E-3</v>
      </c>
      <c r="K1805" s="24" t="s">
        <v>3182</v>
      </c>
    </row>
    <row r="1806" spans="1:11" ht="15.75" customHeight="1" x14ac:dyDescent="0.25">
      <c r="A1806" s="21" t="s">
        <v>3243</v>
      </c>
      <c r="B1806" s="26" t="s">
        <v>3203</v>
      </c>
      <c r="C1806" s="3"/>
      <c r="D1806" s="21" t="s">
        <v>3204</v>
      </c>
      <c r="E1806" s="3" t="s">
        <v>292</v>
      </c>
      <c r="F1806" s="3" t="s">
        <v>78</v>
      </c>
      <c r="G1806" s="3">
        <v>20</v>
      </c>
      <c r="H1806" s="23"/>
      <c r="I1806" s="124">
        <f t="shared" ref="I1806:I1837" si="67">H1806*G1806</f>
        <v>0</v>
      </c>
      <c r="J1806" s="21">
        <v>7.0000000000000001E-3</v>
      </c>
      <c r="K1806" s="24" t="s">
        <v>3182</v>
      </c>
    </row>
    <row r="1807" spans="1:11" ht="45" customHeight="1" x14ac:dyDescent="0.25">
      <c r="A1807" s="21" t="s">
        <v>3244</v>
      </c>
      <c r="B1807" s="26" t="s">
        <v>3245</v>
      </c>
      <c r="C1807" s="3"/>
      <c r="D1807" s="21" t="s">
        <v>3246</v>
      </c>
      <c r="E1807" s="3" t="s">
        <v>292</v>
      </c>
      <c r="F1807" s="3" t="s">
        <v>78</v>
      </c>
      <c r="G1807" s="3">
        <v>2</v>
      </c>
      <c r="H1807" s="23"/>
      <c r="I1807" s="124">
        <f t="shared" si="67"/>
        <v>0</v>
      </c>
      <c r="J1807" s="21">
        <v>2.4319999999999999</v>
      </c>
      <c r="K1807" s="24"/>
    </row>
    <row r="1808" spans="1:11" ht="45" customHeight="1" x14ac:dyDescent="0.25">
      <c r="A1808" s="21" t="s">
        <v>3247</v>
      </c>
      <c r="B1808" s="26" t="s">
        <v>3248</v>
      </c>
      <c r="C1808" s="3"/>
      <c r="D1808" s="21" t="s">
        <v>3249</v>
      </c>
      <c r="E1808" s="3" t="s">
        <v>292</v>
      </c>
      <c r="F1808" s="3" t="s">
        <v>78</v>
      </c>
      <c r="G1808" s="3">
        <v>2</v>
      </c>
      <c r="H1808" s="23"/>
      <c r="I1808" s="124">
        <f t="shared" si="67"/>
        <v>0</v>
      </c>
      <c r="J1808" s="21">
        <v>1.165</v>
      </c>
      <c r="K1808" s="24"/>
    </row>
    <row r="1809" spans="1:11" ht="34.5" customHeight="1" x14ac:dyDescent="0.25">
      <c r="A1809" s="21" t="s">
        <v>3250</v>
      </c>
      <c r="B1809" s="26" t="s">
        <v>3251</v>
      </c>
      <c r="C1809" s="3"/>
      <c r="D1809" s="21" t="s">
        <v>3252</v>
      </c>
      <c r="E1809" s="3" t="s">
        <v>292</v>
      </c>
      <c r="F1809" s="3" t="s">
        <v>78</v>
      </c>
      <c r="G1809" s="3">
        <v>20</v>
      </c>
      <c r="H1809" s="23"/>
      <c r="I1809" s="124">
        <f t="shared" si="67"/>
        <v>0</v>
      </c>
      <c r="J1809" s="21">
        <v>0.32</v>
      </c>
      <c r="K1809" s="24"/>
    </row>
    <row r="1810" spans="1:11" ht="15.75" customHeight="1" x14ac:dyDescent="0.25">
      <c r="A1810" s="21" t="s">
        <v>3253</v>
      </c>
      <c r="B1810" s="43" t="s">
        <v>3254</v>
      </c>
      <c r="C1810" s="3"/>
      <c r="D1810" s="21" t="s">
        <v>3255</v>
      </c>
      <c r="E1810" s="3" t="s">
        <v>292</v>
      </c>
      <c r="F1810" s="3" t="s">
        <v>89</v>
      </c>
      <c r="G1810" s="3">
        <v>255</v>
      </c>
      <c r="H1810" s="23"/>
      <c r="I1810" s="124">
        <f t="shared" si="67"/>
        <v>0</v>
      </c>
      <c r="J1810" s="21">
        <v>2.72</v>
      </c>
      <c r="K1810" s="24"/>
    </row>
    <row r="1811" spans="1:11" ht="15.75" customHeight="1" x14ac:dyDescent="0.25">
      <c r="A1811" s="21" t="s">
        <v>3256</v>
      </c>
      <c r="B1811" s="26" t="s">
        <v>3177</v>
      </c>
      <c r="C1811" s="3"/>
      <c r="D1811" s="21" t="s">
        <v>3178</v>
      </c>
      <c r="E1811" s="3" t="s">
        <v>292</v>
      </c>
      <c r="F1811" s="3" t="s">
        <v>78</v>
      </c>
      <c r="G1811" s="3">
        <v>255</v>
      </c>
      <c r="H1811" s="23"/>
      <c r="I1811" s="124">
        <f t="shared" si="67"/>
        <v>0</v>
      </c>
      <c r="J1811" s="21">
        <v>3.0000000000000001E-3</v>
      </c>
      <c r="K1811" s="24"/>
    </row>
    <row r="1812" spans="1:11" ht="15.75" customHeight="1" x14ac:dyDescent="0.25">
      <c r="A1812" s="21" t="s">
        <v>3257</v>
      </c>
      <c r="B1812" s="26" t="s">
        <v>3180</v>
      </c>
      <c r="C1812" s="3"/>
      <c r="D1812" s="21" t="s">
        <v>3181</v>
      </c>
      <c r="E1812" s="3" t="s">
        <v>292</v>
      </c>
      <c r="F1812" s="3" t="s">
        <v>78</v>
      </c>
      <c r="G1812" s="3">
        <v>255</v>
      </c>
      <c r="H1812" s="23"/>
      <c r="I1812" s="124">
        <f t="shared" si="67"/>
        <v>0</v>
      </c>
      <c r="J1812" s="21">
        <v>4.0000000000000001E-3</v>
      </c>
      <c r="K1812" s="24"/>
    </row>
    <row r="1813" spans="1:11" ht="15.75" customHeight="1" x14ac:dyDescent="0.25">
      <c r="A1813" s="21" t="s">
        <v>3258</v>
      </c>
      <c r="B1813" s="26" t="s">
        <v>3184</v>
      </c>
      <c r="C1813" s="3"/>
      <c r="D1813" s="21" t="s">
        <v>3259</v>
      </c>
      <c r="E1813" s="3" t="s">
        <v>292</v>
      </c>
      <c r="F1813" s="3" t="s">
        <v>89</v>
      </c>
      <c r="G1813" s="3">
        <v>510</v>
      </c>
      <c r="H1813" s="23"/>
      <c r="I1813" s="124">
        <f t="shared" si="67"/>
        <v>0</v>
      </c>
      <c r="J1813" s="21">
        <v>0.50600000000000001</v>
      </c>
      <c r="K1813" s="24"/>
    </row>
    <row r="1814" spans="1:11" ht="15.75" customHeight="1" x14ac:dyDescent="0.25">
      <c r="A1814" s="21" t="s">
        <v>3260</v>
      </c>
      <c r="B1814" s="26" t="s">
        <v>3177</v>
      </c>
      <c r="C1814" s="3"/>
      <c r="D1814" s="21" t="s">
        <v>3178</v>
      </c>
      <c r="E1814" s="3" t="s">
        <v>292</v>
      </c>
      <c r="F1814" s="3" t="s">
        <v>78</v>
      </c>
      <c r="G1814" s="3">
        <v>510</v>
      </c>
      <c r="H1814" s="23"/>
      <c r="I1814" s="124">
        <f t="shared" si="67"/>
        <v>0</v>
      </c>
      <c r="J1814" s="21">
        <v>3.0000000000000001E-3</v>
      </c>
      <c r="K1814" s="24"/>
    </row>
    <row r="1815" spans="1:11" ht="15.75" customHeight="1" x14ac:dyDescent="0.25">
      <c r="A1815" s="21" t="s">
        <v>3261</v>
      </c>
      <c r="B1815" s="26" t="s">
        <v>3180</v>
      </c>
      <c r="C1815" s="3"/>
      <c r="D1815" s="21" t="s">
        <v>3181</v>
      </c>
      <c r="E1815" s="3" t="s">
        <v>292</v>
      </c>
      <c r="F1815" s="3" t="s">
        <v>78</v>
      </c>
      <c r="G1815" s="3">
        <v>510</v>
      </c>
      <c r="H1815" s="23"/>
      <c r="I1815" s="124">
        <f t="shared" si="67"/>
        <v>0</v>
      </c>
      <c r="J1815" s="21">
        <v>4.0000000000000001E-3</v>
      </c>
      <c r="K1815" s="24"/>
    </row>
    <row r="1816" spans="1:11" ht="15.75" customHeight="1" x14ac:dyDescent="0.25">
      <c r="A1816" s="21" t="s">
        <v>3262</v>
      </c>
      <c r="B1816" s="26" t="s">
        <v>3263</v>
      </c>
      <c r="C1816" s="3"/>
      <c r="D1816" s="21" t="s">
        <v>3264</v>
      </c>
      <c r="E1816" s="3" t="s">
        <v>292</v>
      </c>
      <c r="F1816" s="3" t="s">
        <v>89</v>
      </c>
      <c r="G1816" s="3">
        <v>255</v>
      </c>
      <c r="H1816" s="23"/>
      <c r="I1816" s="124">
        <f t="shared" si="67"/>
        <v>0</v>
      </c>
      <c r="J1816" s="21">
        <v>3.91</v>
      </c>
      <c r="K1816" s="24"/>
    </row>
    <row r="1817" spans="1:11" ht="15.75" customHeight="1" x14ac:dyDescent="0.25">
      <c r="A1817" s="21" t="s">
        <v>3265</v>
      </c>
      <c r="B1817" s="26" t="s">
        <v>3190</v>
      </c>
      <c r="C1817" s="3"/>
      <c r="D1817" s="21" t="s">
        <v>3191</v>
      </c>
      <c r="E1817" s="3" t="s">
        <v>292</v>
      </c>
      <c r="F1817" s="3" t="s">
        <v>78</v>
      </c>
      <c r="G1817" s="3">
        <v>59</v>
      </c>
      <c r="H1817" s="23"/>
      <c r="I1817" s="124">
        <f t="shared" si="67"/>
        <v>0</v>
      </c>
      <c r="J1817" s="21">
        <v>3.0000000000000001E-3</v>
      </c>
      <c r="K1817" s="24"/>
    </row>
    <row r="1818" spans="1:11" ht="45" customHeight="1" x14ac:dyDescent="0.25">
      <c r="A1818" s="21" t="s">
        <v>3266</v>
      </c>
      <c r="B1818" s="26" t="s">
        <v>3267</v>
      </c>
      <c r="C1818" s="3"/>
      <c r="D1818" s="21" t="s">
        <v>3268</v>
      </c>
      <c r="E1818" s="3" t="s">
        <v>292</v>
      </c>
      <c r="F1818" s="3" t="s">
        <v>120</v>
      </c>
      <c r="G1818" s="3">
        <v>11</v>
      </c>
      <c r="H1818" s="23"/>
      <c r="I1818" s="124">
        <f t="shared" si="67"/>
        <v>0</v>
      </c>
      <c r="J1818" s="21">
        <v>1.65</v>
      </c>
      <c r="K1818" s="24" t="s">
        <v>3182</v>
      </c>
    </row>
    <row r="1819" spans="1:11" ht="34.5" customHeight="1" x14ac:dyDescent="0.25">
      <c r="A1819" s="21" t="s">
        <v>3269</v>
      </c>
      <c r="B1819" s="26" t="s">
        <v>3196</v>
      </c>
      <c r="C1819" s="3"/>
      <c r="D1819" s="21" t="s">
        <v>3197</v>
      </c>
      <c r="E1819" s="3" t="s">
        <v>292</v>
      </c>
      <c r="F1819" s="3" t="s">
        <v>78</v>
      </c>
      <c r="G1819" s="3">
        <v>20</v>
      </c>
      <c r="H1819" s="23"/>
      <c r="I1819" s="124">
        <f t="shared" si="67"/>
        <v>0</v>
      </c>
      <c r="J1819" s="21">
        <v>0.45</v>
      </c>
      <c r="K1819" s="24"/>
    </row>
    <row r="1820" spans="1:11" ht="15.75" customHeight="1" x14ac:dyDescent="0.25">
      <c r="A1820" s="21" t="s">
        <v>3270</v>
      </c>
      <c r="B1820" s="26" t="s">
        <v>3271</v>
      </c>
      <c r="C1820" s="3"/>
      <c r="D1820" s="21" t="s">
        <v>3272</v>
      </c>
      <c r="E1820" s="3" t="s">
        <v>292</v>
      </c>
      <c r="F1820" s="3" t="s">
        <v>78</v>
      </c>
      <c r="G1820" s="3">
        <v>11</v>
      </c>
      <c r="H1820" s="23"/>
      <c r="I1820" s="124">
        <f t="shared" si="67"/>
        <v>0</v>
      </c>
      <c r="J1820" s="21">
        <v>1.1299999999999999</v>
      </c>
      <c r="K1820" s="24"/>
    </row>
    <row r="1821" spans="1:11" ht="15.75" customHeight="1" x14ac:dyDescent="0.25">
      <c r="A1821" s="21" t="s">
        <v>3273</v>
      </c>
      <c r="B1821" s="26" t="s">
        <v>3190</v>
      </c>
      <c r="C1821" s="3"/>
      <c r="D1821" s="21" t="s">
        <v>3191</v>
      </c>
      <c r="E1821" s="3" t="s">
        <v>292</v>
      </c>
      <c r="F1821" s="3" t="s">
        <v>78</v>
      </c>
      <c r="G1821" s="3">
        <v>40</v>
      </c>
      <c r="H1821" s="23"/>
      <c r="I1821" s="124">
        <f t="shared" si="67"/>
        <v>0</v>
      </c>
      <c r="J1821" s="21">
        <v>3.0000000000000001E-3</v>
      </c>
      <c r="K1821" s="24"/>
    </row>
    <row r="1822" spans="1:11" ht="15.75" customHeight="1" x14ac:dyDescent="0.25">
      <c r="A1822" s="21" t="s">
        <v>3274</v>
      </c>
      <c r="B1822" s="26" t="s">
        <v>3203</v>
      </c>
      <c r="C1822" s="3"/>
      <c r="D1822" s="21" t="s">
        <v>3204</v>
      </c>
      <c r="E1822" s="3" t="s">
        <v>292</v>
      </c>
      <c r="F1822" s="3" t="s">
        <v>78</v>
      </c>
      <c r="G1822" s="3">
        <v>20</v>
      </c>
      <c r="H1822" s="23"/>
      <c r="I1822" s="124">
        <f t="shared" si="67"/>
        <v>0</v>
      </c>
      <c r="J1822" s="21">
        <v>7.0000000000000001E-3</v>
      </c>
      <c r="K1822" s="24"/>
    </row>
    <row r="1823" spans="1:11" ht="15.75" customHeight="1" x14ac:dyDescent="0.25">
      <c r="A1823" s="21" t="s">
        <v>3275</v>
      </c>
      <c r="B1823" s="26" t="s">
        <v>3276</v>
      </c>
      <c r="C1823" s="3"/>
      <c r="D1823" s="21" t="s">
        <v>3277</v>
      </c>
      <c r="E1823" s="3" t="s">
        <v>292</v>
      </c>
      <c r="F1823" s="3" t="s">
        <v>78</v>
      </c>
      <c r="G1823" s="3">
        <v>10</v>
      </c>
      <c r="H1823" s="23"/>
      <c r="I1823" s="124">
        <f t="shared" si="67"/>
        <v>0</v>
      </c>
      <c r="J1823" s="21">
        <v>0.38450000000000001</v>
      </c>
      <c r="K1823" s="24"/>
    </row>
    <row r="1824" spans="1:11" ht="34.5" customHeight="1" x14ac:dyDescent="0.25">
      <c r="A1824" s="21" t="s">
        <v>3278</v>
      </c>
      <c r="B1824" s="26" t="s">
        <v>3196</v>
      </c>
      <c r="C1824" s="3"/>
      <c r="D1824" s="21" t="s">
        <v>3197</v>
      </c>
      <c r="E1824" s="3" t="s">
        <v>292</v>
      </c>
      <c r="F1824" s="3" t="s">
        <v>78</v>
      </c>
      <c r="G1824" s="3">
        <v>20</v>
      </c>
      <c r="H1824" s="23"/>
      <c r="I1824" s="124">
        <f t="shared" si="67"/>
        <v>0</v>
      </c>
      <c r="J1824" s="21">
        <v>0.45</v>
      </c>
      <c r="K1824" s="24"/>
    </row>
    <row r="1825" spans="1:11" ht="15.75" customHeight="1" x14ac:dyDescent="0.25">
      <c r="A1825" s="21" t="s">
        <v>3279</v>
      </c>
      <c r="B1825" s="26" t="s">
        <v>3177</v>
      </c>
      <c r="C1825" s="3"/>
      <c r="D1825" s="21" t="s">
        <v>3178</v>
      </c>
      <c r="E1825" s="3" t="s">
        <v>292</v>
      </c>
      <c r="F1825" s="3" t="s">
        <v>78</v>
      </c>
      <c r="G1825" s="3">
        <v>60</v>
      </c>
      <c r="H1825" s="23"/>
      <c r="I1825" s="124">
        <f t="shared" si="67"/>
        <v>0</v>
      </c>
      <c r="J1825" s="21">
        <v>3.0000000000000001E-3</v>
      </c>
      <c r="K1825" s="24"/>
    </row>
    <row r="1826" spans="1:11" ht="15.75" customHeight="1" x14ac:dyDescent="0.25">
      <c r="A1826" s="21" t="s">
        <v>3280</v>
      </c>
      <c r="B1826" s="26" t="s">
        <v>3180</v>
      </c>
      <c r="C1826" s="3"/>
      <c r="D1826" s="21" t="s">
        <v>3181</v>
      </c>
      <c r="E1826" s="3" t="s">
        <v>292</v>
      </c>
      <c r="F1826" s="3" t="s">
        <v>78</v>
      </c>
      <c r="G1826" s="3">
        <v>60</v>
      </c>
      <c r="H1826" s="23"/>
      <c r="I1826" s="124">
        <f t="shared" si="67"/>
        <v>0</v>
      </c>
      <c r="J1826" s="21">
        <v>4.0000000000000001E-3</v>
      </c>
      <c r="K1826" s="24"/>
    </row>
    <row r="1827" spans="1:11" ht="34.5" customHeight="1" x14ac:dyDescent="0.25">
      <c r="A1827" s="21" t="s">
        <v>3281</v>
      </c>
      <c r="B1827" s="26" t="s">
        <v>3282</v>
      </c>
      <c r="C1827" s="3"/>
      <c r="D1827" s="21" t="s">
        <v>3283</v>
      </c>
      <c r="E1827" s="3" t="s">
        <v>292</v>
      </c>
      <c r="F1827" s="3" t="s">
        <v>78</v>
      </c>
      <c r="G1827" s="3">
        <v>10</v>
      </c>
      <c r="H1827" s="23"/>
      <c r="I1827" s="124">
        <f t="shared" si="67"/>
        <v>0</v>
      </c>
      <c r="J1827" s="21">
        <v>0.4</v>
      </c>
      <c r="K1827" s="24"/>
    </row>
    <row r="1828" spans="1:11" ht="45" customHeight="1" x14ac:dyDescent="0.25">
      <c r="A1828" s="21" t="s">
        <v>3284</v>
      </c>
      <c r="B1828" s="26" t="s">
        <v>3285</v>
      </c>
      <c r="C1828" s="3"/>
      <c r="D1828" s="21" t="s">
        <v>3286</v>
      </c>
      <c r="E1828" s="3" t="s">
        <v>292</v>
      </c>
      <c r="F1828" s="3" t="s">
        <v>120</v>
      </c>
      <c r="G1828" s="3">
        <v>5</v>
      </c>
      <c r="H1828" s="23"/>
      <c r="I1828" s="124">
        <f t="shared" si="67"/>
        <v>0</v>
      </c>
      <c r="J1828" s="21">
        <v>1.03</v>
      </c>
      <c r="K1828" s="24" t="s">
        <v>3182</v>
      </c>
    </row>
    <row r="1829" spans="1:11" ht="34.5" customHeight="1" x14ac:dyDescent="0.25">
      <c r="A1829" s="21" t="s">
        <v>3287</v>
      </c>
      <c r="B1829" s="26" t="s">
        <v>3196</v>
      </c>
      <c r="C1829" s="3"/>
      <c r="D1829" s="21" t="s">
        <v>3197</v>
      </c>
      <c r="E1829" s="3" t="s">
        <v>292</v>
      </c>
      <c r="F1829" s="3" t="s">
        <v>78</v>
      </c>
      <c r="G1829" s="3">
        <v>10</v>
      </c>
      <c r="H1829" s="23"/>
      <c r="I1829" s="124">
        <f t="shared" si="67"/>
        <v>0</v>
      </c>
      <c r="J1829" s="21">
        <v>0.45</v>
      </c>
      <c r="K1829" s="24" t="s">
        <v>3182</v>
      </c>
    </row>
    <row r="1830" spans="1:11" ht="15.75" customHeight="1" x14ac:dyDescent="0.25">
      <c r="A1830" s="21" t="s">
        <v>3288</v>
      </c>
      <c r="B1830" s="26" t="s">
        <v>3289</v>
      </c>
      <c r="C1830" s="3"/>
      <c r="D1830" s="21">
        <v>38025</v>
      </c>
      <c r="E1830" s="3" t="s">
        <v>292</v>
      </c>
      <c r="F1830" s="3" t="s">
        <v>78</v>
      </c>
      <c r="G1830" s="3">
        <v>5</v>
      </c>
      <c r="H1830" s="23"/>
      <c r="I1830" s="124">
        <f t="shared" si="67"/>
        <v>0</v>
      </c>
      <c r="J1830" s="21">
        <v>0.64200000000000002</v>
      </c>
      <c r="K1830" s="24" t="s">
        <v>3182</v>
      </c>
    </row>
    <row r="1831" spans="1:11" ht="15.75" customHeight="1" x14ac:dyDescent="0.25">
      <c r="A1831" s="21" t="s">
        <v>3290</v>
      </c>
      <c r="B1831" s="26" t="s">
        <v>3190</v>
      </c>
      <c r="C1831" s="3"/>
      <c r="D1831" s="21" t="s">
        <v>3191</v>
      </c>
      <c r="E1831" s="3" t="s">
        <v>292</v>
      </c>
      <c r="F1831" s="3" t="s">
        <v>78</v>
      </c>
      <c r="G1831" s="3">
        <v>20</v>
      </c>
      <c r="H1831" s="23"/>
      <c r="I1831" s="124">
        <f t="shared" si="67"/>
        <v>0</v>
      </c>
      <c r="J1831" s="21">
        <v>3.0000000000000001E-3</v>
      </c>
      <c r="K1831" s="24" t="s">
        <v>3182</v>
      </c>
    </row>
    <row r="1832" spans="1:11" ht="15.75" customHeight="1" x14ac:dyDescent="0.25">
      <c r="A1832" s="21" t="s">
        <v>3291</v>
      </c>
      <c r="B1832" s="26" t="s">
        <v>3203</v>
      </c>
      <c r="C1832" s="3"/>
      <c r="D1832" s="21" t="s">
        <v>3204</v>
      </c>
      <c r="E1832" s="3" t="s">
        <v>292</v>
      </c>
      <c r="F1832" s="3" t="s">
        <v>78</v>
      </c>
      <c r="G1832" s="3">
        <v>10</v>
      </c>
      <c r="H1832" s="23"/>
      <c r="I1832" s="124">
        <f t="shared" si="67"/>
        <v>0</v>
      </c>
      <c r="J1832" s="21">
        <v>7.0000000000000001E-3</v>
      </c>
      <c r="K1832" s="24" t="s">
        <v>3182</v>
      </c>
    </row>
    <row r="1833" spans="1:11" ht="45" customHeight="1" x14ac:dyDescent="0.25">
      <c r="A1833" s="21" t="s">
        <v>3292</v>
      </c>
      <c r="B1833" s="26" t="s">
        <v>3245</v>
      </c>
      <c r="C1833" s="3"/>
      <c r="D1833" s="21" t="s">
        <v>3293</v>
      </c>
      <c r="E1833" s="3" t="s">
        <v>292</v>
      </c>
      <c r="F1833" s="3" t="s">
        <v>78</v>
      </c>
      <c r="G1833" s="3">
        <v>1</v>
      </c>
      <c r="H1833" s="23"/>
      <c r="I1833" s="124">
        <f t="shared" si="67"/>
        <v>0</v>
      </c>
      <c r="J1833" s="21"/>
      <c r="K1833" s="24"/>
    </row>
    <row r="1834" spans="1:11" ht="45" customHeight="1" x14ac:dyDescent="0.25">
      <c r="A1834" s="21" t="s">
        <v>3294</v>
      </c>
      <c r="B1834" s="26" t="s">
        <v>3248</v>
      </c>
      <c r="C1834" s="3"/>
      <c r="D1834" s="21" t="s">
        <v>3295</v>
      </c>
      <c r="E1834" s="3" t="s">
        <v>292</v>
      </c>
      <c r="F1834" s="3" t="s">
        <v>78</v>
      </c>
      <c r="G1834" s="3">
        <v>1</v>
      </c>
      <c r="H1834" s="23"/>
      <c r="I1834" s="124">
        <f t="shared" si="67"/>
        <v>0</v>
      </c>
      <c r="J1834" s="21"/>
      <c r="K1834" s="24"/>
    </row>
    <row r="1835" spans="1:11" ht="45" customHeight="1" x14ac:dyDescent="0.25">
      <c r="A1835" s="21" t="s">
        <v>3296</v>
      </c>
      <c r="B1835" s="26" t="s">
        <v>3297</v>
      </c>
      <c r="C1835" s="3"/>
      <c r="D1835" s="21" t="s">
        <v>3298</v>
      </c>
      <c r="E1835" s="3" t="s">
        <v>292</v>
      </c>
      <c r="F1835" s="3" t="s">
        <v>120</v>
      </c>
      <c r="G1835" s="3">
        <v>10</v>
      </c>
      <c r="H1835" s="23"/>
      <c r="I1835" s="124">
        <f t="shared" si="67"/>
        <v>0</v>
      </c>
      <c r="J1835" s="21">
        <v>0.77</v>
      </c>
      <c r="K1835" s="24" t="s">
        <v>3182</v>
      </c>
    </row>
    <row r="1836" spans="1:11" ht="34.5" customHeight="1" x14ac:dyDescent="0.25">
      <c r="A1836" s="21" t="s">
        <v>3299</v>
      </c>
      <c r="B1836" s="26" t="s">
        <v>3227</v>
      </c>
      <c r="C1836" s="3"/>
      <c r="D1836" s="21" t="s">
        <v>3228</v>
      </c>
      <c r="E1836" s="3" t="s">
        <v>292</v>
      </c>
      <c r="F1836" s="3" t="s">
        <v>78</v>
      </c>
      <c r="G1836" s="3">
        <v>20</v>
      </c>
      <c r="H1836" s="23"/>
      <c r="I1836" s="124">
        <f t="shared" si="67"/>
        <v>0</v>
      </c>
      <c r="J1836" s="21">
        <v>0.09</v>
      </c>
      <c r="K1836" s="24"/>
    </row>
    <row r="1837" spans="1:11" ht="15.75" customHeight="1" x14ac:dyDescent="0.25">
      <c r="A1837" s="21" t="s">
        <v>3300</v>
      </c>
      <c r="B1837" s="26" t="s">
        <v>3301</v>
      </c>
      <c r="C1837" s="3"/>
      <c r="D1837" s="21" t="s">
        <v>3302</v>
      </c>
      <c r="E1837" s="3" t="s">
        <v>292</v>
      </c>
      <c r="F1837" s="3" t="s">
        <v>78</v>
      </c>
      <c r="G1837" s="3">
        <v>10</v>
      </c>
      <c r="H1837" s="23"/>
      <c r="I1837" s="124">
        <f t="shared" si="67"/>
        <v>0</v>
      </c>
      <c r="J1837" s="21">
        <v>0.377</v>
      </c>
      <c r="K1837" s="24"/>
    </row>
    <row r="1838" spans="1:11" ht="15.75" customHeight="1" x14ac:dyDescent="0.25">
      <c r="A1838" s="21" t="s">
        <v>3303</v>
      </c>
      <c r="B1838" s="26" t="s">
        <v>3190</v>
      </c>
      <c r="C1838" s="3"/>
      <c r="D1838" s="21" t="s">
        <v>3191</v>
      </c>
      <c r="E1838" s="3" t="s">
        <v>292</v>
      </c>
      <c r="F1838" s="3" t="s">
        <v>78</v>
      </c>
      <c r="G1838" s="3">
        <v>40</v>
      </c>
      <c r="H1838" s="23"/>
      <c r="I1838" s="124">
        <f t="shared" ref="I1838:I1846" si="68">H1838*G1838</f>
        <v>0</v>
      </c>
      <c r="J1838" s="21">
        <v>3.0000000000000001E-3</v>
      </c>
      <c r="K1838" s="24"/>
    </row>
    <row r="1839" spans="1:11" ht="15.75" customHeight="1" x14ac:dyDescent="0.25">
      <c r="A1839" s="21" t="s">
        <v>3304</v>
      </c>
      <c r="B1839" s="26" t="s">
        <v>3203</v>
      </c>
      <c r="C1839" s="3"/>
      <c r="D1839" s="21" t="s">
        <v>3204</v>
      </c>
      <c r="E1839" s="3" t="s">
        <v>292</v>
      </c>
      <c r="F1839" s="3" t="s">
        <v>78</v>
      </c>
      <c r="G1839" s="3">
        <v>20</v>
      </c>
      <c r="H1839" s="23"/>
      <c r="I1839" s="124">
        <f t="shared" si="68"/>
        <v>0</v>
      </c>
      <c r="J1839" s="21">
        <v>7.0000000000000001E-3</v>
      </c>
      <c r="K1839" s="24"/>
    </row>
    <row r="1840" spans="1:11" ht="45" customHeight="1" x14ac:dyDescent="0.25">
      <c r="A1840" s="21" t="s">
        <v>3305</v>
      </c>
      <c r="B1840" s="26" t="s">
        <v>3306</v>
      </c>
      <c r="C1840" s="3"/>
      <c r="D1840" s="21" t="s">
        <v>3307</v>
      </c>
      <c r="E1840" s="3" t="s">
        <v>292</v>
      </c>
      <c r="F1840" s="3" t="s">
        <v>120</v>
      </c>
      <c r="G1840" s="3">
        <v>10</v>
      </c>
      <c r="H1840" s="23"/>
      <c r="I1840" s="124">
        <f t="shared" si="68"/>
        <v>0</v>
      </c>
      <c r="J1840" s="21">
        <v>0.76</v>
      </c>
      <c r="K1840" s="24" t="s">
        <v>3182</v>
      </c>
    </row>
    <row r="1841" spans="1:11" ht="34.5" customHeight="1" x14ac:dyDescent="0.25">
      <c r="A1841" s="21" t="s">
        <v>3308</v>
      </c>
      <c r="B1841" s="26" t="s">
        <v>3238</v>
      </c>
      <c r="C1841" s="3"/>
      <c r="D1841" s="21" t="s">
        <v>3239</v>
      </c>
      <c r="E1841" s="3" t="s">
        <v>292</v>
      </c>
      <c r="F1841" s="3" t="s">
        <v>78</v>
      </c>
      <c r="G1841" s="3">
        <v>20</v>
      </c>
      <c r="H1841" s="23"/>
      <c r="I1841" s="124">
        <f t="shared" si="68"/>
        <v>0</v>
      </c>
      <c r="J1841" s="21">
        <v>0.09</v>
      </c>
      <c r="K1841" s="24"/>
    </row>
    <row r="1842" spans="1:11" ht="15.75" customHeight="1" x14ac:dyDescent="0.25">
      <c r="A1842" s="21" t="s">
        <v>3309</v>
      </c>
      <c r="B1842" s="26" t="s">
        <v>3310</v>
      </c>
      <c r="C1842" s="3"/>
      <c r="D1842" s="21" t="s">
        <v>3311</v>
      </c>
      <c r="E1842" s="3" t="s">
        <v>292</v>
      </c>
      <c r="F1842" s="3" t="s">
        <v>78</v>
      </c>
      <c r="G1842" s="3">
        <v>10</v>
      </c>
      <c r="H1842" s="23"/>
      <c r="I1842" s="124">
        <f t="shared" si="68"/>
        <v>0</v>
      </c>
      <c r="J1842" s="21">
        <v>0.52</v>
      </c>
      <c r="K1842" s="24"/>
    </row>
    <row r="1843" spans="1:11" ht="15.75" customHeight="1" x14ac:dyDescent="0.25">
      <c r="A1843" s="21" t="s">
        <v>3312</v>
      </c>
      <c r="B1843" s="26" t="s">
        <v>3190</v>
      </c>
      <c r="C1843" s="3"/>
      <c r="D1843" s="21" t="s">
        <v>3191</v>
      </c>
      <c r="E1843" s="3" t="s">
        <v>292</v>
      </c>
      <c r="F1843" s="3" t="s">
        <v>78</v>
      </c>
      <c r="G1843" s="3">
        <v>40</v>
      </c>
      <c r="H1843" s="23"/>
      <c r="I1843" s="124">
        <f t="shared" si="68"/>
        <v>0</v>
      </c>
      <c r="J1843" s="21">
        <v>3.0000000000000001E-3</v>
      </c>
      <c r="K1843" s="24"/>
    </row>
    <row r="1844" spans="1:11" ht="15.75" customHeight="1" x14ac:dyDescent="0.25">
      <c r="A1844" s="21" t="s">
        <v>3313</v>
      </c>
      <c r="B1844" s="26" t="s">
        <v>3203</v>
      </c>
      <c r="C1844" s="3"/>
      <c r="D1844" s="21" t="s">
        <v>3204</v>
      </c>
      <c r="E1844" s="3" t="s">
        <v>292</v>
      </c>
      <c r="F1844" s="3" t="s">
        <v>78</v>
      </c>
      <c r="G1844" s="3">
        <v>20</v>
      </c>
      <c r="H1844" s="23"/>
      <c r="I1844" s="124">
        <f t="shared" si="68"/>
        <v>0</v>
      </c>
      <c r="J1844" s="21">
        <v>7.0000000000000001E-3</v>
      </c>
      <c r="K1844" s="24"/>
    </row>
    <row r="1845" spans="1:11" ht="15.75" customHeight="1" x14ac:dyDescent="0.25">
      <c r="A1845" s="21" t="s">
        <v>3314</v>
      </c>
      <c r="B1845" s="43" t="s">
        <v>3315</v>
      </c>
      <c r="C1845" s="3"/>
      <c r="D1845" s="21" t="s">
        <v>3316</v>
      </c>
      <c r="E1845" s="3" t="s">
        <v>292</v>
      </c>
      <c r="F1845" s="3" t="s">
        <v>89</v>
      </c>
      <c r="G1845" s="3">
        <v>30</v>
      </c>
      <c r="H1845" s="23"/>
      <c r="I1845" s="124">
        <f t="shared" si="68"/>
        <v>0</v>
      </c>
      <c r="J1845" s="21"/>
      <c r="K1845" s="24"/>
    </row>
    <row r="1846" spans="1:11" ht="15.75" customHeight="1" x14ac:dyDescent="0.25">
      <c r="A1846" s="21" t="s">
        <v>3317</v>
      </c>
      <c r="B1846" s="26" t="s">
        <v>3318</v>
      </c>
      <c r="C1846" s="3"/>
      <c r="D1846" s="21" t="s">
        <v>3319</v>
      </c>
      <c r="E1846" s="3" t="s">
        <v>292</v>
      </c>
      <c r="F1846" s="3" t="s">
        <v>78</v>
      </c>
      <c r="G1846" s="3">
        <v>40</v>
      </c>
      <c r="H1846" s="23"/>
      <c r="I1846" s="124">
        <f t="shared" si="68"/>
        <v>0</v>
      </c>
      <c r="J1846" s="21"/>
      <c r="K1846" s="24"/>
    </row>
    <row r="1847" spans="1:11" ht="34.5" customHeight="1" x14ac:dyDescent="0.25">
      <c r="A1847" s="21" t="s">
        <v>3320</v>
      </c>
      <c r="B1847" s="43" t="s">
        <v>3321</v>
      </c>
      <c r="C1847" s="3"/>
      <c r="D1847" s="21"/>
      <c r="E1847" s="21"/>
      <c r="F1847" s="3"/>
      <c r="G1847" s="3"/>
      <c r="H1847" s="23"/>
      <c r="I1847" s="124"/>
      <c r="J1847" s="21"/>
      <c r="K1847" s="24" t="s">
        <v>3322</v>
      </c>
    </row>
    <row r="1848" spans="1:11" ht="15.75" customHeight="1" x14ac:dyDescent="0.25">
      <c r="A1848" s="21" t="s">
        <v>3323</v>
      </c>
      <c r="B1848" s="26" t="s">
        <v>3324</v>
      </c>
      <c r="C1848" s="3"/>
      <c r="D1848" s="21" t="s">
        <v>3325</v>
      </c>
      <c r="E1848" s="3" t="s">
        <v>292</v>
      </c>
      <c r="F1848" s="3" t="s">
        <v>78</v>
      </c>
      <c r="G1848" s="3">
        <v>85</v>
      </c>
      <c r="H1848" s="23"/>
      <c r="I1848" s="124">
        <f t="shared" ref="I1848:I1858" si="69">H1848*G1848</f>
        <v>0</v>
      </c>
      <c r="J1848" s="21">
        <v>0.68</v>
      </c>
      <c r="K1848" s="24"/>
    </row>
    <row r="1849" spans="1:11" ht="15.75" customHeight="1" x14ac:dyDescent="0.25">
      <c r="A1849" s="21" t="s">
        <v>3326</v>
      </c>
      <c r="B1849" s="26" t="s">
        <v>3327</v>
      </c>
      <c r="C1849" s="3"/>
      <c r="D1849" s="21" t="s">
        <v>3328</v>
      </c>
      <c r="E1849" s="3" t="s">
        <v>292</v>
      </c>
      <c r="F1849" s="3" t="s">
        <v>78</v>
      </c>
      <c r="G1849" s="3">
        <v>85</v>
      </c>
      <c r="H1849" s="23"/>
      <c r="I1849" s="124">
        <f t="shared" si="69"/>
        <v>0</v>
      </c>
      <c r="J1849" s="21">
        <v>1.68</v>
      </c>
      <c r="K1849" s="24"/>
    </row>
    <row r="1850" spans="1:11" ht="15.75" customHeight="1" x14ac:dyDescent="0.25">
      <c r="A1850" s="21" t="s">
        <v>3329</v>
      </c>
      <c r="B1850" s="26" t="s">
        <v>3177</v>
      </c>
      <c r="C1850" s="3"/>
      <c r="D1850" s="21" t="s">
        <v>3178</v>
      </c>
      <c r="E1850" s="3" t="s">
        <v>292</v>
      </c>
      <c r="F1850" s="3" t="s">
        <v>78</v>
      </c>
      <c r="G1850" s="3">
        <v>170</v>
      </c>
      <c r="H1850" s="23"/>
      <c r="I1850" s="124">
        <f t="shared" si="69"/>
        <v>0</v>
      </c>
      <c r="J1850" s="21">
        <v>3.0000000000000001E-3</v>
      </c>
      <c r="K1850" s="24"/>
    </row>
    <row r="1851" spans="1:11" ht="15.75" customHeight="1" x14ac:dyDescent="0.25">
      <c r="A1851" s="21" t="s">
        <v>3330</v>
      </c>
      <c r="B1851" s="26" t="s">
        <v>3331</v>
      </c>
      <c r="C1851" s="3"/>
      <c r="D1851" s="21" t="s">
        <v>3332</v>
      </c>
      <c r="E1851" s="3" t="s">
        <v>292</v>
      </c>
      <c r="F1851" s="3" t="s">
        <v>78</v>
      </c>
      <c r="G1851" s="3">
        <v>340</v>
      </c>
      <c r="H1851" s="23"/>
      <c r="I1851" s="124">
        <f t="shared" si="69"/>
        <v>0</v>
      </c>
      <c r="J1851" s="21">
        <v>6.7000000000000002E-3</v>
      </c>
      <c r="K1851" s="24"/>
    </row>
    <row r="1852" spans="1:11" ht="15.75" customHeight="1" x14ac:dyDescent="0.25">
      <c r="A1852" s="21" t="s">
        <v>3333</v>
      </c>
      <c r="B1852" s="26" t="s">
        <v>3334</v>
      </c>
      <c r="C1852" s="3"/>
      <c r="D1852" s="21" t="s">
        <v>3335</v>
      </c>
      <c r="E1852" s="3" t="s">
        <v>292</v>
      </c>
      <c r="F1852" s="3" t="s">
        <v>78</v>
      </c>
      <c r="G1852" s="3">
        <v>170</v>
      </c>
      <c r="H1852" s="23"/>
      <c r="I1852" s="124">
        <f t="shared" si="69"/>
        <v>0</v>
      </c>
      <c r="J1852" s="21">
        <v>2.6800000000000001E-2</v>
      </c>
      <c r="K1852" s="24"/>
    </row>
    <row r="1853" spans="1:11" ht="15.75" customHeight="1" x14ac:dyDescent="0.25">
      <c r="A1853" s="21" t="s">
        <v>3336</v>
      </c>
      <c r="B1853" s="26" t="s">
        <v>3337</v>
      </c>
      <c r="C1853" s="3"/>
      <c r="D1853" s="21" t="s">
        <v>3338</v>
      </c>
      <c r="E1853" s="3" t="s">
        <v>292</v>
      </c>
      <c r="F1853" s="3" t="s">
        <v>78</v>
      </c>
      <c r="G1853" s="3">
        <v>170</v>
      </c>
      <c r="H1853" s="23"/>
      <c r="I1853" s="124">
        <f t="shared" si="69"/>
        <v>0</v>
      </c>
      <c r="J1853" s="21">
        <v>3.1E-2</v>
      </c>
      <c r="K1853" s="24"/>
    </row>
    <row r="1854" spans="1:11" ht="15.75" customHeight="1" x14ac:dyDescent="0.25">
      <c r="A1854" s="21" t="s">
        <v>3339</v>
      </c>
      <c r="B1854" s="26" t="s">
        <v>3340</v>
      </c>
      <c r="C1854" s="3"/>
      <c r="D1854" s="21" t="s">
        <v>3341</v>
      </c>
      <c r="E1854" s="3" t="s">
        <v>292</v>
      </c>
      <c r="F1854" s="3" t="s">
        <v>78</v>
      </c>
      <c r="G1854" s="3">
        <v>170</v>
      </c>
      <c r="H1854" s="23"/>
      <c r="I1854" s="124">
        <f t="shared" si="69"/>
        <v>0</v>
      </c>
      <c r="J1854" s="21">
        <v>8.2000000000000003E-2</v>
      </c>
      <c r="K1854" s="24"/>
    </row>
    <row r="1855" spans="1:11" ht="15.75" customHeight="1" x14ac:dyDescent="0.25">
      <c r="A1855" s="21" t="s">
        <v>3342</v>
      </c>
      <c r="B1855" s="26" t="s">
        <v>3343</v>
      </c>
      <c r="C1855" s="3"/>
      <c r="D1855" s="21" t="s">
        <v>3344</v>
      </c>
      <c r="E1855" s="3" t="s">
        <v>292</v>
      </c>
      <c r="F1855" s="3" t="s">
        <v>78</v>
      </c>
      <c r="G1855" s="3">
        <v>85</v>
      </c>
      <c r="H1855" s="23"/>
      <c r="I1855" s="124">
        <f t="shared" si="69"/>
        <v>0</v>
      </c>
      <c r="J1855" s="21">
        <v>0.31</v>
      </c>
      <c r="K1855" s="24" t="s">
        <v>3182</v>
      </c>
    </row>
    <row r="1856" spans="1:11" ht="34.5" customHeight="1" x14ac:dyDescent="0.25">
      <c r="A1856" s="21" t="s">
        <v>3345</v>
      </c>
      <c r="B1856" s="26" t="s">
        <v>3346</v>
      </c>
      <c r="C1856" s="3"/>
      <c r="D1856" s="21" t="s">
        <v>3347</v>
      </c>
      <c r="E1856" s="3" t="s">
        <v>292</v>
      </c>
      <c r="F1856" s="3" t="s">
        <v>78</v>
      </c>
      <c r="G1856" s="3">
        <v>170</v>
      </c>
      <c r="H1856" s="23"/>
      <c r="I1856" s="124">
        <f t="shared" si="69"/>
        <v>0</v>
      </c>
      <c r="J1856" s="21">
        <v>7.0000000000000001E-3</v>
      </c>
      <c r="K1856" s="24" t="s">
        <v>3182</v>
      </c>
    </row>
    <row r="1857" spans="1:11" ht="34.5" customHeight="1" x14ac:dyDescent="0.25">
      <c r="A1857" s="21" t="s">
        <v>3348</v>
      </c>
      <c r="B1857" s="26" t="s">
        <v>3180</v>
      </c>
      <c r="C1857" s="3"/>
      <c r="D1857" s="21" t="s">
        <v>3181</v>
      </c>
      <c r="E1857" s="3" t="s">
        <v>292</v>
      </c>
      <c r="F1857" s="3" t="s">
        <v>78</v>
      </c>
      <c r="G1857" s="3">
        <v>170</v>
      </c>
      <c r="H1857" s="23"/>
      <c r="I1857" s="124">
        <f t="shared" si="69"/>
        <v>0</v>
      </c>
      <c r="J1857" s="21"/>
      <c r="K1857" s="24" t="s">
        <v>3349</v>
      </c>
    </row>
    <row r="1858" spans="1:11" ht="34.5" customHeight="1" x14ac:dyDescent="0.25">
      <c r="A1858" s="21" t="s">
        <v>3350</v>
      </c>
      <c r="B1858" s="26" t="s">
        <v>3351</v>
      </c>
      <c r="C1858" s="3"/>
      <c r="D1858" s="21" t="s">
        <v>3178</v>
      </c>
      <c r="E1858" s="3" t="s">
        <v>292</v>
      </c>
      <c r="F1858" s="3" t="s">
        <v>78</v>
      </c>
      <c r="G1858" s="3">
        <v>170</v>
      </c>
      <c r="H1858" s="23"/>
      <c r="I1858" s="124">
        <f t="shared" si="69"/>
        <v>0</v>
      </c>
      <c r="J1858" s="21"/>
      <c r="K1858" s="24" t="s">
        <v>3349</v>
      </c>
    </row>
    <row r="1859" spans="1:11" ht="34.5" customHeight="1" x14ac:dyDescent="0.25">
      <c r="A1859" s="21" t="s">
        <v>3352</v>
      </c>
      <c r="B1859" s="43" t="s">
        <v>3353</v>
      </c>
      <c r="C1859" s="3"/>
      <c r="D1859" s="21"/>
      <c r="E1859" s="21"/>
      <c r="F1859" s="3"/>
      <c r="G1859" s="3"/>
      <c r="H1859" s="23"/>
      <c r="I1859" s="124"/>
      <c r="J1859" s="21"/>
      <c r="K1859" s="24" t="s">
        <v>3354</v>
      </c>
    </row>
    <row r="1860" spans="1:11" ht="15.75" customHeight="1" x14ac:dyDescent="0.25">
      <c r="A1860" s="21" t="s">
        <v>3355</v>
      </c>
      <c r="B1860" s="26" t="s">
        <v>3356</v>
      </c>
      <c r="C1860" s="3"/>
      <c r="D1860" s="21" t="s">
        <v>3357</v>
      </c>
      <c r="E1860" s="3" t="s">
        <v>292</v>
      </c>
      <c r="F1860" s="3" t="s">
        <v>78</v>
      </c>
      <c r="G1860" s="3">
        <v>30</v>
      </c>
      <c r="H1860" s="23"/>
      <c r="I1860" s="124">
        <f>H1860*G1860</f>
        <v>0</v>
      </c>
      <c r="J1860" s="21">
        <v>0.45</v>
      </c>
      <c r="K1860" s="24"/>
    </row>
    <row r="1861" spans="1:11" ht="15.75" customHeight="1" x14ac:dyDescent="0.25">
      <c r="A1861" s="21" t="s">
        <v>3358</v>
      </c>
      <c r="B1861" s="26" t="s">
        <v>3359</v>
      </c>
      <c r="C1861" s="3"/>
      <c r="D1861" s="21" t="s">
        <v>3360</v>
      </c>
      <c r="E1861" s="3" t="s">
        <v>292</v>
      </c>
      <c r="F1861" s="3" t="s">
        <v>78</v>
      </c>
      <c r="G1861" s="3">
        <v>60</v>
      </c>
      <c r="H1861" s="23"/>
      <c r="I1861" s="124">
        <f>H1861*G1861</f>
        <v>0</v>
      </c>
      <c r="J1861" s="21"/>
      <c r="K1861" s="24"/>
    </row>
    <row r="1862" spans="1:11" ht="15.75" customHeight="1" x14ac:dyDescent="0.25">
      <c r="A1862" s="21" t="s">
        <v>3361</v>
      </c>
      <c r="B1862" s="26" t="s">
        <v>3180</v>
      </c>
      <c r="C1862" s="3" t="s">
        <v>3362</v>
      </c>
      <c r="D1862" s="21" t="s">
        <v>3363</v>
      </c>
      <c r="E1862" s="3" t="s">
        <v>292</v>
      </c>
      <c r="F1862" s="3" t="s">
        <v>78</v>
      </c>
      <c r="G1862" s="3">
        <v>60</v>
      </c>
      <c r="H1862" s="23"/>
      <c r="I1862" s="124">
        <f>H1862*G1862</f>
        <v>0</v>
      </c>
      <c r="J1862" s="21"/>
      <c r="K1862" s="24" t="s">
        <v>3364</v>
      </c>
    </row>
    <row r="1863" spans="1:11" ht="15.75" customHeight="1" x14ac:dyDescent="0.25">
      <c r="A1863" s="21" t="s">
        <v>3365</v>
      </c>
      <c r="B1863" s="26" t="s">
        <v>3351</v>
      </c>
      <c r="C1863" s="3"/>
      <c r="D1863" s="21" t="s">
        <v>3366</v>
      </c>
      <c r="E1863" s="3" t="s">
        <v>292</v>
      </c>
      <c r="F1863" s="3" t="s">
        <v>78</v>
      </c>
      <c r="G1863" s="3">
        <v>60</v>
      </c>
      <c r="H1863" s="23"/>
      <c r="I1863" s="124">
        <f>H1863*G1863</f>
        <v>0</v>
      </c>
      <c r="J1863" s="21"/>
      <c r="K1863" s="24" t="s">
        <v>3364</v>
      </c>
    </row>
    <row r="1864" spans="1:11" ht="34.5" customHeight="1" x14ac:dyDescent="0.25">
      <c r="A1864" s="21" t="s">
        <v>3367</v>
      </c>
      <c r="B1864" s="43" t="s">
        <v>3368</v>
      </c>
      <c r="C1864" s="3"/>
      <c r="D1864" s="21"/>
      <c r="E1864" s="21"/>
      <c r="F1864" s="3"/>
      <c r="G1864" s="3"/>
      <c r="H1864" s="23"/>
      <c r="I1864" s="124"/>
      <c r="J1864" s="21"/>
      <c r="K1864" s="24" t="s">
        <v>3354</v>
      </c>
    </row>
    <row r="1865" spans="1:11" ht="15.75" customHeight="1" x14ac:dyDescent="0.25">
      <c r="A1865" s="21" t="s">
        <v>3369</v>
      </c>
      <c r="B1865" s="26" t="s">
        <v>3370</v>
      </c>
      <c r="C1865" s="3"/>
      <c r="D1865" s="21" t="s">
        <v>3371</v>
      </c>
      <c r="E1865" s="3" t="s">
        <v>292</v>
      </c>
      <c r="F1865" s="3" t="s">
        <v>78</v>
      </c>
      <c r="G1865" s="3">
        <v>35</v>
      </c>
      <c r="H1865" s="23"/>
      <c r="I1865" s="124">
        <f t="shared" ref="I1865:I1872" si="70">H1865*G1865</f>
        <v>0</v>
      </c>
      <c r="J1865" s="21">
        <v>0.87</v>
      </c>
      <c r="K1865" s="24"/>
    </row>
    <row r="1866" spans="1:11" ht="15.75" customHeight="1" x14ac:dyDescent="0.25">
      <c r="A1866" s="21" t="s">
        <v>3372</v>
      </c>
      <c r="B1866" s="26" t="s">
        <v>3373</v>
      </c>
      <c r="C1866" s="3"/>
      <c r="D1866" s="21" t="s">
        <v>3374</v>
      </c>
      <c r="E1866" s="3" t="s">
        <v>292</v>
      </c>
      <c r="F1866" s="3" t="s">
        <v>78</v>
      </c>
      <c r="G1866" s="3">
        <v>35</v>
      </c>
      <c r="H1866" s="23"/>
      <c r="I1866" s="124">
        <f t="shared" si="70"/>
        <v>0</v>
      </c>
      <c r="J1866" s="21">
        <v>1.22</v>
      </c>
      <c r="K1866" s="24"/>
    </row>
    <row r="1867" spans="1:11" ht="15.75" customHeight="1" x14ac:dyDescent="0.25">
      <c r="A1867" s="21" t="s">
        <v>3375</v>
      </c>
      <c r="B1867" s="26" t="s">
        <v>3376</v>
      </c>
      <c r="C1867" s="3" t="s">
        <v>3377</v>
      </c>
      <c r="D1867" s="21" t="s">
        <v>3378</v>
      </c>
      <c r="E1867" s="3" t="s">
        <v>292</v>
      </c>
      <c r="F1867" s="3" t="s">
        <v>78</v>
      </c>
      <c r="G1867" s="3">
        <v>280</v>
      </c>
      <c r="H1867" s="23"/>
      <c r="I1867" s="124">
        <f t="shared" si="70"/>
        <v>0</v>
      </c>
      <c r="J1867" s="21"/>
      <c r="K1867" s="24"/>
    </row>
    <row r="1868" spans="1:11" ht="15.75" customHeight="1" x14ac:dyDescent="0.25">
      <c r="A1868" s="21" t="s">
        <v>3379</v>
      </c>
      <c r="B1868" s="26" t="s">
        <v>3380</v>
      </c>
      <c r="C1868" s="3" t="s">
        <v>3377</v>
      </c>
      <c r="D1868" s="21" t="s">
        <v>3381</v>
      </c>
      <c r="E1868" s="3" t="s">
        <v>292</v>
      </c>
      <c r="F1868" s="3" t="s">
        <v>78</v>
      </c>
      <c r="G1868" s="3">
        <v>280</v>
      </c>
      <c r="H1868" s="23"/>
      <c r="I1868" s="124">
        <f t="shared" si="70"/>
        <v>0</v>
      </c>
      <c r="J1868" s="21"/>
      <c r="K1868" s="24"/>
    </row>
    <row r="1869" spans="1:11" ht="15.75" customHeight="1" x14ac:dyDescent="0.25">
      <c r="A1869" s="21" t="s">
        <v>3382</v>
      </c>
      <c r="B1869" s="26" t="s">
        <v>3383</v>
      </c>
      <c r="C1869" s="3" t="s">
        <v>3377</v>
      </c>
      <c r="D1869" s="21" t="s">
        <v>3384</v>
      </c>
      <c r="E1869" s="3" t="s">
        <v>292</v>
      </c>
      <c r="F1869" s="3" t="s">
        <v>78</v>
      </c>
      <c r="G1869" s="3">
        <v>140</v>
      </c>
      <c r="H1869" s="23"/>
      <c r="I1869" s="124">
        <f t="shared" si="70"/>
        <v>0</v>
      </c>
      <c r="J1869" s="21"/>
      <c r="K1869" s="24" t="s">
        <v>3182</v>
      </c>
    </row>
    <row r="1870" spans="1:11" ht="15.75" customHeight="1" x14ac:dyDescent="0.25">
      <c r="A1870" s="21" t="s">
        <v>3385</v>
      </c>
      <c r="B1870" s="26" t="s">
        <v>3180</v>
      </c>
      <c r="C1870" s="3" t="s">
        <v>3362</v>
      </c>
      <c r="D1870" s="21" t="s">
        <v>3363</v>
      </c>
      <c r="E1870" s="3" t="s">
        <v>292</v>
      </c>
      <c r="F1870" s="3" t="s">
        <v>78</v>
      </c>
      <c r="G1870" s="3">
        <v>70</v>
      </c>
      <c r="H1870" s="23"/>
      <c r="I1870" s="124">
        <f t="shared" si="70"/>
        <v>0</v>
      </c>
      <c r="J1870" s="21"/>
      <c r="K1870" s="24" t="s">
        <v>3364</v>
      </c>
    </row>
    <row r="1871" spans="1:11" ht="15.75" customHeight="1" x14ac:dyDescent="0.25">
      <c r="A1871" s="21" t="s">
        <v>3386</v>
      </c>
      <c r="B1871" s="26" t="s">
        <v>3351</v>
      </c>
      <c r="C1871" s="3" t="s">
        <v>3362</v>
      </c>
      <c r="D1871" s="21" t="s">
        <v>3366</v>
      </c>
      <c r="E1871" s="3" t="s">
        <v>292</v>
      </c>
      <c r="F1871" s="3" t="s">
        <v>78</v>
      </c>
      <c r="G1871" s="3">
        <v>70</v>
      </c>
      <c r="H1871" s="23"/>
      <c r="I1871" s="124">
        <f t="shared" si="70"/>
        <v>0</v>
      </c>
      <c r="J1871" s="21"/>
      <c r="K1871" s="24" t="s">
        <v>3364</v>
      </c>
    </row>
    <row r="1872" spans="1:11" ht="15.75" customHeight="1" x14ac:dyDescent="0.25">
      <c r="A1872" s="21" t="s">
        <v>3387</v>
      </c>
      <c r="B1872" s="26" t="s">
        <v>3380</v>
      </c>
      <c r="C1872" s="3" t="s">
        <v>3362</v>
      </c>
      <c r="D1872" s="21" t="s">
        <v>3388</v>
      </c>
      <c r="E1872" s="3" t="s">
        <v>292</v>
      </c>
      <c r="F1872" s="3" t="s">
        <v>78</v>
      </c>
      <c r="G1872" s="3">
        <v>70</v>
      </c>
      <c r="H1872" s="23"/>
      <c r="I1872" s="124">
        <f t="shared" si="70"/>
        <v>0</v>
      </c>
      <c r="J1872" s="21"/>
      <c r="K1872" s="24" t="s">
        <v>3364</v>
      </c>
    </row>
    <row r="1873" spans="1:11" ht="34.5" customHeight="1" x14ac:dyDescent="0.25">
      <c r="A1873" s="21" t="s">
        <v>3389</v>
      </c>
      <c r="B1873" s="43" t="s">
        <v>3390</v>
      </c>
      <c r="C1873" s="3"/>
      <c r="D1873" s="21"/>
      <c r="E1873" s="21"/>
      <c r="F1873" s="3"/>
      <c r="G1873" s="3"/>
      <c r="H1873" s="23"/>
      <c r="I1873" s="124"/>
      <c r="J1873" s="21"/>
      <c r="K1873" s="24" t="s">
        <v>3354</v>
      </c>
    </row>
    <row r="1874" spans="1:11" ht="15.75" customHeight="1" x14ac:dyDescent="0.25">
      <c r="A1874" s="21" t="s">
        <v>3391</v>
      </c>
      <c r="B1874" s="26" t="s">
        <v>3324</v>
      </c>
      <c r="C1874" s="3"/>
      <c r="D1874" s="21" t="s">
        <v>3325</v>
      </c>
      <c r="E1874" s="3" t="s">
        <v>292</v>
      </c>
      <c r="F1874" s="3" t="s">
        <v>78</v>
      </c>
      <c r="G1874" s="3">
        <v>50</v>
      </c>
      <c r="H1874" s="23"/>
      <c r="I1874" s="124">
        <f t="shared" ref="I1874:I1884" si="71">H1874*G1874</f>
        <v>0</v>
      </c>
      <c r="J1874" s="21">
        <v>0.68</v>
      </c>
      <c r="K1874" s="24"/>
    </row>
    <row r="1875" spans="1:11" ht="15.75" customHeight="1" x14ac:dyDescent="0.25">
      <c r="A1875" s="21" t="s">
        <v>3392</v>
      </c>
      <c r="B1875" s="26" t="s">
        <v>3327</v>
      </c>
      <c r="C1875" s="3"/>
      <c r="D1875" s="21" t="s">
        <v>3328</v>
      </c>
      <c r="E1875" s="3" t="s">
        <v>292</v>
      </c>
      <c r="F1875" s="3" t="s">
        <v>78</v>
      </c>
      <c r="G1875" s="3">
        <v>50</v>
      </c>
      <c r="H1875" s="23"/>
      <c r="I1875" s="124">
        <f t="shared" si="71"/>
        <v>0</v>
      </c>
      <c r="J1875" s="21">
        <v>1.68</v>
      </c>
      <c r="K1875" s="24"/>
    </row>
    <row r="1876" spans="1:11" ht="15.75" customHeight="1" x14ac:dyDescent="0.25">
      <c r="A1876" s="21" t="s">
        <v>3393</v>
      </c>
      <c r="B1876" s="26" t="s">
        <v>3177</v>
      </c>
      <c r="C1876" s="3"/>
      <c r="D1876" s="21" t="s">
        <v>3178</v>
      </c>
      <c r="E1876" s="3" t="s">
        <v>292</v>
      </c>
      <c r="F1876" s="3" t="s">
        <v>78</v>
      </c>
      <c r="G1876" s="3">
        <v>100</v>
      </c>
      <c r="H1876" s="23"/>
      <c r="I1876" s="124">
        <f t="shared" si="71"/>
        <v>0</v>
      </c>
      <c r="J1876" s="21">
        <v>3.0000000000000001E-3</v>
      </c>
      <c r="K1876" s="24"/>
    </row>
    <row r="1877" spans="1:11" ht="15.75" customHeight="1" x14ac:dyDescent="0.25">
      <c r="A1877" s="21" t="s">
        <v>3394</v>
      </c>
      <c r="B1877" s="26" t="s">
        <v>3331</v>
      </c>
      <c r="C1877" s="3"/>
      <c r="D1877" s="21" t="s">
        <v>3332</v>
      </c>
      <c r="E1877" s="3" t="s">
        <v>292</v>
      </c>
      <c r="F1877" s="3" t="s">
        <v>78</v>
      </c>
      <c r="G1877" s="3">
        <v>200</v>
      </c>
      <c r="H1877" s="23"/>
      <c r="I1877" s="124">
        <f t="shared" si="71"/>
        <v>0</v>
      </c>
      <c r="J1877" s="21">
        <v>6.7000000000000002E-3</v>
      </c>
      <c r="K1877" s="24"/>
    </row>
    <row r="1878" spans="1:11" ht="15.75" customHeight="1" x14ac:dyDescent="0.25">
      <c r="A1878" s="21" t="s">
        <v>3395</v>
      </c>
      <c r="B1878" s="26" t="s">
        <v>3334</v>
      </c>
      <c r="C1878" s="3"/>
      <c r="D1878" s="21" t="s">
        <v>3335</v>
      </c>
      <c r="E1878" s="3" t="s">
        <v>292</v>
      </c>
      <c r="F1878" s="3" t="s">
        <v>78</v>
      </c>
      <c r="G1878" s="3">
        <v>100</v>
      </c>
      <c r="H1878" s="23"/>
      <c r="I1878" s="124">
        <f t="shared" si="71"/>
        <v>0</v>
      </c>
      <c r="J1878" s="21">
        <v>2.6800000000000001E-2</v>
      </c>
      <c r="K1878" s="24"/>
    </row>
    <row r="1879" spans="1:11" ht="15.75" customHeight="1" x14ac:dyDescent="0.25">
      <c r="A1879" s="21" t="s">
        <v>3396</v>
      </c>
      <c r="B1879" s="26" t="s">
        <v>3337</v>
      </c>
      <c r="C1879" s="3"/>
      <c r="D1879" s="21" t="s">
        <v>3338</v>
      </c>
      <c r="E1879" s="3" t="s">
        <v>292</v>
      </c>
      <c r="F1879" s="3" t="s">
        <v>78</v>
      </c>
      <c r="G1879" s="3">
        <v>100</v>
      </c>
      <c r="H1879" s="23"/>
      <c r="I1879" s="124">
        <f t="shared" si="71"/>
        <v>0</v>
      </c>
      <c r="J1879" s="21">
        <v>3.1E-2</v>
      </c>
      <c r="K1879" s="24"/>
    </row>
    <row r="1880" spans="1:11" ht="15.75" customHeight="1" x14ac:dyDescent="0.25">
      <c r="A1880" s="21" t="s">
        <v>3397</v>
      </c>
      <c r="B1880" s="26" t="s">
        <v>3340</v>
      </c>
      <c r="C1880" s="3"/>
      <c r="D1880" s="21" t="s">
        <v>3341</v>
      </c>
      <c r="E1880" s="3" t="s">
        <v>292</v>
      </c>
      <c r="F1880" s="3" t="s">
        <v>78</v>
      </c>
      <c r="G1880" s="3">
        <v>100</v>
      </c>
      <c r="H1880" s="23"/>
      <c r="I1880" s="124">
        <f t="shared" si="71"/>
        <v>0</v>
      </c>
      <c r="J1880" s="21">
        <v>8.2000000000000003E-2</v>
      </c>
      <c r="K1880" s="24"/>
    </row>
    <row r="1881" spans="1:11" ht="15.75" customHeight="1" x14ac:dyDescent="0.25">
      <c r="A1881" s="21" t="s">
        <v>3398</v>
      </c>
      <c r="B1881" s="26" t="s">
        <v>3399</v>
      </c>
      <c r="C1881" s="3"/>
      <c r="D1881" s="21" t="s">
        <v>3400</v>
      </c>
      <c r="E1881" s="3" t="s">
        <v>292</v>
      </c>
      <c r="F1881" s="3" t="s">
        <v>78</v>
      </c>
      <c r="G1881" s="3">
        <v>50</v>
      </c>
      <c r="H1881" s="23"/>
      <c r="I1881" s="124">
        <f t="shared" si="71"/>
        <v>0</v>
      </c>
      <c r="J1881" s="21">
        <v>0.31</v>
      </c>
      <c r="K1881" s="24" t="s">
        <v>3182</v>
      </c>
    </row>
    <row r="1882" spans="1:11" ht="34.5" customHeight="1" x14ac:dyDescent="0.25">
      <c r="A1882" s="21" t="s">
        <v>3401</v>
      </c>
      <c r="B1882" s="26" t="s">
        <v>3346</v>
      </c>
      <c r="C1882" s="3"/>
      <c r="D1882" s="21" t="s">
        <v>3347</v>
      </c>
      <c r="E1882" s="3" t="s">
        <v>292</v>
      </c>
      <c r="F1882" s="3" t="s">
        <v>78</v>
      </c>
      <c r="G1882" s="3">
        <v>100</v>
      </c>
      <c r="H1882" s="23"/>
      <c r="I1882" s="124">
        <f t="shared" si="71"/>
        <v>0</v>
      </c>
      <c r="J1882" s="21">
        <v>7.0000000000000001E-3</v>
      </c>
      <c r="K1882" s="24" t="s">
        <v>3182</v>
      </c>
    </row>
    <row r="1883" spans="1:11" ht="34.5" customHeight="1" x14ac:dyDescent="0.25">
      <c r="A1883" s="21" t="s">
        <v>3402</v>
      </c>
      <c r="B1883" s="26" t="s">
        <v>3180</v>
      </c>
      <c r="C1883" s="3"/>
      <c r="D1883" s="21" t="s">
        <v>3181</v>
      </c>
      <c r="E1883" s="3" t="s">
        <v>292</v>
      </c>
      <c r="F1883" s="3" t="s">
        <v>78</v>
      </c>
      <c r="G1883" s="3">
        <v>100</v>
      </c>
      <c r="H1883" s="23"/>
      <c r="I1883" s="124">
        <f t="shared" si="71"/>
        <v>0</v>
      </c>
      <c r="J1883" s="21"/>
      <c r="K1883" s="24" t="s">
        <v>3349</v>
      </c>
    </row>
    <row r="1884" spans="1:11" ht="34.5" customHeight="1" x14ac:dyDescent="0.25">
      <c r="A1884" s="21" t="s">
        <v>3403</v>
      </c>
      <c r="B1884" s="26" t="s">
        <v>3351</v>
      </c>
      <c r="C1884" s="3"/>
      <c r="D1884" s="21" t="s">
        <v>3178</v>
      </c>
      <c r="E1884" s="3" t="s">
        <v>292</v>
      </c>
      <c r="F1884" s="3" t="s">
        <v>78</v>
      </c>
      <c r="G1884" s="3">
        <v>100</v>
      </c>
      <c r="H1884" s="23"/>
      <c r="I1884" s="124">
        <f t="shared" si="71"/>
        <v>0</v>
      </c>
      <c r="J1884" s="21"/>
      <c r="K1884" s="24" t="s">
        <v>3349</v>
      </c>
    </row>
    <row r="1885" spans="1:11" ht="30" customHeight="1" x14ac:dyDescent="0.25">
      <c r="A1885" s="21" t="s">
        <v>3404</v>
      </c>
      <c r="B1885" s="43" t="s">
        <v>3405</v>
      </c>
      <c r="C1885" s="3"/>
      <c r="D1885" s="21"/>
      <c r="E1885" s="21"/>
      <c r="F1885" s="3"/>
      <c r="G1885" s="3"/>
      <c r="H1885" s="23"/>
      <c r="I1885" s="124"/>
      <c r="J1885" s="21"/>
      <c r="K1885" s="24" t="s">
        <v>3354</v>
      </c>
    </row>
    <row r="1886" spans="1:11" ht="15.75" customHeight="1" x14ac:dyDescent="0.25">
      <c r="A1886" s="21" t="s">
        <v>3406</v>
      </c>
      <c r="B1886" s="26" t="s">
        <v>3407</v>
      </c>
      <c r="C1886" s="3" t="s">
        <v>3408</v>
      </c>
      <c r="D1886" s="21" t="s">
        <v>3409</v>
      </c>
      <c r="E1886" s="3" t="s">
        <v>292</v>
      </c>
      <c r="F1886" s="3" t="s">
        <v>78</v>
      </c>
      <c r="G1886" s="3">
        <v>40</v>
      </c>
      <c r="H1886" s="23"/>
      <c r="I1886" s="124">
        <f t="shared" ref="I1886:I1899" si="72">H1886*G1886</f>
        <v>0</v>
      </c>
      <c r="J1886" s="21"/>
      <c r="K1886" s="24"/>
    </row>
    <row r="1887" spans="1:11" ht="15.75" customHeight="1" x14ac:dyDescent="0.25">
      <c r="A1887" s="21" t="s">
        <v>3410</v>
      </c>
      <c r="B1887" s="26" t="s">
        <v>3411</v>
      </c>
      <c r="C1887" s="3" t="s">
        <v>3412</v>
      </c>
      <c r="D1887" s="21" t="s">
        <v>3413</v>
      </c>
      <c r="E1887" s="3" t="s">
        <v>292</v>
      </c>
      <c r="F1887" s="3" t="s">
        <v>78</v>
      </c>
      <c r="G1887" s="3">
        <v>40</v>
      </c>
      <c r="H1887" s="23"/>
      <c r="I1887" s="124">
        <f t="shared" si="72"/>
        <v>0</v>
      </c>
      <c r="J1887" s="21"/>
      <c r="K1887" s="24"/>
    </row>
    <row r="1888" spans="1:11" ht="15.75" customHeight="1" x14ac:dyDescent="0.25">
      <c r="A1888" s="21" t="s">
        <v>3414</v>
      </c>
      <c r="B1888" s="26" t="s">
        <v>3415</v>
      </c>
      <c r="C1888" s="3" t="s">
        <v>3408</v>
      </c>
      <c r="D1888" s="21" t="s">
        <v>3416</v>
      </c>
      <c r="E1888" s="3" t="s">
        <v>292</v>
      </c>
      <c r="F1888" s="3" t="s">
        <v>78</v>
      </c>
      <c r="G1888" s="3">
        <v>40</v>
      </c>
      <c r="H1888" s="23"/>
      <c r="I1888" s="124">
        <f t="shared" si="72"/>
        <v>0</v>
      </c>
      <c r="J1888" s="21"/>
      <c r="K1888" s="24"/>
    </row>
    <row r="1889" spans="1:11" ht="15.75" customHeight="1" x14ac:dyDescent="0.25">
      <c r="A1889" s="21" t="s">
        <v>3417</v>
      </c>
      <c r="B1889" s="26" t="s">
        <v>3418</v>
      </c>
      <c r="C1889" s="3" t="s">
        <v>3408</v>
      </c>
      <c r="D1889" s="21" t="s">
        <v>3419</v>
      </c>
      <c r="E1889" s="3" t="s">
        <v>292</v>
      </c>
      <c r="F1889" s="3" t="s">
        <v>78</v>
      </c>
      <c r="G1889" s="3">
        <v>40</v>
      </c>
      <c r="H1889" s="23"/>
      <c r="I1889" s="124">
        <f t="shared" si="72"/>
        <v>0</v>
      </c>
      <c r="J1889" s="21"/>
      <c r="K1889" s="24" t="s">
        <v>3182</v>
      </c>
    </row>
    <row r="1890" spans="1:11" ht="15.75" customHeight="1" x14ac:dyDescent="0.25">
      <c r="A1890" s="21" t="s">
        <v>3420</v>
      </c>
      <c r="B1890" s="26" t="s">
        <v>3421</v>
      </c>
      <c r="C1890" s="3" t="s">
        <v>3377</v>
      </c>
      <c r="D1890" s="21" t="s">
        <v>3422</v>
      </c>
      <c r="E1890" s="3" t="s">
        <v>292</v>
      </c>
      <c r="F1890" s="3" t="s">
        <v>78</v>
      </c>
      <c r="G1890" s="3">
        <v>160</v>
      </c>
      <c r="H1890" s="23"/>
      <c r="I1890" s="124">
        <f t="shared" si="72"/>
        <v>0</v>
      </c>
      <c r="J1890" s="21"/>
      <c r="K1890" s="24"/>
    </row>
    <row r="1891" spans="1:11" ht="15.75" customHeight="1" x14ac:dyDescent="0.25">
      <c r="A1891" s="21" t="s">
        <v>3423</v>
      </c>
      <c r="B1891" s="26" t="s">
        <v>3424</v>
      </c>
      <c r="C1891" s="3" t="s">
        <v>3377</v>
      </c>
      <c r="D1891" s="21" t="s">
        <v>3425</v>
      </c>
      <c r="E1891" s="3" t="s">
        <v>292</v>
      </c>
      <c r="F1891" s="3" t="s">
        <v>78</v>
      </c>
      <c r="G1891" s="3">
        <v>160</v>
      </c>
      <c r="H1891" s="23"/>
      <c r="I1891" s="124">
        <f t="shared" si="72"/>
        <v>0</v>
      </c>
      <c r="J1891" s="21"/>
      <c r="K1891" s="24"/>
    </row>
    <row r="1892" spans="1:11" ht="15.75" customHeight="1" x14ac:dyDescent="0.25">
      <c r="A1892" s="21" t="s">
        <v>3426</v>
      </c>
      <c r="B1892" s="26" t="s">
        <v>3427</v>
      </c>
      <c r="C1892" s="3" t="s">
        <v>3428</v>
      </c>
      <c r="D1892" s="21" t="s">
        <v>3429</v>
      </c>
      <c r="E1892" s="3" t="s">
        <v>292</v>
      </c>
      <c r="F1892" s="3" t="s">
        <v>78</v>
      </c>
      <c r="G1892" s="3">
        <v>40</v>
      </c>
      <c r="H1892" s="23"/>
      <c r="I1892" s="124">
        <f t="shared" si="72"/>
        <v>0</v>
      </c>
      <c r="J1892" s="21"/>
      <c r="K1892" s="24" t="s">
        <v>3182</v>
      </c>
    </row>
    <row r="1893" spans="1:11" ht="15.75" customHeight="1" x14ac:dyDescent="0.25">
      <c r="A1893" s="21" t="s">
        <v>3430</v>
      </c>
      <c r="B1893" s="26" t="s">
        <v>3370</v>
      </c>
      <c r="C1893" s="3"/>
      <c r="D1893" s="21" t="s">
        <v>3371</v>
      </c>
      <c r="E1893" s="3" t="s">
        <v>292</v>
      </c>
      <c r="F1893" s="3" t="s">
        <v>78</v>
      </c>
      <c r="G1893" s="3">
        <v>20</v>
      </c>
      <c r="H1893" s="23"/>
      <c r="I1893" s="124">
        <f t="shared" si="72"/>
        <v>0</v>
      </c>
      <c r="J1893" s="21"/>
      <c r="K1893" s="24"/>
    </row>
    <row r="1894" spans="1:11" ht="71.25" customHeight="1" x14ac:dyDescent="0.25">
      <c r="A1894" s="55" t="s">
        <v>3431</v>
      </c>
      <c r="B1894" s="34" t="s">
        <v>3432</v>
      </c>
      <c r="C1894" s="34"/>
      <c r="D1894" s="35"/>
      <c r="E1894" s="35"/>
      <c r="F1894" s="35" t="s">
        <v>89</v>
      </c>
      <c r="G1894" s="35">
        <v>160</v>
      </c>
      <c r="H1894" s="36"/>
      <c r="I1894" s="126">
        <f t="shared" si="72"/>
        <v>0</v>
      </c>
      <c r="J1894" s="35"/>
      <c r="K1894" s="34" t="s">
        <v>3433</v>
      </c>
    </row>
    <row r="1895" spans="1:11" ht="57" customHeight="1" x14ac:dyDescent="0.25">
      <c r="A1895" s="55" t="s">
        <v>3434</v>
      </c>
      <c r="B1895" s="34" t="s">
        <v>3435</v>
      </c>
      <c r="C1895" s="34"/>
      <c r="D1895" s="35"/>
      <c r="E1895" s="35"/>
      <c r="F1895" s="35" t="s">
        <v>89</v>
      </c>
      <c r="G1895" s="35">
        <v>190</v>
      </c>
      <c r="H1895" s="36"/>
      <c r="I1895" s="126">
        <f t="shared" si="72"/>
        <v>0</v>
      </c>
      <c r="J1895" s="35"/>
      <c r="K1895" s="34" t="s">
        <v>3436</v>
      </c>
    </row>
    <row r="1896" spans="1:11" ht="57" customHeight="1" x14ac:dyDescent="0.25">
      <c r="A1896" s="55" t="s">
        <v>3437</v>
      </c>
      <c r="B1896" s="34" t="s">
        <v>3438</v>
      </c>
      <c r="C1896" s="34"/>
      <c r="D1896" s="35"/>
      <c r="E1896" s="35"/>
      <c r="F1896" s="35" t="s">
        <v>89</v>
      </c>
      <c r="G1896" s="35">
        <v>155</v>
      </c>
      <c r="H1896" s="36"/>
      <c r="I1896" s="126">
        <f t="shared" si="72"/>
        <v>0</v>
      </c>
      <c r="J1896" s="35"/>
      <c r="K1896" s="34" t="s">
        <v>3439</v>
      </c>
    </row>
    <row r="1897" spans="1:11" ht="57" customHeight="1" x14ac:dyDescent="0.25">
      <c r="A1897" s="55" t="s">
        <v>3440</v>
      </c>
      <c r="B1897" s="34" t="s">
        <v>3441</v>
      </c>
      <c r="C1897" s="34"/>
      <c r="D1897" s="35"/>
      <c r="E1897" s="35"/>
      <c r="F1897" s="35" t="s">
        <v>78</v>
      </c>
      <c r="G1897" s="35">
        <v>1</v>
      </c>
      <c r="H1897" s="36"/>
      <c r="I1897" s="126">
        <f t="shared" si="72"/>
        <v>0</v>
      </c>
      <c r="J1897" s="35"/>
      <c r="K1897" s="34" t="s">
        <v>3442</v>
      </c>
    </row>
    <row r="1898" spans="1:11" ht="57" customHeight="1" x14ac:dyDescent="0.25">
      <c r="A1898" s="55" t="s">
        <v>524</v>
      </c>
      <c r="B1898" s="34" t="s">
        <v>3443</v>
      </c>
      <c r="C1898" s="34"/>
      <c r="D1898" s="35"/>
      <c r="E1898" s="35"/>
      <c r="F1898" s="35" t="s">
        <v>78</v>
      </c>
      <c r="G1898" s="35">
        <v>1</v>
      </c>
      <c r="H1898" s="36"/>
      <c r="I1898" s="126">
        <f t="shared" si="72"/>
        <v>0</v>
      </c>
      <c r="J1898" s="35"/>
      <c r="K1898" s="34" t="s">
        <v>3444</v>
      </c>
    </row>
    <row r="1899" spans="1:11" ht="57" customHeight="1" x14ac:dyDescent="0.25">
      <c r="A1899" s="55" t="s">
        <v>526</v>
      </c>
      <c r="B1899" s="34" t="s">
        <v>3445</v>
      </c>
      <c r="C1899" s="34"/>
      <c r="D1899" s="35"/>
      <c r="E1899" s="35"/>
      <c r="F1899" s="35" t="s">
        <v>78</v>
      </c>
      <c r="G1899" s="35">
        <v>49</v>
      </c>
      <c r="H1899" s="36"/>
      <c r="I1899" s="126">
        <f t="shared" si="72"/>
        <v>0</v>
      </c>
      <c r="J1899" s="35"/>
      <c r="K1899" s="34" t="s">
        <v>3446</v>
      </c>
    </row>
    <row r="1900" spans="1:11" ht="28.5" customHeight="1" x14ac:dyDescent="0.25">
      <c r="A1900" s="16"/>
      <c r="B1900" s="15" t="s">
        <v>3447</v>
      </c>
      <c r="C1900" s="16"/>
      <c r="D1900" s="16"/>
      <c r="E1900" s="16"/>
      <c r="F1900" s="16"/>
      <c r="G1900" s="16"/>
      <c r="H1900" s="17"/>
      <c r="I1900" s="123"/>
      <c r="J1900" s="16"/>
      <c r="K1900" s="18"/>
    </row>
    <row r="1901" spans="1:11" ht="15.75" customHeight="1" x14ac:dyDescent="0.25">
      <c r="A1901" s="42" t="s">
        <v>349</v>
      </c>
      <c r="B1901" s="56" t="s">
        <v>3448</v>
      </c>
      <c r="C1901" s="22"/>
      <c r="D1901" s="21"/>
      <c r="E1901" s="21"/>
      <c r="F1901" s="22"/>
      <c r="G1901" s="21"/>
      <c r="H1901" s="23"/>
      <c r="I1901" s="124"/>
      <c r="J1901" s="21"/>
      <c r="K1901" s="24"/>
    </row>
    <row r="1902" spans="1:11" ht="15.75" customHeight="1" x14ac:dyDescent="0.25">
      <c r="A1902" s="42" t="s">
        <v>1943</v>
      </c>
      <c r="B1902" s="43" t="s">
        <v>3449</v>
      </c>
      <c r="C1902" s="22"/>
      <c r="D1902" s="21"/>
      <c r="E1902" s="21"/>
      <c r="F1902" s="22" t="s">
        <v>47</v>
      </c>
      <c r="G1902" s="21">
        <v>1</v>
      </c>
      <c r="H1902" s="23"/>
      <c r="I1902" s="124">
        <f t="shared" ref="I1902:I1930" si="73">H1902*G1902</f>
        <v>0</v>
      </c>
      <c r="J1902" s="21"/>
      <c r="K1902" s="24"/>
    </row>
    <row r="1903" spans="1:11" ht="69.75" customHeight="1" x14ac:dyDescent="0.25">
      <c r="A1903" s="21" t="s">
        <v>1950</v>
      </c>
      <c r="B1903" s="26" t="s">
        <v>3450</v>
      </c>
      <c r="C1903" s="3" t="s">
        <v>2528</v>
      </c>
      <c r="D1903" s="21"/>
      <c r="E1903" s="21" t="s">
        <v>2529</v>
      </c>
      <c r="F1903" s="3" t="s">
        <v>78</v>
      </c>
      <c r="G1903" s="3">
        <v>1</v>
      </c>
      <c r="H1903" s="23"/>
      <c r="I1903" s="124">
        <f t="shared" si="73"/>
        <v>0</v>
      </c>
      <c r="J1903" s="21"/>
      <c r="K1903" s="24"/>
    </row>
    <row r="1904" spans="1:11" ht="30" customHeight="1" x14ac:dyDescent="0.25">
      <c r="A1904" s="21" t="s">
        <v>1955</v>
      </c>
      <c r="B1904" s="26" t="s">
        <v>2530</v>
      </c>
      <c r="C1904" s="3" t="s">
        <v>2531</v>
      </c>
      <c r="D1904" s="21" t="s">
        <v>2532</v>
      </c>
      <c r="E1904" s="21" t="s">
        <v>2529</v>
      </c>
      <c r="F1904" s="3" t="s">
        <v>78</v>
      </c>
      <c r="G1904" s="3">
        <v>1</v>
      </c>
      <c r="H1904" s="23">
        <v>12241.6</v>
      </c>
      <c r="I1904" s="124">
        <f t="shared" si="73"/>
        <v>12241.6</v>
      </c>
      <c r="J1904" s="21"/>
      <c r="K1904" s="24"/>
    </row>
    <row r="1905" spans="1:11" ht="30" customHeight="1" x14ac:dyDescent="0.25">
      <c r="A1905" s="21" t="s">
        <v>1959</v>
      </c>
      <c r="B1905" s="26" t="s">
        <v>2536</v>
      </c>
      <c r="C1905" s="3" t="s">
        <v>2537</v>
      </c>
      <c r="D1905" s="21" t="s">
        <v>2538</v>
      </c>
      <c r="E1905" s="21" t="s">
        <v>2529</v>
      </c>
      <c r="F1905" s="3" t="s">
        <v>78</v>
      </c>
      <c r="G1905" s="3">
        <v>2</v>
      </c>
      <c r="H1905" s="23"/>
      <c r="I1905" s="124">
        <f t="shared" si="73"/>
        <v>0</v>
      </c>
      <c r="J1905" s="21"/>
      <c r="K1905" s="24"/>
    </row>
    <row r="1906" spans="1:11" ht="15.75" customHeight="1" x14ac:dyDescent="0.25">
      <c r="A1906" s="21" t="s">
        <v>1963</v>
      </c>
      <c r="B1906" s="26" t="s">
        <v>2539</v>
      </c>
      <c r="C1906" s="3" t="s">
        <v>2540</v>
      </c>
      <c r="D1906" s="21" t="s">
        <v>2541</v>
      </c>
      <c r="E1906" s="21" t="s">
        <v>2529</v>
      </c>
      <c r="F1906" s="3" t="s">
        <v>78</v>
      </c>
      <c r="G1906" s="3">
        <v>11</v>
      </c>
      <c r="H1906" s="23"/>
      <c r="I1906" s="124">
        <f t="shared" si="73"/>
        <v>0</v>
      </c>
      <c r="J1906" s="21"/>
      <c r="K1906" s="24"/>
    </row>
    <row r="1907" spans="1:11" ht="30" customHeight="1" x14ac:dyDescent="0.25">
      <c r="A1907" s="21" t="s">
        <v>1966</v>
      </c>
      <c r="B1907" s="26" t="s">
        <v>2548</v>
      </c>
      <c r="C1907" s="3" t="s">
        <v>2549</v>
      </c>
      <c r="D1907" s="21" t="s">
        <v>2550</v>
      </c>
      <c r="E1907" s="21" t="s">
        <v>2529</v>
      </c>
      <c r="F1907" s="3" t="s">
        <v>78</v>
      </c>
      <c r="G1907" s="3">
        <v>1</v>
      </c>
      <c r="H1907" s="23"/>
      <c r="I1907" s="124">
        <f t="shared" si="73"/>
        <v>0</v>
      </c>
      <c r="J1907" s="21"/>
      <c r="K1907" s="24"/>
    </row>
    <row r="1908" spans="1:11" ht="30" customHeight="1" x14ac:dyDescent="0.25">
      <c r="A1908" s="21" t="s">
        <v>1970</v>
      </c>
      <c r="B1908" s="26" t="s">
        <v>2714</v>
      </c>
      <c r="C1908" s="3" t="s">
        <v>2553</v>
      </c>
      <c r="D1908" s="21" t="s">
        <v>2554</v>
      </c>
      <c r="E1908" s="21" t="s">
        <v>2529</v>
      </c>
      <c r="F1908" s="3" t="s">
        <v>47</v>
      </c>
      <c r="G1908" s="3">
        <v>1</v>
      </c>
      <c r="H1908" s="23"/>
      <c r="I1908" s="124">
        <f t="shared" si="73"/>
        <v>0</v>
      </c>
      <c r="J1908" s="21"/>
      <c r="K1908" s="24"/>
    </row>
    <row r="1909" spans="1:11" ht="15.75" customHeight="1" x14ac:dyDescent="0.25">
      <c r="A1909" s="21" t="s">
        <v>1974</v>
      </c>
      <c r="B1909" s="26" t="s">
        <v>2584</v>
      </c>
      <c r="C1909" s="3" t="s">
        <v>2585</v>
      </c>
      <c r="D1909" s="21"/>
      <c r="E1909" s="21" t="s">
        <v>2586</v>
      </c>
      <c r="F1909" s="3" t="s">
        <v>78</v>
      </c>
      <c r="G1909" s="3">
        <v>1</v>
      </c>
      <c r="H1909" s="23"/>
      <c r="I1909" s="124">
        <f t="shared" si="73"/>
        <v>0</v>
      </c>
      <c r="J1909" s="21"/>
      <c r="K1909" s="24"/>
    </row>
    <row r="1910" spans="1:11" ht="15.75" customHeight="1" x14ac:dyDescent="0.25">
      <c r="A1910" s="21" t="s">
        <v>1978</v>
      </c>
      <c r="B1910" s="26" t="s">
        <v>2588</v>
      </c>
      <c r="C1910" s="3" t="s">
        <v>2589</v>
      </c>
      <c r="D1910" s="21"/>
      <c r="E1910" s="21" t="s">
        <v>2586</v>
      </c>
      <c r="F1910" s="3" t="s">
        <v>78</v>
      </c>
      <c r="G1910" s="3">
        <v>1</v>
      </c>
      <c r="H1910" s="23"/>
      <c r="I1910" s="124">
        <f t="shared" si="73"/>
        <v>0</v>
      </c>
      <c r="J1910" s="21"/>
      <c r="K1910" s="24"/>
    </row>
    <row r="1911" spans="1:11" ht="30" customHeight="1" x14ac:dyDescent="0.25">
      <c r="A1911" s="21" t="s">
        <v>2551</v>
      </c>
      <c r="B1911" s="26" t="s">
        <v>3451</v>
      </c>
      <c r="C1911" s="3" t="s">
        <v>3452</v>
      </c>
      <c r="D1911" s="21"/>
      <c r="E1911" s="21" t="s">
        <v>2593</v>
      </c>
      <c r="F1911" s="3" t="s">
        <v>78</v>
      </c>
      <c r="G1911" s="3">
        <v>2</v>
      </c>
      <c r="H1911" s="23"/>
      <c r="I1911" s="124">
        <f t="shared" si="73"/>
        <v>0</v>
      </c>
      <c r="J1911" s="21"/>
      <c r="K1911" s="24"/>
    </row>
    <row r="1912" spans="1:11" ht="45" customHeight="1" x14ac:dyDescent="0.25">
      <c r="A1912" s="21" t="s">
        <v>2555</v>
      </c>
      <c r="B1912" s="26" t="s">
        <v>3453</v>
      </c>
      <c r="C1912" s="3" t="s">
        <v>2722</v>
      </c>
      <c r="D1912" s="21" t="s">
        <v>2582</v>
      </c>
      <c r="E1912" s="21" t="s">
        <v>2529</v>
      </c>
      <c r="F1912" s="3" t="s">
        <v>78</v>
      </c>
      <c r="G1912" s="3">
        <v>2</v>
      </c>
      <c r="H1912" s="23"/>
      <c r="I1912" s="124">
        <f t="shared" si="73"/>
        <v>0</v>
      </c>
      <c r="J1912" s="21"/>
      <c r="K1912" s="24"/>
    </row>
    <row r="1913" spans="1:11" ht="30" customHeight="1" x14ac:dyDescent="0.25">
      <c r="A1913" s="21" t="s">
        <v>2559</v>
      </c>
      <c r="B1913" s="26" t="s">
        <v>3454</v>
      </c>
      <c r="C1913" s="3" t="s">
        <v>2573</v>
      </c>
      <c r="D1913" s="21" t="s">
        <v>2574</v>
      </c>
      <c r="E1913" s="21" t="s">
        <v>2529</v>
      </c>
      <c r="F1913" s="3" t="s">
        <v>78</v>
      </c>
      <c r="G1913" s="3">
        <v>2</v>
      </c>
      <c r="H1913" s="23"/>
      <c r="I1913" s="124">
        <f t="shared" si="73"/>
        <v>0</v>
      </c>
      <c r="J1913" s="21"/>
      <c r="K1913" s="24"/>
    </row>
    <row r="1914" spans="1:11" ht="30" customHeight="1" x14ac:dyDescent="0.25">
      <c r="A1914" s="21" t="s">
        <v>2563</v>
      </c>
      <c r="B1914" s="26" t="s">
        <v>2576</v>
      </c>
      <c r="C1914" s="3" t="s">
        <v>2577</v>
      </c>
      <c r="D1914" s="21" t="s">
        <v>2578</v>
      </c>
      <c r="E1914" s="21" t="s">
        <v>2529</v>
      </c>
      <c r="F1914" s="3" t="s">
        <v>78</v>
      </c>
      <c r="G1914" s="3">
        <v>5</v>
      </c>
      <c r="H1914" s="23"/>
      <c r="I1914" s="124">
        <f t="shared" si="73"/>
        <v>0</v>
      </c>
      <c r="J1914" s="21"/>
      <c r="K1914" s="24"/>
    </row>
    <row r="1915" spans="1:11" ht="30" customHeight="1" x14ac:dyDescent="0.25">
      <c r="A1915" s="21" t="s">
        <v>2567</v>
      </c>
      <c r="B1915" s="26" t="s">
        <v>3455</v>
      </c>
      <c r="C1915" s="3" t="s">
        <v>3456</v>
      </c>
      <c r="D1915" s="21" t="s">
        <v>3457</v>
      </c>
      <c r="E1915" s="21" t="s">
        <v>2529</v>
      </c>
      <c r="F1915" s="3" t="s">
        <v>78</v>
      </c>
      <c r="G1915" s="3">
        <v>1</v>
      </c>
      <c r="H1915" s="23"/>
      <c r="I1915" s="124">
        <f t="shared" si="73"/>
        <v>0</v>
      </c>
      <c r="J1915" s="21"/>
      <c r="K1915" s="24"/>
    </row>
    <row r="1916" spans="1:11" ht="71.25" customHeight="1" x14ac:dyDescent="0.25">
      <c r="A1916" s="21" t="s">
        <v>2571</v>
      </c>
      <c r="B1916" s="43" t="s">
        <v>2618</v>
      </c>
      <c r="C1916" s="3" t="s">
        <v>2619</v>
      </c>
      <c r="D1916" s="21"/>
      <c r="E1916" s="21" t="s">
        <v>2620</v>
      </c>
      <c r="F1916" s="3" t="s">
        <v>78</v>
      </c>
      <c r="G1916" s="3">
        <v>1</v>
      </c>
      <c r="H1916" s="23">
        <f>339436+33159+33159</f>
        <v>405754</v>
      </c>
      <c r="I1916" s="124">
        <f t="shared" si="73"/>
        <v>405754</v>
      </c>
      <c r="J1916" s="21"/>
      <c r="K1916" s="24"/>
    </row>
    <row r="1917" spans="1:11" ht="57" customHeight="1" x14ac:dyDescent="0.25">
      <c r="A1917" s="21" t="s">
        <v>2575</v>
      </c>
      <c r="B1917" s="26" t="s">
        <v>2622</v>
      </c>
      <c r="C1917" s="3" t="s">
        <v>2623</v>
      </c>
      <c r="D1917" s="21"/>
      <c r="E1917" s="21" t="s">
        <v>2620</v>
      </c>
      <c r="F1917" s="3" t="s">
        <v>78</v>
      </c>
      <c r="G1917" s="3">
        <v>1</v>
      </c>
      <c r="H1917" s="23">
        <f>84859+42430</f>
        <v>127289</v>
      </c>
      <c r="I1917" s="124">
        <f t="shared" si="73"/>
        <v>127289</v>
      </c>
      <c r="J1917" s="21"/>
      <c r="K1917" s="24"/>
    </row>
    <row r="1918" spans="1:11" ht="57" customHeight="1" x14ac:dyDescent="0.25">
      <c r="A1918" s="21" t="s">
        <v>2579</v>
      </c>
      <c r="B1918" s="26" t="s">
        <v>2625</v>
      </c>
      <c r="C1918" s="3" t="s">
        <v>2626</v>
      </c>
      <c r="D1918" s="21"/>
      <c r="E1918" s="21" t="s">
        <v>2620</v>
      </c>
      <c r="F1918" s="3" t="s">
        <v>78</v>
      </c>
      <c r="G1918" s="3">
        <v>1</v>
      </c>
      <c r="H1918" s="23">
        <v>254577</v>
      </c>
      <c r="I1918" s="124">
        <f t="shared" si="73"/>
        <v>254577</v>
      </c>
      <c r="J1918" s="21"/>
      <c r="K1918" s="24"/>
    </row>
    <row r="1919" spans="1:11" ht="42.75" customHeight="1" x14ac:dyDescent="0.25">
      <c r="A1919" s="21" t="s">
        <v>2583</v>
      </c>
      <c r="B1919" s="26" t="s">
        <v>3458</v>
      </c>
      <c r="C1919" s="3" t="s">
        <v>2629</v>
      </c>
      <c r="D1919" s="21"/>
      <c r="E1919" s="21" t="s">
        <v>2620</v>
      </c>
      <c r="F1919" s="3" t="s">
        <v>78</v>
      </c>
      <c r="G1919" s="3">
        <v>1</v>
      </c>
      <c r="H1919" s="23">
        <v>33944</v>
      </c>
      <c r="I1919" s="124">
        <f t="shared" si="73"/>
        <v>33944</v>
      </c>
      <c r="J1919" s="21"/>
      <c r="K1919" s="24"/>
    </row>
    <row r="1920" spans="1:11" ht="54" customHeight="1" x14ac:dyDescent="0.25">
      <c r="A1920" s="21" t="s">
        <v>2587</v>
      </c>
      <c r="B1920" s="26" t="s">
        <v>3459</v>
      </c>
      <c r="C1920" s="3" t="s">
        <v>3460</v>
      </c>
      <c r="D1920" s="21"/>
      <c r="E1920" s="21" t="s">
        <v>2620</v>
      </c>
      <c r="F1920" s="3" t="s">
        <v>78</v>
      </c>
      <c r="G1920" s="3">
        <v>2</v>
      </c>
      <c r="H1920" s="23">
        <f>574775+83690+83690</f>
        <v>742155</v>
      </c>
      <c r="I1920" s="124">
        <f t="shared" si="73"/>
        <v>1484310</v>
      </c>
      <c r="J1920" s="21"/>
      <c r="K1920" s="24"/>
    </row>
    <row r="1921" spans="1:11" ht="41.25" customHeight="1" x14ac:dyDescent="0.25">
      <c r="A1921" s="21" t="s">
        <v>2590</v>
      </c>
      <c r="B1921" s="26" t="s">
        <v>2634</v>
      </c>
      <c r="C1921" s="3" t="s">
        <v>2635</v>
      </c>
      <c r="D1921" s="21"/>
      <c r="E1921" s="21" t="s">
        <v>2620</v>
      </c>
      <c r="F1921" s="3" t="s">
        <v>78</v>
      </c>
      <c r="G1921" s="3">
        <v>2</v>
      </c>
      <c r="H1921" s="23">
        <f>143694+71847</f>
        <v>215541</v>
      </c>
      <c r="I1921" s="124">
        <f t="shared" si="73"/>
        <v>431082</v>
      </c>
      <c r="J1921" s="21"/>
      <c r="K1921" s="24"/>
    </row>
    <row r="1922" spans="1:11" ht="54" customHeight="1" x14ac:dyDescent="0.25">
      <c r="A1922" s="21" t="s">
        <v>2594</v>
      </c>
      <c r="B1922" s="26" t="s">
        <v>2625</v>
      </c>
      <c r="C1922" s="3" t="s">
        <v>2626</v>
      </c>
      <c r="D1922" s="21"/>
      <c r="E1922" s="21" t="s">
        <v>2620</v>
      </c>
      <c r="F1922" s="3" t="s">
        <v>78</v>
      </c>
      <c r="G1922" s="3">
        <v>2</v>
      </c>
      <c r="H1922" s="23">
        <v>431081</v>
      </c>
      <c r="I1922" s="124">
        <f t="shared" si="73"/>
        <v>862162</v>
      </c>
      <c r="J1922" s="21"/>
      <c r="K1922" s="24"/>
    </row>
    <row r="1923" spans="1:11" ht="41.25" customHeight="1" x14ac:dyDescent="0.25">
      <c r="A1923" s="21" t="s">
        <v>2597</v>
      </c>
      <c r="B1923" s="26" t="s">
        <v>2638</v>
      </c>
      <c r="C1923" s="3" t="s">
        <v>2639</v>
      </c>
      <c r="D1923" s="21"/>
      <c r="E1923" s="21" t="s">
        <v>2620</v>
      </c>
      <c r="F1923" s="3" t="s">
        <v>78</v>
      </c>
      <c r="G1923" s="3">
        <v>2</v>
      </c>
      <c r="H1923" s="23">
        <v>57477</v>
      </c>
      <c r="I1923" s="124">
        <f t="shared" si="73"/>
        <v>114954</v>
      </c>
      <c r="J1923" s="21"/>
      <c r="K1923" s="24"/>
    </row>
    <row r="1924" spans="1:11" ht="15.75" customHeight="1" x14ac:dyDescent="0.25">
      <c r="A1924" s="21" t="s">
        <v>2602</v>
      </c>
      <c r="B1924" s="26" t="s">
        <v>3461</v>
      </c>
      <c r="C1924" s="3" t="s">
        <v>3462</v>
      </c>
      <c r="D1924" s="21"/>
      <c r="E1924" s="21" t="s">
        <v>3463</v>
      </c>
      <c r="F1924" s="3" t="s">
        <v>78</v>
      </c>
      <c r="G1924" s="3">
        <v>1</v>
      </c>
      <c r="H1924" s="23"/>
      <c r="I1924" s="124">
        <f t="shared" si="73"/>
        <v>0</v>
      </c>
      <c r="J1924" s="21"/>
      <c r="K1924" s="24" t="s">
        <v>3464</v>
      </c>
    </row>
    <row r="1925" spans="1:11" ht="15.75" customHeight="1" x14ac:dyDescent="0.25">
      <c r="A1925" s="21" t="s">
        <v>2606</v>
      </c>
      <c r="B1925" s="26" t="s">
        <v>3465</v>
      </c>
      <c r="C1925" s="3" t="s">
        <v>3466</v>
      </c>
      <c r="D1925" s="21"/>
      <c r="E1925" s="21" t="s">
        <v>3463</v>
      </c>
      <c r="F1925" s="3" t="s">
        <v>78</v>
      </c>
      <c r="G1925" s="3">
        <v>1</v>
      </c>
      <c r="H1925" s="23"/>
      <c r="I1925" s="124">
        <f t="shared" si="73"/>
        <v>0</v>
      </c>
      <c r="J1925" s="21"/>
      <c r="K1925" s="24" t="s">
        <v>3467</v>
      </c>
    </row>
    <row r="1926" spans="1:11" ht="15.75" customHeight="1" x14ac:dyDescent="0.25">
      <c r="A1926" s="21" t="s">
        <v>2609</v>
      </c>
      <c r="B1926" s="26" t="s">
        <v>3468</v>
      </c>
      <c r="C1926" s="3" t="s">
        <v>3469</v>
      </c>
      <c r="D1926" s="21"/>
      <c r="E1926" s="21" t="s">
        <v>3463</v>
      </c>
      <c r="F1926" s="3" t="s">
        <v>78</v>
      </c>
      <c r="G1926" s="3">
        <v>10</v>
      </c>
      <c r="H1926" s="23"/>
      <c r="I1926" s="124">
        <f t="shared" si="73"/>
        <v>0</v>
      </c>
      <c r="J1926" s="21"/>
      <c r="K1926" s="24"/>
    </row>
    <row r="1927" spans="1:11" ht="15.75" customHeight="1" x14ac:dyDescent="0.25">
      <c r="A1927" s="21" t="s">
        <v>2613</v>
      </c>
      <c r="B1927" s="26" t="s">
        <v>3470</v>
      </c>
      <c r="C1927" s="3"/>
      <c r="D1927" s="21"/>
      <c r="E1927" s="21" t="s">
        <v>3463</v>
      </c>
      <c r="F1927" s="3" t="s">
        <v>78</v>
      </c>
      <c r="G1927" s="3">
        <v>2</v>
      </c>
      <c r="H1927" s="23"/>
      <c r="I1927" s="124">
        <f t="shared" si="73"/>
        <v>0</v>
      </c>
      <c r="J1927" s="21"/>
      <c r="K1927" s="24"/>
    </row>
    <row r="1928" spans="1:11" ht="28.5" customHeight="1" x14ac:dyDescent="0.25">
      <c r="A1928" s="21" t="s">
        <v>2617</v>
      </c>
      <c r="B1928" s="26" t="s">
        <v>3471</v>
      </c>
      <c r="C1928" s="3" t="s">
        <v>3472</v>
      </c>
      <c r="D1928" s="21"/>
      <c r="E1928" s="21" t="s">
        <v>3473</v>
      </c>
      <c r="F1928" s="3" t="s">
        <v>78</v>
      </c>
      <c r="G1928" s="3">
        <v>1</v>
      </c>
      <c r="H1928" s="23"/>
      <c r="I1928" s="124">
        <f t="shared" si="73"/>
        <v>0</v>
      </c>
      <c r="J1928" s="21"/>
      <c r="K1928" s="24"/>
    </row>
    <row r="1929" spans="1:11" ht="15.75" customHeight="1" x14ac:dyDescent="0.25">
      <c r="A1929" s="21" t="s">
        <v>2621</v>
      </c>
      <c r="B1929" s="26" t="s">
        <v>3474</v>
      </c>
      <c r="C1929" s="3" t="s">
        <v>3475</v>
      </c>
      <c r="D1929" s="21"/>
      <c r="E1929" s="21" t="s">
        <v>3473</v>
      </c>
      <c r="F1929" s="3" t="s">
        <v>78</v>
      </c>
      <c r="G1929" s="3">
        <v>3</v>
      </c>
      <c r="H1929" s="23">
        <v>1505</v>
      </c>
      <c r="I1929" s="124">
        <f t="shared" si="73"/>
        <v>4515</v>
      </c>
      <c r="J1929" s="21"/>
      <c r="K1929" s="24"/>
    </row>
    <row r="1930" spans="1:11" ht="15.75" customHeight="1" x14ac:dyDescent="0.25">
      <c r="A1930" s="21" t="s">
        <v>2624</v>
      </c>
      <c r="B1930" s="26" t="s">
        <v>3476</v>
      </c>
      <c r="C1930" s="3" t="s">
        <v>3477</v>
      </c>
      <c r="D1930" s="21"/>
      <c r="E1930" s="21" t="s">
        <v>3473</v>
      </c>
      <c r="F1930" s="3" t="s">
        <v>78</v>
      </c>
      <c r="G1930" s="3">
        <v>2</v>
      </c>
      <c r="H1930" s="23"/>
      <c r="I1930" s="124">
        <f t="shared" si="73"/>
        <v>0</v>
      </c>
      <c r="J1930" s="21"/>
      <c r="K1930" s="24"/>
    </row>
    <row r="1931" spans="1:11" ht="15.75" customHeight="1" x14ac:dyDescent="0.25">
      <c r="A1931" s="42" t="s">
        <v>2627</v>
      </c>
      <c r="B1931" s="20" t="s">
        <v>2700</v>
      </c>
      <c r="C1931" s="22"/>
      <c r="D1931" s="21"/>
      <c r="E1931" s="21"/>
      <c r="F1931" s="22"/>
      <c r="G1931" s="21"/>
      <c r="H1931" s="23"/>
      <c r="I1931" s="124"/>
      <c r="J1931" s="21"/>
      <c r="K1931" s="24"/>
    </row>
    <row r="1932" spans="1:11" ht="28.5" customHeight="1" x14ac:dyDescent="0.25">
      <c r="A1932" s="21" t="s">
        <v>2630</v>
      </c>
      <c r="B1932" s="26" t="s">
        <v>3454</v>
      </c>
      <c r="C1932" s="3" t="s">
        <v>2573</v>
      </c>
      <c r="D1932" s="21" t="s">
        <v>2574</v>
      </c>
      <c r="E1932" s="21" t="s">
        <v>2529</v>
      </c>
      <c r="F1932" s="3" t="s">
        <v>78</v>
      </c>
      <c r="G1932" s="3">
        <v>1</v>
      </c>
      <c r="H1932" s="23">
        <v>5842.48</v>
      </c>
      <c r="I1932" s="124">
        <f t="shared" ref="I1932:I1972" si="74">H1932*G1932</f>
        <v>5842.48</v>
      </c>
      <c r="J1932" s="21"/>
      <c r="K1932" s="24"/>
    </row>
    <row r="1933" spans="1:11" ht="28.5" customHeight="1" x14ac:dyDescent="0.25">
      <c r="A1933" s="21" t="s">
        <v>2633</v>
      </c>
      <c r="B1933" s="26" t="s">
        <v>2576</v>
      </c>
      <c r="C1933" s="3" t="s">
        <v>2577</v>
      </c>
      <c r="D1933" s="21" t="s">
        <v>2578</v>
      </c>
      <c r="E1933" s="21" t="s">
        <v>2529</v>
      </c>
      <c r="F1933" s="3" t="s">
        <v>78</v>
      </c>
      <c r="G1933" s="3">
        <v>2</v>
      </c>
      <c r="H1933" s="23">
        <v>723.85</v>
      </c>
      <c r="I1933" s="124">
        <f t="shared" si="74"/>
        <v>1447.7</v>
      </c>
      <c r="J1933" s="21"/>
      <c r="K1933" s="24"/>
    </row>
    <row r="1934" spans="1:11" ht="54" customHeight="1" x14ac:dyDescent="0.25">
      <c r="A1934" s="21" t="s">
        <v>2636</v>
      </c>
      <c r="B1934" s="26" t="s">
        <v>3459</v>
      </c>
      <c r="C1934" s="3" t="s">
        <v>3460</v>
      </c>
      <c r="D1934" s="21"/>
      <c r="E1934" s="21" t="s">
        <v>2620</v>
      </c>
      <c r="F1934" s="3" t="s">
        <v>78</v>
      </c>
      <c r="G1934" s="3">
        <v>1</v>
      </c>
      <c r="H1934" s="23">
        <f>574775+83690+83690</f>
        <v>742155</v>
      </c>
      <c r="I1934" s="124">
        <f t="shared" si="74"/>
        <v>742155</v>
      </c>
      <c r="J1934" s="21"/>
      <c r="K1934" s="24"/>
    </row>
    <row r="1935" spans="1:11" ht="41.25" customHeight="1" x14ac:dyDescent="0.25">
      <c r="A1935" s="21" t="s">
        <v>2637</v>
      </c>
      <c r="B1935" s="26" t="s">
        <v>2634</v>
      </c>
      <c r="C1935" s="3" t="s">
        <v>2635</v>
      </c>
      <c r="D1935" s="21"/>
      <c r="E1935" s="21" t="s">
        <v>2620</v>
      </c>
      <c r="F1935" s="3" t="s">
        <v>78</v>
      </c>
      <c r="G1935" s="3">
        <v>1</v>
      </c>
      <c r="H1935" s="23">
        <f>143694+71847</f>
        <v>215541</v>
      </c>
      <c r="I1935" s="124">
        <f t="shared" si="74"/>
        <v>215541</v>
      </c>
      <c r="J1935" s="21"/>
      <c r="K1935" s="24"/>
    </row>
    <row r="1936" spans="1:11" ht="54" customHeight="1" x14ac:dyDescent="0.25">
      <c r="A1936" s="21" t="s">
        <v>2640</v>
      </c>
      <c r="B1936" s="26" t="s">
        <v>2625</v>
      </c>
      <c r="C1936" s="3" t="s">
        <v>2626</v>
      </c>
      <c r="D1936" s="21"/>
      <c r="E1936" s="21" t="s">
        <v>2620</v>
      </c>
      <c r="F1936" s="3" t="s">
        <v>78</v>
      </c>
      <c r="G1936" s="3">
        <v>1</v>
      </c>
      <c r="H1936" s="23">
        <v>431081</v>
      </c>
      <c r="I1936" s="124">
        <f t="shared" si="74"/>
        <v>431081</v>
      </c>
      <c r="J1936" s="21"/>
      <c r="K1936" s="24"/>
    </row>
    <row r="1937" spans="1:11" ht="41.25" customHeight="1" x14ac:dyDescent="0.25">
      <c r="A1937" s="21" t="s">
        <v>2643</v>
      </c>
      <c r="B1937" s="26" t="s">
        <v>2638</v>
      </c>
      <c r="C1937" s="3" t="s">
        <v>2639</v>
      </c>
      <c r="D1937" s="21"/>
      <c r="E1937" s="21" t="s">
        <v>2620</v>
      </c>
      <c r="F1937" s="3" t="s">
        <v>78</v>
      </c>
      <c r="G1937" s="3">
        <v>1</v>
      </c>
      <c r="H1937" s="23">
        <v>57477</v>
      </c>
      <c r="I1937" s="124">
        <f t="shared" si="74"/>
        <v>57477</v>
      </c>
      <c r="J1937" s="21"/>
      <c r="K1937" s="24"/>
    </row>
    <row r="1938" spans="1:11" ht="42.75" customHeight="1" x14ac:dyDescent="0.25">
      <c r="A1938" s="21" t="s">
        <v>2644</v>
      </c>
      <c r="B1938" s="26" t="s">
        <v>3453</v>
      </c>
      <c r="C1938" s="3" t="s">
        <v>2722</v>
      </c>
      <c r="D1938" s="21" t="s">
        <v>2582</v>
      </c>
      <c r="E1938" s="21" t="s">
        <v>2529</v>
      </c>
      <c r="F1938" s="3" t="s">
        <v>78</v>
      </c>
      <c r="G1938" s="3">
        <v>1</v>
      </c>
      <c r="H1938" s="23">
        <v>2839.29</v>
      </c>
      <c r="I1938" s="124">
        <f t="shared" si="74"/>
        <v>2839.29</v>
      </c>
      <c r="J1938" s="21"/>
      <c r="K1938" s="24"/>
    </row>
    <row r="1939" spans="1:11" ht="15.75" customHeight="1" x14ac:dyDescent="0.25">
      <c r="A1939" s="21" t="s">
        <v>2645</v>
      </c>
      <c r="B1939" s="26" t="s">
        <v>2766</v>
      </c>
      <c r="C1939" s="3"/>
      <c r="D1939" s="21"/>
      <c r="E1939" s="21"/>
      <c r="F1939" s="3" t="s">
        <v>47</v>
      </c>
      <c r="G1939" s="3">
        <v>1</v>
      </c>
      <c r="H1939" s="23"/>
      <c r="I1939" s="124">
        <f t="shared" si="74"/>
        <v>0</v>
      </c>
      <c r="J1939" s="21"/>
      <c r="K1939" s="24"/>
    </row>
    <row r="1940" spans="1:11" ht="41.25" customHeight="1" x14ac:dyDescent="0.25">
      <c r="A1940" s="21" t="s">
        <v>2646</v>
      </c>
      <c r="B1940" s="26" t="s">
        <v>3478</v>
      </c>
      <c r="C1940" s="3" t="s">
        <v>3479</v>
      </c>
      <c r="D1940" s="21" t="s">
        <v>3480</v>
      </c>
      <c r="E1940" s="21" t="s">
        <v>2529</v>
      </c>
      <c r="F1940" s="3" t="s">
        <v>78</v>
      </c>
      <c r="G1940" s="3">
        <v>1</v>
      </c>
      <c r="H1940" s="23">
        <v>18922.330000000002</v>
      </c>
      <c r="I1940" s="124">
        <f t="shared" si="74"/>
        <v>18922.330000000002</v>
      </c>
      <c r="J1940" s="21"/>
      <c r="K1940" s="24"/>
    </row>
    <row r="1941" spans="1:11" ht="28.5" customHeight="1" x14ac:dyDescent="0.25">
      <c r="A1941" s="21" t="s">
        <v>2649</v>
      </c>
      <c r="B1941" s="26" t="s">
        <v>2530</v>
      </c>
      <c r="C1941" s="3" t="s">
        <v>2531</v>
      </c>
      <c r="D1941" s="21" t="s">
        <v>2532</v>
      </c>
      <c r="E1941" s="21" t="s">
        <v>2529</v>
      </c>
      <c r="F1941" s="3" t="s">
        <v>78</v>
      </c>
      <c r="G1941" s="3">
        <v>1</v>
      </c>
      <c r="H1941" s="23">
        <v>12241.6</v>
      </c>
      <c r="I1941" s="124">
        <f t="shared" si="74"/>
        <v>12241.6</v>
      </c>
      <c r="J1941" s="21"/>
      <c r="K1941" s="24"/>
    </row>
    <row r="1942" spans="1:11" ht="15.75" customHeight="1" x14ac:dyDescent="0.25">
      <c r="A1942" s="21" t="s">
        <v>2652</v>
      </c>
      <c r="B1942" s="26" t="s">
        <v>2539</v>
      </c>
      <c r="C1942" s="3" t="s">
        <v>2540</v>
      </c>
      <c r="D1942" s="21" t="s">
        <v>2541</v>
      </c>
      <c r="E1942" s="21" t="s">
        <v>2529</v>
      </c>
      <c r="F1942" s="3" t="s">
        <v>78</v>
      </c>
      <c r="G1942" s="3">
        <v>4</v>
      </c>
      <c r="H1942" s="23">
        <v>322.32</v>
      </c>
      <c r="I1942" s="124">
        <f t="shared" si="74"/>
        <v>1289.28</v>
      </c>
      <c r="J1942" s="21"/>
      <c r="K1942" s="24"/>
    </row>
    <row r="1943" spans="1:11" ht="28.5" customHeight="1" x14ac:dyDescent="0.25">
      <c r="A1943" s="21" t="s">
        <v>2655</v>
      </c>
      <c r="B1943" s="26" t="s">
        <v>2548</v>
      </c>
      <c r="C1943" s="3" t="s">
        <v>2549</v>
      </c>
      <c r="D1943" s="21" t="s">
        <v>2550</v>
      </c>
      <c r="E1943" s="21" t="s">
        <v>2529</v>
      </c>
      <c r="F1943" s="3" t="s">
        <v>78</v>
      </c>
      <c r="G1943" s="3">
        <v>1</v>
      </c>
      <c r="H1943" s="23">
        <v>2795.28</v>
      </c>
      <c r="I1943" s="124">
        <f t="shared" si="74"/>
        <v>2795.28</v>
      </c>
      <c r="J1943" s="21"/>
      <c r="K1943" s="24"/>
    </row>
    <row r="1944" spans="1:11" ht="28.5" customHeight="1" x14ac:dyDescent="0.25">
      <c r="A1944" s="21" t="s">
        <v>2658</v>
      </c>
      <c r="B1944" s="26" t="s">
        <v>2714</v>
      </c>
      <c r="C1944" s="3" t="s">
        <v>2553</v>
      </c>
      <c r="D1944" s="21" t="s">
        <v>2554</v>
      </c>
      <c r="E1944" s="21" t="s">
        <v>2529</v>
      </c>
      <c r="F1944" s="3" t="s">
        <v>47</v>
      </c>
      <c r="G1944" s="3">
        <v>1</v>
      </c>
      <c r="H1944" s="23">
        <v>1065.97</v>
      </c>
      <c r="I1944" s="124">
        <f t="shared" si="74"/>
        <v>1065.97</v>
      </c>
      <c r="J1944" s="21"/>
      <c r="K1944" s="24"/>
    </row>
    <row r="1945" spans="1:11" ht="15.75" customHeight="1" x14ac:dyDescent="0.25">
      <c r="A1945" s="21" t="s">
        <v>2660</v>
      </c>
      <c r="B1945" s="26" t="s">
        <v>2584</v>
      </c>
      <c r="C1945" s="3" t="s">
        <v>2585</v>
      </c>
      <c r="D1945" s="21"/>
      <c r="E1945" s="21" t="s">
        <v>2586</v>
      </c>
      <c r="F1945" s="3" t="s">
        <v>78</v>
      </c>
      <c r="G1945" s="3">
        <v>1</v>
      </c>
      <c r="H1945" s="23"/>
      <c r="I1945" s="124">
        <f t="shared" si="74"/>
        <v>0</v>
      </c>
      <c r="J1945" s="21"/>
      <c r="K1945" s="24"/>
    </row>
    <row r="1946" spans="1:11" ht="15.75" customHeight="1" x14ac:dyDescent="0.25">
      <c r="A1946" s="21" t="s">
        <v>2664</v>
      </c>
      <c r="B1946" s="26" t="s">
        <v>2588</v>
      </c>
      <c r="C1946" s="3" t="s">
        <v>2589</v>
      </c>
      <c r="D1946" s="21"/>
      <c r="E1946" s="21" t="s">
        <v>2586</v>
      </c>
      <c r="F1946" s="3" t="s">
        <v>78</v>
      </c>
      <c r="G1946" s="3">
        <v>1</v>
      </c>
      <c r="H1946" s="23"/>
      <c r="I1946" s="124">
        <f t="shared" si="74"/>
        <v>0</v>
      </c>
      <c r="J1946" s="21"/>
      <c r="K1946" s="24"/>
    </row>
    <row r="1947" spans="1:11" ht="15.75" customHeight="1" x14ac:dyDescent="0.25">
      <c r="A1947" s="21" t="s">
        <v>2667</v>
      </c>
      <c r="B1947" s="26" t="s">
        <v>3481</v>
      </c>
      <c r="C1947" s="3" t="s">
        <v>3482</v>
      </c>
      <c r="D1947" s="21"/>
      <c r="E1947" s="21" t="s">
        <v>2593</v>
      </c>
      <c r="F1947" s="3" t="s">
        <v>78</v>
      </c>
      <c r="G1947" s="3">
        <v>1</v>
      </c>
      <c r="H1947" s="23"/>
      <c r="I1947" s="124">
        <f t="shared" si="74"/>
        <v>0</v>
      </c>
      <c r="J1947" s="21"/>
      <c r="K1947" s="24"/>
    </row>
    <row r="1948" spans="1:11" ht="42.75" customHeight="1" x14ac:dyDescent="0.25">
      <c r="A1948" s="21" t="s">
        <v>2670</v>
      </c>
      <c r="B1948" s="26" t="s">
        <v>3453</v>
      </c>
      <c r="C1948" s="3" t="s">
        <v>2722</v>
      </c>
      <c r="D1948" s="21" t="s">
        <v>2582</v>
      </c>
      <c r="E1948" s="21" t="s">
        <v>2529</v>
      </c>
      <c r="F1948" s="3" t="s">
        <v>78</v>
      </c>
      <c r="G1948" s="3">
        <v>1</v>
      </c>
      <c r="H1948" s="23">
        <v>2839.29</v>
      </c>
      <c r="I1948" s="124">
        <f t="shared" si="74"/>
        <v>2839.29</v>
      </c>
      <c r="J1948" s="21"/>
      <c r="K1948" s="24"/>
    </row>
    <row r="1949" spans="1:11" ht="28.5" customHeight="1" x14ac:dyDescent="0.25">
      <c r="A1949" s="21" t="s">
        <v>2673</v>
      </c>
      <c r="B1949" s="26" t="s">
        <v>3483</v>
      </c>
      <c r="C1949" s="3" t="s">
        <v>2569</v>
      </c>
      <c r="D1949" s="21" t="s">
        <v>2570</v>
      </c>
      <c r="E1949" s="21" t="s">
        <v>2529</v>
      </c>
      <c r="F1949" s="3" t="s">
        <v>78</v>
      </c>
      <c r="G1949" s="3">
        <v>1</v>
      </c>
      <c r="H1949" s="23">
        <v>2371.75</v>
      </c>
      <c r="I1949" s="124">
        <f t="shared" si="74"/>
        <v>2371.75</v>
      </c>
      <c r="J1949" s="21"/>
      <c r="K1949" s="24"/>
    </row>
    <row r="1950" spans="1:11" ht="28.5" customHeight="1" x14ac:dyDescent="0.25">
      <c r="A1950" s="21" t="s">
        <v>2676</v>
      </c>
      <c r="B1950" s="26" t="s">
        <v>2576</v>
      </c>
      <c r="C1950" s="3" t="s">
        <v>2577</v>
      </c>
      <c r="D1950" s="21" t="s">
        <v>2578</v>
      </c>
      <c r="E1950" s="21" t="s">
        <v>2529</v>
      </c>
      <c r="F1950" s="3" t="s">
        <v>78</v>
      </c>
      <c r="G1950" s="3">
        <v>2</v>
      </c>
      <c r="H1950" s="23">
        <v>723.85</v>
      </c>
      <c r="I1950" s="124">
        <f t="shared" si="74"/>
        <v>1447.7</v>
      </c>
      <c r="J1950" s="21"/>
      <c r="K1950" s="24"/>
    </row>
    <row r="1951" spans="1:11" ht="28.5" customHeight="1" x14ac:dyDescent="0.25">
      <c r="A1951" s="21" t="s">
        <v>2678</v>
      </c>
      <c r="B1951" s="26" t="s">
        <v>3484</v>
      </c>
      <c r="C1951" s="3" t="s">
        <v>3485</v>
      </c>
      <c r="D1951" s="21"/>
      <c r="E1951" s="21" t="s">
        <v>2620</v>
      </c>
      <c r="F1951" s="3" t="s">
        <v>78</v>
      </c>
      <c r="G1951" s="3">
        <v>1</v>
      </c>
      <c r="H1951" s="23">
        <v>225162</v>
      </c>
      <c r="I1951" s="124">
        <f t="shared" si="74"/>
        <v>225162</v>
      </c>
      <c r="J1951" s="21"/>
      <c r="K1951" s="24"/>
    </row>
    <row r="1952" spans="1:11" ht="41.25" customHeight="1" x14ac:dyDescent="0.25">
      <c r="A1952" s="21" t="s">
        <v>2681</v>
      </c>
      <c r="B1952" s="26" t="s">
        <v>2634</v>
      </c>
      <c r="C1952" s="3" t="s">
        <v>2635</v>
      </c>
      <c r="D1952" s="21"/>
      <c r="E1952" s="21" t="s">
        <v>2620</v>
      </c>
      <c r="F1952" s="3" t="s">
        <v>78</v>
      </c>
      <c r="G1952" s="3">
        <v>1</v>
      </c>
      <c r="H1952" s="23">
        <f>56291+28145</f>
        <v>84436</v>
      </c>
      <c r="I1952" s="124">
        <f t="shared" si="74"/>
        <v>84436</v>
      </c>
      <c r="J1952" s="21"/>
      <c r="K1952" s="24"/>
    </row>
    <row r="1953" spans="1:11" ht="54" customHeight="1" x14ac:dyDescent="0.25">
      <c r="A1953" s="21" t="s">
        <v>2684</v>
      </c>
      <c r="B1953" s="26" t="s">
        <v>2625</v>
      </c>
      <c r="C1953" s="3" t="s">
        <v>2626</v>
      </c>
      <c r="D1953" s="21"/>
      <c r="E1953" s="21" t="s">
        <v>2620</v>
      </c>
      <c r="F1953" s="3" t="s">
        <v>78</v>
      </c>
      <c r="G1953" s="3">
        <v>1</v>
      </c>
      <c r="H1953" s="23">
        <v>168872</v>
      </c>
      <c r="I1953" s="124">
        <f t="shared" si="74"/>
        <v>168872</v>
      </c>
      <c r="J1953" s="21"/>
      <c r="K1953" s="24"/>
    </row>
    <row r="1954" spans="1:11" ht="41.25" customHeight="1" x14ac:dyDescent="0.25">
      <c r="A1954" s="21" t="s">
        <v>2686</v>
      </c>
      <c r="B1954" s="26" t="s">
        <v>2638</v>
      </c>
      <c r="C1954" s="3" t="s">
        <v>2639</v>
      </c>
      <c r="D1954" s="21"/>
      <c r="E1954" s="21" t="s">
        <v>2620</v>
      </c>
      <c r="F1954" s="3" t="s">
        <v>78</v>
      </c>
      <c r="G1954" s="3">
        <v>1</v>
      </c>
      <c r="H1954" s="23">
        <v>22516</v>
      </c>
      <c r="I1954" s="124">
        <f t="shared" si="74"/>
        <v>22516</v>
      </c>
      <c r="J1954" s="21"/>
      <c r="K1954" s="24"/>
    </row>
    <row r="1955" spans="1:11" ht="28.5" customHeight="1" x14ac:dyDescent="0.25">
      <c r="A1955" s="21" t="s">
        <v>2689</v>
      </c>
      <c r="B1955" s="26" t="s">
        <v>3486</v>
      </c>
      <c r="C1955" s="3" t="s">
        <v>3487</v>
      </c>
      <c r="D1955" s="21" t="s">
        <v>3488</v>
      </c>
      <c r="E1955" s="21" t="s">
        <v>2601</v>
      </c>
      <c r="F1955" s="3" t="s">
        <v>78</v>
      </c>
      <c r="G1955" s="3">
        <v>1</v>
      </c>
      <c r="H1955" s="23">
        <f>690*100</f>
        <v>69000</v>
      </c>
      <c r="I1955" s="124">
        <f t="shared" si="74"/>
        <v>69000</v>
      </c>
      <c r="J1955" s="21"/>
      <c r="K1955" s="24"/>
    </row>
    <row r="1956" spans="1:11" ht="15.75" customHeight="1" x14ac:dyDescent="0.25">
      <c r="A1956" s="21" t="s">
        <v>2690</v>
      </c>
      <c r="B1956" s="26" t="s">
        <v>2760</v>
      </c>
      <c r="C1956" s="3" t="s">
        <v>2761</v>
      </c>
      <c r="D1956" s="21" t="s">
        <v>2762</v>
      </c>
      <c r="E1956" s="21" t="s">
        <v>2601</v>
      </c>
      <c r="F1956" s="3" t="s">
        <v>78</v>
      </c>
      <c r="G1956" s="3">
        <v>1</v>
      </c>
      <c r="H1956" s="23">
        <v>6500</v>
      </c>
      <c r="I1956" s="124">
        <f t="shared" si="74"/>
        <v>6500</v>
      </c>
      <c r="J1956" s="21"/>
      <c r="K1956" s="24"/>
    </row>
    <row r="1957" spans="1:11" ht="15.75" customHeight="1" x14ac:dyDescent="0.25">
      <c r="A1957" s="21" t="s">
        <v>2691</v>
      </c>
      <c r="B1957" s="26" t="s">
        <v>2764</v>
      </c>
      <c r="C1957" s="3" t="s">
        <v>3489</v>
      </c>
      <c r="D1957" s="21" t="s">
        <v>3490</v>
      </c>
      <c r="E1957" s="21" t="s">
        <v>2601</v>
      </c>
      <c r="F1957" s="3" t="s">
        <v>78</v>
      </c>
      <c r="G1957" s="3">
        <v>1</v>
      </c>
      <c r="H1957" s="23">
        <v>82500</v>
      </c>
      <c r="I1957" s="124">
        <f t="shared" si="74"/>
        <v>82500</v>
      </c>
      <c r="J1957" s="21"/>
      <c r="K1957" s="24"/>
    </row>
    <row r="1958" spans="1:11" ht="71.25" customHeight="1" x14ac:dyDescent="0.25">
      <c r="A1958" s="21" t="s">
        <v>2694</v>
      </c>
      <c r="B1958" s="26" t="s">
        <v>3491</v>
      </c>
      <c r="C1958" s="3" t="s">
        <v>3492</v>
      </c>
      <c r="D1958" s="21" t="s">
        <v>3493</v>
      </c>
      <c r="E1958" s="21" t="s">
        <v>2529</v>
      </c>
      <c r="F1958" s="3" t="s">
        <v>78</v>
      </c>
      <c r="G1958" s="3">
        <v>2</v>
      </c>
      <c r="H1958" s="23">
        <v>33576.379999999997</v>
      </c>
      <c r="I1958" s="124">
        <f t="shared" si="74"/>
        <v>67152.759999999995</v>
      </c>
      <c r="J1958" s="21"/>
      <c r="K1958" s="24" t="s">
        <v>3494</v>
      </c>
    </row>
    <row r="1959" spans="1:11" ht="28.5" customHeight="1" x14ac:dyDescent="0.25">
      <c r="A1959" s="21" t="s">
        <v>2696</v>
      </c>
      <c r="B1959" s="26" t="s">
        <v>2530</v>
      </c>
      <c r="C1959" s="3" t="s">
        <v>2531</v>
      </c>
      <c r="D1959" s="21" t="s">
        <v>2532</v>
      </c>
      <c r="E1959" s="21" t="s">
        <v>2529</v>
      </c>
      <c r="F1959" s="3" t="s">
        <v>78</v>
      </c>
      <c r="G1959" s="3">
        <v>2</v>
      </c>
      <c r="H1959" s="23">
        <v>12241.6</v>
      </c>
      <c r="I1959" s="124">
        <f t="shared" si="74"/>
        <v>24483.200000000001</v>
      </c>
      <c r="J1959" s="21"/>
      <c r="K1959" s="24"/>
    </row>
    <row r="1960" spans="1:11" ht="15.75" customHeight="1" x14ac:dyDescent="0.25">
      <c r="A1960" s="21" t="s">
        <v>2699</v>
      </c>
      <c r="B1960" s="26" t="s">
        <v>2539</v>
      </c>
      <c r="C1960" s="3" t="s">
        <v>2540</v>
      </c>
      <c r="D1960" s="21" t="s">
        <v>2541</v>
      </c>
      <c r="E1960" s="21" t="s">
        <v>2529</v>
      </c>
      <c r="F1960" s="3" t="s">
        <v>78</v>
      </c>
      <c r="G1960" s="3">
        <v>20</v>
      </c>
      <c r="H1960" s="23">
        <v>322.32</v>
      </c>
      <c r="I1960" s="124">
        <f t="shared" si="74"/>
        <v>6446.4</v>
      </c>
      <c r="J1960" s="21"/>
      <c r="K1960" s="24"/>
    </row>
    <row r="1961" spans="1:11" ht="28.5" customHeight="1" x14ac:dyDescent="0.25">
      <c r="A1961" s="21" t="s">
        <v>2701</v>
      </c>
      <c r="B1961" s="26" t="s">
        <v>2545</v>
      </c>
      <c r="C1961" s="3" t="s">
        <v>2546</v>
      </c>
      <c r="D1961" s="21" t="s">
        <v>2547</v>
      </c>
      <c r="E1961" s="21" t="s">
        <v>2529</v>
      </c>
      <c r="F1961" s="3" t="s">
        <v>78</v>
      </c>
      <c r="G1961" s="3">
        <v>144</v>
      </c>
      <c r="H1961" s="23">
        <v>14.3</v>
      </c>
      <c r="I1961" s="124">
        <f t="shared" si="74"/>
        <v>2059.2000000000003</v>
      </c>
      <c r="J1961" s="21"/>
      <c r="K1961" s="24"/>
    </row>
    <row r="1962" spans="1:11" ht="28.5" customHeight="1" x14ac:dyDescent="0.25">
      <c r="A1962" s="21" t="s">
        <v>2703</v>
      </c>
      <c r="B1962" s="26" t="s">
        <v>2548</v>
      </c>
      <c r="C1962" s="3" t="s">
        <v>2549</v>
      </c>
      <c r="D1962" s="21" t="s">
        <v>2550</v>
      </c>
      <c r="E1962" s="21" t="s">
        <v>2529</v>
      </c>
      <c r="F1962" s="3" t="s">
        <v>78</v>
      </c>
      <c r="G1962" s="3">
        <v>2</v>
      </c>
      <c r="H1962" s="23">
        <v>2795.28</v>
      </c>
      <c r="I1962" s="124">
        <f t="shared" si="74"/>
        <v>5590.56</v>
      </c>
      <c r="J1962" s="21"/>
      <c r="K1962" s="24"/>
    </row>
    <row r="1963" spans="1:11" ht="28.5" customHeight="1" x14ac:dyDescent="0.25">
      <c r="A1963" s="21" t="s">
        <v>2704</v>
      </c>
      <c r="B1963" s="26" t="s">
        <v>2714</v>
      </c>
      <c r="C1963" s="3" t="s">
        <v>2553</v>
      </c>
      <c r="D1963" s="21" t="s">
        <v>2554</v>
      </c>
      <c r="E1963" s="21" t="s">
        <v>2529</v>
      </c>
      <c r="F1963" s="3" t="s">
        <v>47</v>
      </c>
      <c r="G1963" s="3">
        <v>2</v>
      </c>
      <c r="H1963" s="23">
        <v>1065.97</v>
      </c>
      <c r="I1963" s="124">
        <f t="shared" si="74"/>
        <v>2131.94</v>
      </c>
      <c r="J1963" s="21"/>
      <c r="K1963" s="24"/>
    </row>
    <row r="1964" spans="1:11" ht="15.75" customHeight="1" x14ac:dyDescent="0.25">
      <c r="A1964" s="21" t="s">
        <v>2705</v>
      </c>
      <c r="B1964" s="26" t="s">
        <v>2584</v>
      </c>
      <c r="C1964" s="3" t="s">
        <v>2585</v>
      </c>
      <c r="D1964" s="21"/>
      <c r="E1964" s="21" t="s">
        <v>2586</v>
      </c>
      <c r="F1964" s="3" t="s">
        <v>78</v>
      </c>
      <c r="G1964" s="3">
        <v>2</v>
      </c>
      <c r="H1964" s="23"/>
      <c r="I1964" s="124">
        <f t="shared" si="74"/>
        <v>0</v>
      </c>
      <c r="J1964" s="21"/>
      <c r="K1964" s="24"/>
    </row>
    <row r="1965" spans="1:11" ht="15.75" customHeight="1" x14ac:dyDescent="0.25">
      <c r="A1965" s="21" t="s">
        <v>2706</v>
      </c>
      <c r="B1965" s="26" t="s">
        <v>2588</v>
      </c>
      <c r="C1965" s="3" t="s">
        <v>2589</v>
      </c>
      <c r="D1965" s="21"/>
      <c r="E1965" s="21" t="s">
        <v>2586</v>
      </c>
      <c r="F1965" s="3" t="s">
        <v>78</v>
      </c>
      <c r="G1965" s="3">
        <v>2</v>
      </c>
      <c r="H1965" s="23"/>
      <c r="I1965" s="124">
        <f t="shared" si="74"/>
        <v>0</v>
      </c>
      <c r="J1965" s="21"/>
      <c r="K1965" s="24"/>
    </row>
    <row r="1966" spans="1:11" ht="15.75" customHeight="1" x14ac:dyDescent="0.25">
      <c r="A1966" s="21" t="s">
        <v>2707</v>
      </c>
      <c r="B1966" s="26" t="s">
        <v>3481</v>
      </c>
      <c r="C1966" s="3" t="s">
        <v>3482</v>
      </c>
      <c r="D1966" s="21"/>
      <c r="E1966" s="21" t="s">
        <v>2593</v>
      </c>
      <c r="F1966" s="3" t="s">
        <v>78</v>
      </c>
      <c r="G1966" s="3">
        <v>2</v>
      </c>
      <c r="H1966" s="23"/>
      <c r="I1966" s="124">
        <f t="shared" si="74"/>
        <v>0</v>
      </c>
      <c r="J1966" s="21"/>
      <c r="K1966" s="24"/>
    </row>
    <row r="1967" spans="1:11" ht="42.75" customHeight="1" x14ac:dyDescent="0.25">
      <c r="A1967" s="21" t="s">
        <v>2711</v>
      </c>
      <c r="B1967" s="26" t="s">
        <v>3453</v>
      </c>
      <c r="C1967" s="3" t="s">
        <v>2722</v>
      </c>
      <c r="D1967" s="21" t="s">
        <v>2582</v>
      </c>
      <c r="E1967" s="21" t="s">
        <v>2529</v>
      </c>
      <c r="F1967" s="3" t="s">
        <v>78</v>
      </c>
      <c r="G1967" s="3">
        <v>2</v>
      </c>
      <c r="H1967" s="23">
        <v>2839.69</v>
      </c>
      <c r="I1967" s="124">
        <f t="shared" si="74"/>
        <v>5679.38</v>
      </c>
      <c r="J1967" s="21"/>
      <c r="K1967" s="24"/>
    </row>
    <row r="1968" spans="1:11" ht="28.5" customHeight="1" x14ac:dyDescent="0.25">
      <c r="A1968" s="21" t="s">
        <v>2712</v>
      </c>
      <c r="B1968" s="26" t="s">
        <v>3495</v>
      </c>
      <c r="C1968" s="3" t="s">
        <v>3496</v>
      </c>
      <c r="D1968" s="21"/>
      <c r="E1968" s="21" t="s">
        <v>2601</v>
      </c>
      <c r="F1968" s="3" t="s">
        <v>78</v>
      </c>
      <c r="G1968" s="3">
        <v>2</v>
      </c>
      <c r="H1968" s="23">
        <f>1027*100</f>
        <v>102700</v>
      </c>
      <c r="I1968" s="124">
        <f t="shared" si="74"/>
        <v>205400</v>
      </c>
      <c r="J1968" s="21"/>
      <c r="K1968" s="24"/>
    </row>
    <row r="1969" spans="1:11" ht="28.5" customHeight="1" x14ac:dyDescent="0.25">
      <c r="A1969" s="21" t="s">
        <v>2713</v>
      </c>
      <c r="B1969" s="26" t="s">
        <v>3497</v>
      </c>
      <c r="C1969" s="3" t="s">
        <v>2757</v>
      </c>
      <c r="D1969" s="21"/>
      <c r="E1969" s="21" t="s">
        <v>2601</v>
      </c>
      <c r="F1969" s="3" t="s">
        <v>78</v>
      </c>
      <c r="G1969" s="3">
        <v>2</v>
      </c>
      <c r="H1969" s="23">
        <f>615*100</f>
        <v>61500</v>
      </c>
      <c r="I1969" s="124">
        <f t="shared" si="74"/>
        <v>123000</v>
      </c>
      <c r="J1969" s="21"/>
      <c r="K1969" s="3" t="s">
        <v>3498</v>
      </c>
    </row>
    <row r="1970" spans="1:11" ht="30" customHeight="1" x14ac:dyDescent="0.25">
      <c r="A1970" s="21" t="s">
        <v>2715</v>
      </c>
      <c r="B1970" s="26" t="s">
        <v>2760</v>
      </c>
      <c r="C1970" s="3" t="s">
        <v>2761</v>
      </c>
      <c r="D1970" s="21" t="s">
        <v>2762</v>
      </c>
      <c r="E1970" s="21" t="s">
        <v>2601</v>
      </c>
      <c r="F1970" s="3" t="s">
        <v>78</v>
      </c>
      <c r="G1970" s="3">
        <v>2</v>
      </c>
      <c r="H1970" s="23">
        <v>6500</v>
      </c>
      <c r="I1970" s="124">
        <f t="shared" si="74"/>
        <v>13000</v>
      </c>
      <c r="J1970" s="21"/>
      <c r="K1970" s="24"/>
    </row>
    <row r="1971" spans="1:11" ht="15.75" customHeight="1" x14ac:dyDescent="0.25">
      <c r="A1971" s="21" t="s">
        <v>2716</v>
      </c>
      <c r="B1971" s="26" t="s">
        <v>2764</v>
      </c>
      <c r="C1971" s="3" t="s">
        <v>3489</v>
      </c>
      <c r="D1971" s="21" t="s">
        <v>3490</v>
      </c>
      <c r="E1971" s="21" t="s">
        <v>2601</v>
      </c>
      <c r="F1971" s="3" t="s">
        <v>78</v>
      </c>
      <c r="G1971" s="3">
        <v>2</v>
      </c>
      <c r="H1971" s="23">
        <v>82500</v>
      </c>
      <c r="I1971" s="124">
        <f t="shared" si="74"/>
        <v>165000</v>
      </c>
      <c r="J1971" s="21"/>
      <c r="K1971" s="24"/>
    </row>
    <row r="1972" spans="1:11" ht="28.5" customHeight="1" x14ac:dyDescent="0.25">
      <c r="A1972" s="21" t="s">
        <v>2717</v>
      </c>
      <c r="B1972" s="26" t="s">
        <v>3499</v>
      </c>
      <c r="C1972" s="3" t="s">
        <v>3500</v>
      </c>
      <c r="D1972" s="21" t="s">
        <v>3501</v>
      </c>
      <c r="E1972" s="21" t="s">
        <v>2529</v>
      </c>
      <c r="F1972" s="3" t="s">
        <v>78</v>
      </c>
      <c r="G1972" s="3">
        <v>2</v>
      </c>
      <c r="H1972" s="23">
        <v>381.72</v>
      </c>
      <c r="I1972" s="124">
        <f t="shared" si="74"/>
        <v>763.44</v>
      </c>
      <c r="J1972" s="21"/>
      <c r="K1972" s="24"/>
    </row>
    <row r="1973" spans="1:11" ht="15.75" customHeight="1" x14ac:dyDescent="0.25">
      <c r="A1973" s="42" t="s">
        <v>2720</v>
      </c>
      <c r="B1973" s="20" t="s">
        <v>2771</v>
      </c>
      <c r="C1973" s="22"/>
      <c r="D1973" s="21"/>
      <c r="E1973" s="21"/>
      <c r="F1973" s="22"/>
      <c r="G1973" s="21"/>
      <c r="H1973" s="23"/>
      <c r="I1973" s="124"/>
      <c r="J1973" s="21"/>
      <c r="K1973" s="24"/>
    </row>
    <row r="1974" spans="1:11" ht="28.5" customHeight="1" x14ac:dyDescent="0.25">
      <c r="A1974" s="21" t="s">
        <v>2723</v>
      </c>
      <c r="B1974" s="26" t="s">
        <v>3502</v>
      </c>
      <c r="C1974" s="3" t="s">
        <v>2777</v>
      </c>
      <c r="D1974" s="21"/>
      <c r="E1974" s="21" t="s">
        <v>2620</v>
      </c>
      <c r="F1974" s="3" t="s">
        <v>78</v>
      </c>
      <c r="G1974" s="3">
        <v>8</v>
      </c>
      <c r="H1974" s="23"/>
      <c r="I1974" s="124">
        <f>H1974*G1974</f>
        <v>0</v>
      </c>
      <c r="J1974" s="21"/>
      <c r="K1974" s="24"/>
    </row>
    <row r="1975" spans="1:11" ht="15.75" customHeight="1" x14ac:dyDescent="0.25">
      <c r="A1975" s="21" t="s">
        <v>2726</v>
      </c>
      <c r="B1975" s="26" t="s">
        <v>2773</v>
      </c>
      <c r="C1975" s="3" t="s">
        <v>2774</v>
      </c>
      <c r="D1975" s="21"/>
      <c r="E1975" s="21" t="s">
        <v>2620</v>
      </c>
      <c r="F1975" s="3" t="s">
        <v>78</v>
      </c>
      <c r="G1975" s="3">
        <v>2</v>
      </c>
      <c r="H1975" s="23"/>
      <c r="I1975" s="124">
        <f>H1975*G1975</f>
        <v>0</v>
      </c>
      <c r="J1975" s="21"/>
      <c r="K1975" s="24"/>
    </row>
    <row r="1976" spans="1:11" ht="15.75" customHeight="1" x14ac:dyDescent="0.25">
      <c r="A1976" s="42" t="s">
        <v>2730</v>
      </c>
      <c r="B1976" s="20" t="s">
        <v>3503</v>
      </c>
      <c r="C1976" s="22"/>
      <c r="D1976" s="21"/>
      <c r="E1976" s="21"/>
      <c r="F1976" s="22"/>
      <c r="G1976" s="21"/>
      <c r="H1976" s="23"/>
      <c r="I1976" s="124"/>
      <c r="J1976" s="21"/>
      <c r="K1976" s="24"/>
    </row>
    <row r="1977" spans="1:11" ht="28.5" customHeight="1" x14ac:dyDescent="0.25">
      <c r="A1977" s="21" t="s">
        <v>2731</v>
      </c>
      <c r="B1977" s="26" t="s">
        <v>3504</v>
      </c>
      <c r="C1977" s="3" t="s">
        <v>3505</v>
      </c>
      <c r="D1977" s="21"/>
      <c r="E1977" s="21" t="s">
        <v>3463</v>
      </c>
      <c r="F1977" s="3" t="s">
        <v>78</v>
      </c>
      <c r="G1977" s="3">
        <v>69</v>
      </c>
      <c r="H1977" s="23"/>
      <c r="I1977" s="124">
        <f t="shared" ref="I1977:I1984" si="75">H1977*G1977</f>
        <v>0</v>
      </c>
      <c r="J1977" s="21"/>
      <c r="K1977" s="24"/>
    </row>
    <row r="1978" spans="1:11" ht="15.75" customHeight="1" x14ac:dyDescent="0.25">
      <c r="A1978" s="21" t="s">
        <v>2732</v>
      </c>
      <c r="B1978" s="26" t="s">
        <v>3506</v>
      </c>
      <c r="C1978" s="3" t="s">
        <v>3507</v>
      </c>
      <c r="D1978" s="21"/>
      <c r="E1978" s="21" t="s">
        <v>3463</v>
      </c>
      <c r="F1978" s="3" t="s">
        <v>78</v>
      </c>
      <c r="G1978" s="3">
        <v>69</v>
      </c>
      <c r="H1978" s="23"/>
      <c r="I1978" s="124">
        <f t="shared" si="75"/>
        <v>0</v>
      </c>
      <c r="J1978" s="21"/>
      <c r="K1978" s="24"/>
    </row>
    <row r="1979" spans="1:11" ht="28.5" customHeight="1" x14ac:dyDescent="0.25">
      <c r="A1979" s="21" t="s">
        <v>2733</v>
      </c>
      <c r="B1979" s="26" t="s">
        <v>3508</v>
      </c>
      <c r="C1979" s="3" t="s">
        <v>3509</v>
      </c>
      <c r="D1979" s="21"/>
      <c r="E1979" s="21" t="s">
        <v>3463</v>
      </c>
      <c r="F1979" s="3" t="s">
        <v>78</v>
      </c>
      <c r="G1979" s="3">
        <v>20</v>
      </c>
      <c r="H1979" s="23"/>
      <c r="I1979" s="124">
        <f t="shared" si="75"/>
        <v>0</v>
      </c>
      <c r="J1979" s="21"/>
      <c r="K1979" s="24"/>
    </row>
    <row r="1980" spans="1:11" ht="15.75" customHeight="1" x14ac:dyDescent="0.25">
      <c r="A1980" s="21" t="s">
        <v>2735</v>
      </c>
      <c r="B1980" s="26" t="s">
        <v>3510</v>
      </c>
      <c r="C1980" s="3" t="s">
        <v>3511</v>
      </c>
      <c r="D1980" s="21"/>
      <c r="E1980" s="21" t="s">
        <v>3463</v>
      </c>
      <c r="F1980" s="3" t="s">
        <v>78</v>
      </c>
      <c r="G1980" s="3">
        <v>20</v>
      </c>
      <c r="H1980" s="23"/>
      <c r="I1980" s="124">
        <f t="shared" si="75"/>
        <v>0</v>
      </c>
      <c r="J1980" s="21"/>
      <c r="K1980" s="24"/>
    </row>
    <row r="1981" spans="1:11" ht="28.5" customHeight="1" x14ac:dyDescent="0.25">
      <c r="A1981" s="21" t="s">
        <v>2736</v>
      </c>
      <c r="B1981" s="26" t="s">
        <v>3512</v>
      </c>
      <c r="C1981" s="3" t="s">
        <v>3513</v>
      </c>
      <c r="D1981" s="21"/>
      <c r="E1981" s="21" t="s">
        <v>3463</v>
      </c>
      <c r="F1981" s="3" t="s">
        <v>78</v>
      </c>
      <c r="G1981" s="3">
        <v>36</v>
      </c>
      <c r="H1981" s="23"/>
      <c r="I1981" s="124">
        <f t="shared" si="75"/>
        <v>0</v>
      </c>
      <c r="J1981" s="21"/>
      <c r="K1981" s="24"/>
    </row>
    <row r="1982" spans="1:11" ht="15.75" customHeight="1" x14ac:dyDescent="0.25">
      <c r="A1982" s="21" t="s">
        <v>2737</v>
      </c>
      <c r="B1982" s="26" t="s">
        <v>3514</v>
      </c>
      <c r="C1982" s="3" t="s">
        <v>3511</v>
      </c>
      <c r="D1982" s="21"/>
      <c r="E1982" s="21" t="s">
        <v>3463</v>
      </c>
      <c r="F1982" s="3" t="s">
        <v>78</v>
      </c>
      <c r="G1982" s="3">
        <v>36</v>
      </c>
      <c r="H1982" s="23"/>
      <c r="I1982" s="124">
        <f t="shared" si="75"/>
        <v>0</v>
      </c>
      <c r="J1982" s="21"/>
      <c r="K1982" s="24"/>
    </row>
    <row r="1983" spans="1:11" ht="28.5" customHeight="1" x14ac:dyDescent="0.25">
      <c r="A1983" s="21" t="s">
        <v>2738</v>
      </c>
      <c r="B1983" s="26" t="s">
        <v>3515</v>
      </c>
      <c r="C1983" s="3" t="s">
        <v>3516</v>
      </c>
      <c r="D1983" s="21"/>
      <c r="E1983" s="21" t="s">
        <v>3463</v>
      </c>
      <c r="F1983" s="3" t="s">
        <v>78</v>
      </c>
      <c r="G1983" s="3">
        <v>7</v>
      </c>
      <c r="H1983" s="23"/>
      <c r="I1983" s="124">
        <f t="shared" si="75"/>
        <v>0</v>
      </c>
      <c r="J1983" s="21"/>
      <c r="K1983" s="24"/>
    </row>
    <row r="1984" spans="1:11" ht="15.75" customHeight="1" x14ac:dyDescent="0.25">
      <c r="A1984" s="21" t="s">
        <v>2739</v>
      </c>
      <c r="B1984" s="26" t="s">
        <v>3517</v>
      </c>
      <c r="C1984" s="3" t="s">
        <v>3518</v>
      </c>
      <c r="D1984" s="21"/>
      <c r="E1984" s="21" t="s">
        <v>3519</v>
      </c>
      <c r="F1984" s="3" t="s">
        <v>78</v>
      </c>
      <c r="G1984" s="3">
        <v>11</v>
      </c>
      <c r="H1984" s="23"/>
      <c r="I1984" s="124">
        <f t="shared" si="75"/>
        <v>0</v>
      </c>
      <c r="J1984" s="21"/>
      <c r="K1984" s="24"/>
    </row>
    <row r="1985" spans="1:11" ht="15.75" customHeight="1" x14ac:dyDescent="0.25">
      <c r="A1985" s="42" t="s">
        <v>2741</v>
      </c>
      <c r="B1985" s="20" t="s">
        <v>3520</v>
      </c>
      <c r="C1985" s="22"/>
      <c r="D1985" s="21"/>
      <c r="E1985" s="21"/>
      <c r="F1985" s="22"/>
      <c r="G1985" s="21"/>
      <c r="H1985" s="23"/>
      <c r="I1985" s="124"/>
      <c r="J1985" s="21"/>
      <c r="K1985" s="24"/>
    </row>
    <row r="1986" spans="1:11" ht="15.75" customHeight="1" x14ac:dyDescent="0.25">
      <c r="A1986" s="21" t="s">
        <v>2742</v>
      </c>
      <c r="B1986" s="26" t="s">
        <v>3521</v>
      </c>
      <c r="C1986" s="3" t="s">
        <v>3522</v>
      </c>
      <c r="D1986" s="21"/>
      <c r="E1986" s="21" t="s">
        <v>3463</v>
      </c>
      <c r="F1986" s="3" t="s">
        <v>78</v>
      </c>
      <c r="G1986" s="3">
        <v>4</v>
      </c>
      <c r="H1986" s="23"/>
      <c r="I1986" s="124">
        <f t="shared" ref="I1986:I1999" si="76">H1986*G1986</f>
        <v>0</v>
      </c>
      <c r="J1986" s="21"/>
      <c r="K1986" s="24" t="s">
        <v>3523</v>
      </c>
    </row>
    <row r="1987" spans="1:11" ht="15.75" customHeight="1" x14ac:dyDescent="0.25">
      <c r="A1987" s="21" t="s">
        <v>2743</v>
      </c>
      <c r="B1987" s="26" t="s">
        <v>3524</v>
      </c>
      <c r="C1987" s="3" t="s">
        <v>3525</v>
      </c>
      <c r="D1987" s="21"/>
      <c r="E1987" s="21" t="s">
        <v>3463</v>
      </c>
      <c r="F1987" s="3" t="s">
        <v>78</v>
      </c>
      <c r="G1987" s="3">
        <v>6</v>
      </c>
      <c r="H1987" s="23"/>
      <c r="I1987" s="124">
        <f t="shared" si="76"/>
        <v>0</v>
      </c>
      <c r="J1987" s="21"/>
      <c r="K1987" s="24" t="s">
        <v>3526</v>
      </c>
    </row>
    <row r="1988" spans="1:11" ht="15.75" customHeight="1" x14ac:dyDescent="0.25">
      <c r="A1988" s="21" t="s">
        <v>2744</v>
      </c>
      <c r="B1988" s="26" t="s">
        <v>3527</v>
      </c>
      <c r="C1988" s="3" t="s">
        <v>3528</v>
      </c>
      <c r="D1988" s="21"/>
      <c r="E1988" s="21" t="s">
        <v>3463</v>
      </c>
      <c r="F1988" s="3" t="s">
        <v>78</v>
      </c>
      <c r="G1988" s="3">
        <v>6</v>
      </c>
      <c r="H1988" s="23"/>
      <c r="I1988" s="124">
        <f t="shared" si="76"/>
        <v>0</v>
      </c>
      <c r="J1988" s="21"/>
      <c r="K1988" s="24" t="s">
        <v>3526</v>
      </c>
    </row>
    <row r="1989" spans="1:11" ht="28.5" customHeight="1" x14ac:dyDescent="0.25">
      <c r="A1989" s="21" t="s">
        <v>2745</v>
      </c>
      <c r="B1989" s="26" t="s">
        <v>3529</v>
      </c>
      <c r="C1989" s="3" t="s">
        <v>3530</v>
      </c>
      <c r="D1989" s="21"/>
      <c r="E1989" s="21" t="s">
        <v>3463</v>
      </c>
      <c r="F1989" s="3" t="s">
        <v>78</v>
      </c>
      <c r="G1989" s="3">
        <v>8</v>
      </c>
      <c r="H1989" s="23"/>
      <c r="I1989" s="124">
        <f t="shared" si="76"/>
        <v>0</v>
      </c>
      <c r="J1989" s="21"/>
      <c r="K1989" s="24" t="s">
        <v>3531</v>
      </c>
    </row>
    <row r="1990" spans="1:11" ht="28.5" customHeight="1" x14ac:dyDescent="0.25">
      <c r="A1990" s="21" t="s">
        <v>2747</v>
      </c>
      <c r="B1990" s="26" t="s">
        <v>3532</v>
      </c>
      <c r="C1990" s="3" t="s">
        <v>3533</v>
      </c>
      <c r="D1990" s="21"/>
      <c r="E1990" s="21" t="s">
        <v>3534</v>
      </c>
      <c r="F1990" s="3" t="s">
        <v>78</v>
      </c>
      <c r="G1990" s="3">
        <v>8</v>
      </c>
      <c r="H1990" s="23"/>
      <c r="I1990" s="124">
        <f t="shared" si="76"/>
        <v>0</v>
      </c>
      <c r="J1990" s="21"/>
      <c r="K1990" s="24" t="s">
        <v>3535</v>
      </c>
    </row>
    <row r="1991" spans="1:11" ht="15.75" customHeight="1" x14ac:dyDescent="0.25">
      <c r="A1991" s="21" t="s">
        <v>2748</v>
      </c>
      <c r="B1991" s="26" t="s">
        <v>3536</v>
      </c>
      <c r="C1991" s="3" t="s">
        <v>3537</v>
      </c>
      <c r="D1991" s="21"/>
      <c r="E1991" s="21" t="s">
        <v>3534</v>
      </c>
      <c r="F1991" s="3" t="s">
        <v>78</v>
      </c>
      <c r="G1991" s="3">
        <v>4</v>
      </c>
      <c r="H1991" s="23"/>
      <c r="I1991" s="124">
        <f t="shared" si="76"/>
        <v>0</v>
      </c>
      <c r="J1991" s="21"/>
      <c r="K1991" s="24" t="s">
        <v>3538</v>
      </c>
    </row>
    <row r="1992" spans="1:11" ht="15.75" customHeight="1" x14ac:dyDescent="0.25">
      <c r="A1992" s="21" t="s">
        <v>2749</v>
      </c>
      <c r="B1992" s="26" t="s">
        <v>3539</v>
      </c>
      <c r="C1992" s="3" t="s">
        <v>3540</v>
      </c>
      <c r="D1992" s="21"/>
      <c r="E1992" s="21" t="s">
        <v>3534</v>
      </c>
      <c r="F1992" s="3" t="s">
        <v>78</v>
      </c>
      <c r="G1992" s="3">
        <v>4</v>
      </c>
      <c r="H1992" s="23"/>
      <c r="I1992" s="124">
        <f t="shared" si="76"/>
        <v>0</v>
      </c>
      <c r="J1992" s="21"/>
      <c r="K1992" s="24" t="s">
        <v>3526</v>
      </c>
    </row>
    <row r="1993" spans="1:11" ht="15.75" customHeight="1" x14ac:dyDescent="0.25">
      <c r="A1993" s="21" t="s">
        <v>2751</v>
      </c>
      <c r="B1993" s="26" t="s">
        <v>2795</v>
      </c>
      <c r="C1993" s="3" t="s">
        <v>2796</v>
      </c>
      <c r="D1993" s="21" t="s">
        <v>2797</v>
      </c>
      <c r="E1993" s="21" t="s">
        <v>2529</v>
      </c>
      <c r="F1993" s="3" t="s">
        <v>78</v>
      </c>
      <c r="G1993" s="3">
        <v>4</v>
      </c>
      <c r="H1993" s="23">
        <v>132.01</v>
      </c>
      <c r="I1993" s="124">
        <f t="shared" si="76"/>
        <v>528.04</v>
      </c>
      <c r="J1993" s="21"/>
      <c r="K1993" s="24"/>
    </row>
    <row r="1994" spans="1:11" ht="28.5" customHeight="1" x14ac:dyDescent="0.25">
      <c r="A1994" s="21" t="s">
        <v>2755</v>
      </c>
      <c r="B1994" s="26" t="s">
        <v>2805</v>
      </c>
      <c r="C1994" s="3" t="s">
        <v>2806</v>
      </c>
      <c r="D1994" s="21" t="s">
        <v>2807</v>
      </c>
      <c r="E1994" s="21" t="s">
        <v>2529</v>
      </c>
      <c r="F1994" s="3" t="s">
        <v>78</v>
      </c>
      <c r="G1994" s="3">
        <v>4</v>
      </c>
      <c r="H1994" s="23">
        <v>81.41</v>
      </c>
      <c r="I1994" s="124">
        <f t="shared" si="76"/>
        <v>325.64</v>
      </c>
      <c r="J1994" s="21"/>
      <c r="K1994" s="24"/>
    </row>
    <row r="1995" spans="1:11" ht="15.75" customHeight="1" x14ac:dyDescent="0.25">
      <c r="A1995" s="21" t="s">
        <v>2759</v>
      </c>
      <c r="B1995" s="26" t="s">
        <v>2809</v>
      </c>
      <c r="C1995" s="3"/>
      <c r="D1995" s="21"/>
      <c r="E1995" s="21" t="s">
        <v>46</v>
      </c>
      <c r="F1995" s="3" t="s">
        <v>78</v>
      </c>
      <c r="G1995" s="3">
        <v>4</v>
      </c>
      <c r="H1995" s="23"/>
      <c r="I1995" s="124">
        <f t="shared" si="76"/>
        <v>0</v>
      </c>
      <c r="J1995" s="21"/>
      <c r="K1995" s="24"/>
    </row>
    <row r="1996" spans="1:11" ht="28.5" customHeight="1" x14ac:dyDescent="0.25">
      <c r="A1996" s="21" t="s">
        <v>2763</v>
      </c>
      <c r="B1996" s="26" t="s">
        <v>2816</v>
      </c>
      <c r="C1996" s="3" t="s">
        <v>2817</v>
      </c>
      <c r="D1996" s="21" t="s">
        <v>2818</v>
      </c>
      <c r="E1996" s="21" t="s">
        <v>2529</v>
      </c>
      <c r="F1996" s="3" t="s">
        <v>78</v>
      </c>
      <c r="G1996" s="3">
        <v>8</v>
      </c>
      <c r="H1996" s="23">
        <v>91.31</v>
      </c>
      <c r="I1996" s="124">
        <f t="shared" si="76"/>
        <v>730.48</v>
      </c>
      <c r="J1996" s="21"/>
      <c r="K1996" s="24"/>
    </row>
    <row r="1997" spans="1:11" ht="28.5" customHeight="1" x14ac:dyDescent="0.25">
      <c r="A1997" s="21" t="s">
        <v>2765</v>
      </c>
      <c r="B1997" s="26" t="s">
        <v>3541</v>
      </c>
      <c r="C1997" s="3" t="s">
        <v>3542</v>
      </c>
      <c r="D1997" s="21"/>
      <c r="E1997" s="21" t="s">
        <v>2601</v>
      </c>
      <c r="F1997" s="3" t="s">
        <v>78</v>
      </c>
      <c r="G1997" s="3">
        <v>2</v>
      </c>
      <c r="H1997" s="23">
        <f>851*100</f>
        <v>85100</v>
      </c>
      <c r="I1997" s="124">
        <f t="shared" si="76"/>
        <v>170200</v>
      </c>
      <c r="J1997" s="21"/>
      <c r="K1997" s="24" t="s">
        <v>3543</v>
      </c>
    </row>
    <row r="1998" spans="1:11" ht="15.75" customHeight="1" x14ac:dyDescent="0.25">
      <c r="A1998" s="21" t="s">
        <v>2767</v>
      </c>
      <c r="B1998" s="26" t="s">
        <v>3544</v>
      </c>
      <c r="C1998" s="3" t="s">
        <v>3545</v>
      </c>
      <c r="D1998" s="21" t="s">
        <v>3501</v>
      </c>
      <c r="E1998" s="21" t="s">
        <v>2725</v>
      </c>
      <c r="F1998" s="3" t="s">
        <v>78</v>
      </c>
      <c r="G1998" s="3">
        <v>2</v>
      </c>
      <c r="H1998" s="23"/>
      <c r="I1998" s="124">
        <f t="shared" si="76"/>
        <v>0</v>
      </c>
      <c r="J1998" s="21"/>
      <c r="K1998" s="24" t="s">
        <v>3543</v>
      </c>
    </row>
    <row r="1999" spans="1:11" ht="42.75" customHeight="1" x14ac:dyDescent="0.25">
      <c r="A1999" s="21" t="s">
        <v>2768</v>
      </c>
      <c r="B1999" s="26" t="s">
        <v>3453</v>
      </c>
      <c r="C1999" s="3" t="s">
        <v>2722</v>
      </c>
      <c r="D1999" s="21" t="s">
        <v>2582</v>
      </c>
      <c r="E1999" s="21" t="s">
        <v>2529</v>
      </c>
      <c r="F1999" s="3" t="s">
        <v>78</v>
      </c>
      <c r="G1999" s="3">
        <v>2</v>
      </c>
      <c r="H1999" s="23">
        <v>2839.69</v>
      </c>
      <c r="I1999" s="124">
        <f t="shared" si="76"/>
        <v>5679.38</v>
      </c>
      <c r="J1999" s="21"/>
      <c r="K1999" s="24" t="s">
        <v>3543</v>
      </c>
    </row>
    <row r="2000" spans="1:11" ht="15.75" customHeight="1" x14ac:dyDescent="0.25">
      <c r="A2000" s="42" t="s">
        <v>2769</v>
      </c>
      <c r="B2000" s="20" t="s">
        <v>2821</v>
      </c>
      <c r="C2000" s="22"/>
      <c r="D2000" s="21"/>
      <c r="E2000" s="21"/>
      <c r="F2000" s="22"/>
      <c r="G2000" s="21"/>
      <c r="H2000" s="23"/>
      <c r="I2000" s="124"/>
      <c r="J2000" s="21"/>
      <c r="K2000" s="24"/>
    </row>
    <row r="2001" spans="1:11" ht="28.5" customHeight="1" x14ac:dyDescent="0.25">
      <c r="A2001" s="21" t="s">
        <v>2770</v>
      </c>
      <c r="B2001" s="26" t="s">
        <v>2827</v>
      </c>
      <c r="C2001" s="3" t="s">
        <v>3546</v>
      </c>
      <c r="D2001" s="21" t="s">
        <v>2829</v>
      </c>
      <c r="E2001" s="21" t="s">
        <v>2529</v>
      </c>
      <c r="F2001" s="3" t="s">
        <v>78</v>
      </c>
      <c r="G2001" s="3">
        <v>80</v>
      </c>
      <c r="H2001" s="23">
        <v>233.21</v>
      </c>
      <c r="I2001" s="124">
        <f t="shared" ref="I2001:I2021" si="77">H2001*G2001</f>
        <v>18656.8</v>
      </c>
      <c r="J2001" s="21"/>
      <c r="K2001" s="24" t="s">
        <v>3547</v>
      </c>
    </row>
    <row r="2002" spans="1:11" ht="28.5" customHeight="1" x14ac:dyDescent="0.25">
      <c r="A2002" s="21" t="s">
        <v>2772</v>
      </c>
      <c r="B2002" s="26" t="s">
        <v>2831</v>
      </c>
      <c r="C2002" s="3" t="s">
        <v>3548</v>
      </c>
      <c r="D2002" s="21" t="s">
        <v>2833</v>
      </c>
      <c r="E2002" s="21" t="s">
        <v>2529</v>
      </c>
      <c r="F2002" s="3" t="s">
        <v>78</v>
      </c>
      <c r="G2002" s="3">
        <v>80</v>
      </c>
      <c r="H2002" s="23">
        <v>310.22000000000003</v>
      </c>
      <c r="I2002" s="124">
        <f t="shared" si="77"/>
        <v>24817.600000000002</v>
      </c>
      <c r="J2002" s="21"/>
      <c r="K2002" s="24" t="s">
        <v>3547</v>
      </c>
    </row>
    <row r="2003" spans="1:11" ht="45" customHeight="1" x14ac:dyDescent="0.25">
      <c r="A2003" s="21" t="s">
        <v>2775</v>
      </c>
      <c r="B2003" s="26" t="s">
        <v>2839</v>
      </c>
      <c r="C2003" s="3" t="s">
        <v>2840</v>
      </c>
      <c r="D2003" s="21" t="s">
        <v>2841</v>
      </c>
      <c r="E2003" s="21" t="s">
        <v>2529</v>
      </c>
      <c r="F2003" s="3" t="s">
        <v>78</v>
      </c>
      <c r="G2003" s="51">
        <v>33</v>
      </c>
      <c r="H2003" s="23">
        <v>14897.17</v>
      </c>
      <c r="I2003" s="129">
        <f t="shared" si="77"/>
        <v>491606.61</v>
      </c>
      <c r="J2003" s="21"/>
      <c r="K2003" s="24" t="s">
        <v>3549</v>
      </c>
    </row>
    <row r="2004" spans="1:11" ht="15.75" customHeight="1" x14ac:dyDescent="0.25">
      <c r="A2004" s="21" t="s">
        <v>2778</v>
      </c>
      <c r="B2004" s="26" t="s">
        <v>2853</v>
      </c>
      <c r="C2004" s="3" t="s">
        <v>2854</v>
      </c>
      <c r="D2004" s="21" t="s">
        <v>2855</v>
      </c>
      <c r="E2004" s="21" t="s">
        <v>2529</v>
      </c>
      <c r="F2004" s="3" t="s">
        <v>78</v>
      </c>
      <c r="G2004" s="3">
        <v>6</v>
      </c>
      <c r="H2004" s="23">
        <v>548.94000000000005</v>
      </c>
      <c r="I2004" s="124">
        <f t="shared" si="77"/>
        <v>3293.6400000000003</v>
      </c>
      <c r="J2004" s="21"/>
      <c r="K2004" s="24"/>
    </row>
    <row r="2005" spans="1:11" ht="30" customHeight="1" x14ac:dyDescent="0.25">
      <c r="A2005" s="21" t="s">
        <v>2780</v>
      </c>
      <c r="B2005" s="26" t="s">
        <v>3550</v>
      </c>
      <c r="C2005" s="3" t="s">
        <v>2858</v>
      </c>
      <c r="D2005" s="21" t="s">
        <v>2859</v>
      </c>
      <c r="E2005" s="21" t="s">
        <v>2529</v>
      </c>
      <c r="F2005" s="3" t="s">
        <v>78</v>
      </c>
      <c r="G2005" s="3">
        <v>150</v>
      </c>
      <c r="H2005" s="23">
        <v>5.5</v>
      </c>
      <c r="I2005" s="124">
        <f t="shared" si="77"/>
        <v>825</v>
      </c>
      <c r="J2005" s="21"/>
      <c r="K2005" s="24"/>
    </row>
    <row r="2006" spans="1:11" ht="28.5" customHeight="1" x14ac:dyDescent="0.25">
      <c r="A2006" s="21" t="s">
        <v>2785</v>
      </c>
      <c r="B2006" s="26" t="s">
        <v>2861</v>
      </c>
      <c r="C2006" s="3" t="s">
        <v>2862</v>
      </c>
      <c r="D2006" s="21" t="s">
        <v>2863</v>
      </c>
      <c r="E2006" s="21" t="s">
        <v>2529</v>
      </c>
      <c r="F2006" s="3" t="s">
        <v>78</v>
      </c>
      <c r="G2006" s="3">
        <v>150</v>
      </c>
      <c r="H2006" s="23">
        <v>3.3</v>
      </c>
      <c r="I2006" s="124">
        <f t="shared" si="77"/>
        <v>495</v>
      </c>
      <c r="J2006" s="21"/>
      <c r="K2006" s="24"/>
    </row>
    <row r="2007" spans="1:11" ht="15.75" customHeight="1" x14ac:dyDescent="0.25">
      <c r="A2007" s="21" t="s">
        <v>2788</v>
      </c>
      <c r="B2007" s="26" t="s">
        <v>2865</v>
      </c>
      <c r="C2007" s="3" t="s">
        <v>2866</v>
      </c>
      <c r="D2007" s="21" t="s">
        <v>2867</v>
      </c>
      <c r="E2007" s="21" t="s">
        <v>2783</v>
      </c>
      <c r="F2007" s="3" t="s">
        <v>89</v>
      </c>
      <c r="G2007" s="3">
        <v>2650</v>
      </c>
      <c r="H2007" s="23"/>
      <c r="I2007" s="124">
        <f t="shared" si="77"/>
        <v>0</v>
      </c>
      <c r="J2007" s="21"/>
      <c r="K2007" s="24"/>
    </row>
    <row r="2008" spans="1:11" ht="15.75" customHeight="1" x14ac:dyDescent="0.25">
      <c r="A2008" s="21" t="s">
        <v>2791</v>
      </c>
      <c r="B2008" s="26" t="s">
        <v>2869</v>
      </c>
      <c r="C2008" s="3" t="s">
        <v>2866</v>
      </c>
      <c r="D2008" s="21" t="s">
        <v>2870</v>
      </c>
      <c r="E2008" s="3" t="s">
        <v>292</v>
      </c>
      <c r="F2008" s="3" t="s">
        <v>78</v>
      </c>
      <c r="G2008" s="3">
        <v>8800</v>
      </c>
      <c r="H2008" s="23"/>
      <c r="I2008" s="124">
        <f t="shared" si="77"/>
        <v>0</v>
      </c>
      <c r="J2008" s="21"/>
      <c r="K2008" s="24"/>
    </row>
    <row r="2009" spans="1:11" ht="15.75" customHeight="1" x14ac:dyDescent="0.25">
      <c r="A2009" s="21" t="s">
        <v>2794</v>
      </c>
      <c r="B2009" s="26" t="s">
        <v>2872</v>
      </c>
      <c r="C2009" s="3"/>
      <c r="D2009" s="21" t="s">
        <v>2873</v>
      </c>
      <c r="E2009" s="3" t="s">
        <v>292</v>
      </c>
      <c r="F2009" s="3" t="s">
        <v>78</v>
      </c>
      <c r="G2009" s="3">
        <v>1000</v>
      </c>
      <c r="H2009" s="23"/>
      <c r="I2009" s="124">
        <f t="shared" si="77"/>
        <v>0</v>
      </c>
      <c r="J2009" s="21"/>
      <c r="K2009" s="24"/>
    </row>
    <row r="2010" spans="1:11" ht="15.75" customHeight="1" x14ac:dyDescent="0.25">
      <c r="A2010" s="21" t="s">
        <v>2799</v>
      </c>
      <c r="B2010" s="26" t="s">
        <v>2875</v>
      </c>
      <c r="C2010" s="3" t="s">
        <v>2977</v>
      </c>
      <c r="D2010" s="21"/>
      <c r="E2010" s="21" t="s">
        <v>46</v>
      </c>
      <c r="F2010" s="3" t="s">
        <v>78</v>
      </c>
      <c r="G2010" s="3">
        <v>1000</v>
      </c>
      <c r="H2010" s="23"/>
      <c r="I2010" s="124">
        <f t="shared" si="77"/>
        <v>0</v>
      </c>
      <c r="J2010" s="21"/>
      <c r="K2010" s="24"/>
    </row>
    <row r="2011" spans="1:11" ht="15.75" customHeight="1" x14ac:dyDescent="0.25">
      <c r="A2011" s="21" t="s">
        <v>2804</v>
      </c>
      <c r="B2011" s="26" t="s">
        <v>2878</v>
      </c>
      <c r="C2011" s="3" t="s">
        <v>2879</v>
      </c>
      <c r="D2011" s="21"/>
      <c r="E2011" s="21" t="s">
        <v>2880</v>
      </c>
      <c r="F2011" s="3" t="s">
        <v>89</v>
      </c>
      <c r="G2011" s="3">
        <v>25</v>
      </c>
      <c r="H2011" s="23"/>
      <c r="I2011" s="124">
        <f t="shared" si="77"/>
        <v>0</v>
      </c>
      <c r="J2011" s="21"/>
      <c r="K2011" s="24"/>
    </row>
    <row r="2012" spans="1:11" ht="15.75" customHeight="1" x14ac:dyDescent="0.25">
      <c r="A2012" s="21" t="s">
        <v>2808</v>
      </c>
      <c r="B2012" s="26" t="s">
        <v>2882</v>
      </c>
      <c r="C2012" s="3" t="s">
        <v>2883</v>
      </c>
      <c r="D2012" s="21"/>
      <c r="E2012" s="21" t="s">
        <v>2880</v>
      </c>
      <c r="F2012" s="3" t="s">
        <v>89</v>
      </c>
      <c r="G2012" s="3">
        <v>2</v>
      </c>
      <c r="H2012" s="23"/>
      <c r="I2012" s="124">
        <f t="shared" si="77"/>
        <v>0</v>
      </c>
      <c r="J2012" s="21"/>
      <c r="K2012" s="24"/>
    </row>
    <row r="2013" spans="1:11" ht="15.75" customHeight="1" x14ac:dyDescent="0.25">
      <c r="A2013" s="21" t="s">
        <v>2810</v>
      </c>
      <c r="B2013" s="26" t="s">
        <v>2885</v>
      </c>
      <c r="C2013" s="3" t="s">
        <v>2886</v>
      </c>
      <c r="D2013" s="21"/>
      <c r="E2013" s="3" t="s">
        <v>292</v>
      </c>
      <c r="F2013" s="3" t="s">
        <v>78</v>
      </c>
      <c r="G2013" s="3">
        <v>60</v>
      </c>
      <c r="H2013" s="23"/>
      <c r="I2013" s="124">
        <f t="shared" si="77"/>
        <v>0</v>
      </c>
      <c r="J2013" s="21"/>
      <c r="K2013" s="24"/>
    </row>
    <row r="2014" spans="1:11" ht="15.75" customHeight="1" x14ac:dyDescent="0.25">
      <c r="A2014" s="21" t="s">
        <v>2815</v>
      </c>
      <c r="B2014" s="26" t="s">
        <v>2888</v>
      </c>
      <c r="C2014" s="3" t="s">
        <v>2889</v>
      </c>
      <c r="D2014" s="21"/>
      <c r="E2014" s="3" t="s">
        <v>292</v>
      </c>
      <c r="F2014" s="3" t="s">
        <v>78</v>
      </c>
      <c r="G2014" s="3">
        <v>5</v>
      </c>
      <c r="H2014" s="23"/>
      <c r="I2014" s="124">
        <f t="shared" si="77"/>
        <v>0</v>
      </c>
      <c r="J2014" s="21"/>
      <c r="K2014" s="24"/>
    </row>
    <row r="2015" spans="1:11" ht="15.75" customHeight="1" x14ac:dyDescent="0.25">
      <c r="A2015" s="21" t="s">
        <v>2820</v>
      </c>
      <c r="B2015" s="26" t="s">
        <v>2891</v>
      </c>
      <c r="C2015" s="3" t="s">
        <v>2892</v>
      </c>
      <c r="D2015" s="21"/>
      <c r="E2015" s="3" t="s">
        <v>292</v>
      </c>
      <c r="F2015" s="3" t="s">
        <v>78</v>
      </c>
      <c r="G2015" s="3">
        <v>10</v>
      </c>
      <c r="H2015" s="23"/>
      <c r="I2015" s="124">
        <f t="shared" si="77"/>
        <v>0</v>
      </c>
      <c r="J2015" s="21"/>
      <c r="K2015" s="24" t="s">
        <v>3551</v>
      </c>
    </row>
    <row r="2016" spans="1:11" ht="15.75" customHeight="1" x14ac:dyDescent="0.25">
      <c r="A2016" s="21" t="s">
        <v>2822</v>
      </c>
      <c r="B2016" s="26" t="s">
        <v>3552</v>
      </c>
      <c r="C2016" s="3" t="s">
        <v>3553</v>
      </c>
      <c r="D2016" s="21" t="s">
        <v>3554</v>
      </c>
      <c r="E2016" s="21" t="s">
        <v>292</v>
      </c>
      <c r="F2016" s="3" t="s">
        <v>89</v>
      </c>
      <c r="G2016" s="3">
        <v>6</v>
      </c>
      <c r="H2016" s="23"/>
      <c r="I2016" s="124">
        <f t="shared" si="77"/>
        <v>0</v>
      </c>
      <c r="J2016" s="21"/>
      <c r="K2016" s="24"/>
    </row>
    <row r="2017" spans="1:11" ht="15.75" customHeight="1" x14ac:dyDescent="0.25">
      <c r="A2017" s="21" t="s">
        <v>2826</v>
      </c>
      <c r="B2017" s="26" t="s">
        <v>3555</v>
      </c>
      <c r="C2017" s="3" t="s">
        <v>3553</v>
      </c>
      <c r="D2017" s="21" t="s">
        <v>3556</v>
      </c>
      <c r="E2017" s="3" t="s">
        <v>292</v>
      </c>
      <c r="F2017" s="3" t="s">
        <v>78</v>
      </c>
      <c r="G2017" s="3">
        <v>5</v>
      </c>
      <c r="H2017" s="23"/>
      <c r="I2017" s="124">
        <f t="shared" si="77"/>
        <v>0</v>
      </c>
      <c r="J2017" s="21"/>
      <c r="K2017" s="24"/>
    </row>
    <row r="2018" spans="1:11" ht="15.75" customHeight="1" x14ac:dyDescent="0.25">
      <c r="A2018" s="21" t="s">
        <v>2830</v>
      </c>
      <c r="B2018" s="26" t="s">
        <v>3557</v>
      </c>
      <c r="C2018" s="3" t="s">
        <v>3553</v>
      </c>
      <c r="D2018" s="21" t="s">
        <v>3558</v>
      </c>
      <c r="E2018" s="3" t="s">
        <v>292</v>
      </c>
      <c r="F2018" s="3" t="s">
        <v>78</v>
      </c>
      <c r="G2018" s="3">
        <v>5</v>
      </c>
      <c r="H2018" s="23"/>
      <c r="I2018" s="124">
        <f t="shared" si="77"/>
        <v>0</v>
      </c>
      <c r="J2018" s="21"/>
      <c r="K2018" s="24"/>
    </row>
    <row r="2019" spans="1:11" ht="15.75" customHeight="1" x14ac:dyDescent="0.25">
      <c r="A2019" s="21" t="s">
        <v>2834</v>
      </c>
      <c r="B2019" s="26" t="s">
        <v>3559</v>
      </c>
      <c r="C2019" s="3" t="s">
        <v>3553</v>
      </c>
      <c r="D2019" s="21" t="s">
        <v>3560</v>
      </c>
      <c r="E2019" s="3" t="s">
        <v>292</v>
      </c>
      <c r="F2019" s="3" t="s">
        <v>78</v>
      </c>
      <c r="G2019" s="3">
        <v>3</v>
      </c>
      <c r="H2019" s="23"/>
      <c r="I2019" s="124">
        <f t="shared" si="77"/>
        <v>0</v>
      </c>
      <c r="J2019" s="21"/>
      <c r="K2019" s="24"/>
    </row>
    <row r="2020" spans="1:11" ht="15.75" customHeight="1" x14ac:dyDescent="0.25">
      <c r="A2020" s="21" t="s">
        <v>2838</v>
      </c>
      <c r="B2020" s="26" t="s">
        <v>3561</v>
      </c>
      <c r="C2020" s="3" t="s">
        <v>3553</v>
      </c>
      <c r="D2020" s="21" t="s">
        <v>3562</v>
      </c>
      <c r="E2020" s="3" t="s">
        <v>292</v>
      </c>
      <c r="F2020" s="3" t="s">
        <v>78</v>
      </c>
      <c r="G2020" s="3">
        <v>4</v>
      </c>
      <c r="H2020" s="23"/>
      <c r="I2020" s="124">
        <f t="shared" si="77"/>
        <v>0</v>
      </c>
      <c r="J2020" s="21"/>
      <c r="K2020" s="24"/>
    </row>
    <row r="2021" spans="1:11" ht="15.75" customHeight="1" x14ac:dyDescent="0.25">
      <c r="A2021" s="21" t="s">
        <v>2843</v>
      </c>
      <c r="B2021" s="26" t="s">
        <v>3563</v>
      </c>
      <c r="C2021" s="3" t="s">
        <v>3553</v>
      </c>
      <c r="D2021" s="21" t="s">
        <v>3564</v>
      </c>
      <c r="E2021" s="3" t="s">
        <v>292</v>
      </c>
      <c r="F2021" s="3" t="s">
        <v>78</v>
      </c>
      <c r="G2021" s="3">
        <v>4</v>
      </c>
      <c r="H2021" s="23"/>
      <c r="I2021" s="124">
        <f t="shared" si="77"/>
        <v>0</v>
      </c>
      <c r="J2021" s="21"/>
      <c r="K2021" s="24"/>
    </row>
    <row r="2022" spans="1:11" ht="15.75" customHeight="1" x14ac:dyDescent="0.25">
      <c r="A2022" s="42" t="s">
        <v>375</v>
      </c>
      <c r="B2022" s="20" t="s">
        <v>3565</v>
      </c>
      <c r="C2022" s="22"/>
      <c r="D2022" s="21"/>
      <c r="E2022" s="21"/>
      <c r="F2022" s="22"/>
      <c r="G2022" s="21"/>
      <c r="H2022" s="23"/>
      <c r="I2022" s="124"/>
      <c r="J2022" s="21"/>
      <c r="K2022" s="24"/>
    </row>
    <row r="2023" spans="1:11" ht="30" customHeight="1" x14ac:dyDescent="0.25">
      <c r="A2023" s="21" t="s">
        <v>2086</v>
      </c>
      <c r="B2023" s="26" t="s">
        <v>3566</v>
      </c>
      <c r="C2023" s="3" t="s">
        <v>3567</v>
      </c>
      <c r="D2023" s="21" t="s">
        <v>3568</v>
      </c>
      <c r="E2023" s="21" t="s">
        <v>3569</v>
      </c>
      <c r="F2023" s="3" t="s">
        <v>78</v>
      </c>
      <c r="G2023" s="3">
        <v>1</v>
      </c>
      <c r="H2023" s="23">
        <v>10764.18</v>
      </c>
      <c r="I2023" s="124">
        <f t="shared" ref="I2023:I2051" si="78">H2023*G2023</f>
        <v>10764.18</v>
      </c>
      <c r="J2023" s="21"/>
      <c r="K2023" s="24"/>
    </row>
    <row r="2024" spans="1:11" ht="15.75" customHeight="1" x14ac:dyDescent="0.25">
      <c r="A2024" s="21" t="s">
        <v>2093</v>
      </c>
      <c r="B2024" s="26" t="s">
        <v>3570</v>
      </c>
      <c r="C2024" s="3" t="s">
        <v>3571</v>
      </c>
      <c r="D2024" s="21"/>
      <c r="E2024" s="21" t="s">
        <v>3569</v>
      </c>
      <c r="F2024" s="3" t="s">
        <v>78</v>
      </c>
      <c r="G2024" s="3">
        <v>2</v>
      </c>
      <c r="H2024" s="23">
        <v>14813</v>
      </c>
      <c r="I2024" s="124">
        <f t="shared" si="78"/>
        <v>29626</v>
      </c>
      <c r="J2024" s="21"/>
      <c r="K2024" s="24"/>
    </row>
    <row r="2025" spans="1:11" ht="15.75" customHeight="1" x14ac:dyDescent="0.25">
      <c r="A2025" s="21" t="s">
        <v>2097</v>
      </c>
      <c r="B2025" s="26" t="s">
        <v>3572</v>
      </c>
      <c r="C2025" s="3" t="s">
        <v>3573</v>
      </c>
      <c r="D2025" s="21"/>
      <c r="E2025" s="21" t="s">
        <v>3569</v>
      </c>
      <c r="F2025" s="3" t="s">
        <v>78</v>
      </c>
      <c r="G2025" s="3">
        <v>2</v>
      </c>
      <c r="H2025" s="23">
        <v>14517.76</v>
      </c>
      <c r="I2025" s="124">
        <f t="shared" si="78"/>
        <v>29035.52</v>
      </c>
      <c r="J2025" s="21"/>
      <c r="K2025" s="24"/>
    </row>
    <row r="2026" spans="1:11" ht="15.75" customHeight="1" x14ac:dyDescent="0.25">
      <c r="A2026" s="21" t="s">
        <v>2101</v>
      </c>
      <c r="B2026" s="26" t="s">
        <v>3574</v>
      </c>
      <c r="C2026" s="3" t="s">
        <v>3575</v>
      </c>
      <c r="D2026" s="21"/>
      <c r="E2026" s="21" t="s">
        <v>3569</v>
      </c>
      <c r="F2026" s="3" t="s">
        <v>78</v>
      </c>
      <c r="G2026" s="3">
        <v>1</v>
      </c>
      <c r="H2026" s="23">
        <v>11698.21</v>
      </c>
      <c r="I2026" s="124">
        <f t="shared" si="78"/>
        <v>11698.21</v>
      </c>
      <c r="J2026" s="21"/>
      <c r="K2026" s="24" t="s">
        <v>3576</v>
      </c>
    </row>
    <row r="2027" spans="1:11" ht="15.75" customHeight="1" x14ac:dyDescent="0.25">
      <c r="A2027" s="21" t="s">
        <v>2105</v>
      </c>
      <c r="B2027" s="26" t="s">
        <v>3577</v>
      </c>
      <c r="C2027" s="3" t="s">
        <v>3578</v>
      </c>
      <c r="D2027" s="21"/>
      <c r="E2027" s="21" t="s">
        <v>3569</v>
      </c>
      <c r="F2027" s="3" t="s">
        <v>78</v>
      </c>
      <c r="G2027" s="3">
        <v>2</v>
      </c>
      <c r="H2027" s="23">
        <v>17110.5</v>
      </c>
      <c r="I2027" s="124">
        <f t="shared" si="78"/>
        <v>34221</v>
      </c>
      <c r="J2027" s="21"/>
      <c r="K2027" s="24" t="s">
        <v>3576</v>
      </c>
    </row>
    <row r="2028" spans="1:11" ht="15.75" customHeight="1" x14ac:dyDescent="0.25">
      <c r="A2028" s="21" t="s">
        <v>2106</v>
      </c>
      <c r="B2028" s="26" t="s">
        <v>3579</v>
      </c>
      <c r="C2028" s="3" t="s">
        <v>3580</v>
      </c>
      <c r="D2028" s="21"/>
      <c r="E2028" s="21" t="s">
        <v>3569</v>
      </c>
      <c r="F2028" s="3" t="s">
        <v>78</v>
      </c>
      <c r="G2028" s="3">
        <v>2</v>
      </c>
      <c r="H2028" s="23">
        <v>7839.96</v>
      </c>
      <c r="I2028" s="124">
        <f t="shared" si="78"/>
        <v>15679.92</v>
      </c>
      <c r="J2028" s="21"/>
      <c r="K2028" s="24" t="s">
        <v>3581</v>
      </c>
    </row>
    <row r="2029" spans="1:11" ht="15.75" customHeight="1" x14ac:dyDescent="0.25">
      <c r="A2029" s="21" t="s">
        <v>2108</v>
      </c>
      <c r="B2029" s="26" t="s">
        <v>3582</v>
      </c>
      <c r="C2029" s="3" t="s">
        <v>3583</v>
      </c>
      <c r="D2029" s="21"/>
      <c r="E2029" s="21" t="s">
        <v>3569</v>
      </c>
      <c r="F2029" s="3" t="s">
        <v>78</v>
      </c>
      <c r="G2029" s="3">
        <v>2</v>
      </c>
      <c r="H2029" s="23">
        <v>9070</v>
      </c>
      <c r="I2029" s="124">
        <f t="shared" si="78"/>
        <v>18140</v>
      </c>
      <c r="J2029" s="21"/>
      <c r="K2029" s="24" t="s">
        <v>3581</v>
      </c>
    </row>
    <row r="2030" spans="1:11" ht="15.75" customHeight="1" x14ac:dyDescent="0.25">
      <c r="A2030" s="21" t="s">
        <v>2110</v>
      </c>
      <c r="B2030" s="26" t="s">
        <v>3584</v>
      </c>
      <c r="C2030" s="3" t="s">
        <v>3585</v>
      </c>
      <c r="D2030" s="21"/>
      <c r="E2030" s="21" t="s">
        <v>3569</v>
      </c>
      <c r="F2030" s="3" t="s">
        <v>78</v>
      </c>
      <c r="G2030" s="3">
        <v>1</v>
      </c>
      <c r="H2030" s="23">
        <v>4361.5</v>
      </c>
      <c r="I2030" s="124">
        <f t="shared" si="78"/>
        <v>4361.5</v>
      </c>
      <c r="J2030" s="21"/>
      <c r="K2030" s="24" t="s">
        <v>3586</v>
      </c>
    </row>
    <row r="2031" spans="1:11" ht="15.75" customHeight="1" x14ac:dyDescent="0.25">
      <c r="A2031" s="21" t="s">
        <v>2114</v>
      </c>
      <c r="B2031" s="26" t="s">
        <v>3587</v>
      </c>
      <c r="C2031" s="3" t="s">
        <v>3588</v>
      </c>
      <c r="D2031" s="21"/>
      <c r="E2031" s="21" t="s">
        <v>3569</v>
      </c>
      <c r="F2031" s="3" t="s">
        <v>78</v>
      </c>
      <c r="G2031" s="3">
        <v>1</v>
      </c>
      <c r="H2031" s="23">
        <v>3824.7</v>
      </c>
      <c r="I2031" s="124">
        <f t="shared" si="78"/>
        <v>3824.7</v>
      </c>
      <c r="J2031" s="21"/>
      <c r="K2031" s="24" t="s">
        <v>3586</v>
      </c>
    </row>
    <row r="2032" spans="1:11" ht="15.75" customHeight="1" x14ac:dyDescent="0.25">
      <c r="A2032" s="21" t="s">
        <v>2917</v>
      </c>
      <c r="B2032" s="26" t="s">
        <v>3589</v>
      </c>
      <c r="C2032" s="3" t="s">
        <v>3590</v>
      </c>
      <c r="D2032" s="21"/>
      <c r="E2032" s="21" t="s">
        <v>3569</v>
      </c>
      <c r="F2032" s="3" t="s">
        <v>78</v>
      </c>
      <c r="G2032" s="3">
        <v>1</v>
      </c>
      <c r="H2032" s="23">
        <v>4133.3599999999997</v>
      </c>
      <c r="I2032" s="124">
        <f t="shared" si="78"/>
        <v>4133.3599999999997</v>
      </c>
      <c r="J2032" s="21"/>
      <c r="K2032" s="24"/>
    </row>
    <row r="2033" spans="1:11" ht="15.75" customHeight="1" x14ac:dyDescent="0.25">
      <c r="A2033" s="21" t="s">
        <v>2920</v>
      </c>
      <c r="B2033" s="26" t="s">
        <v>3591</v>
      </c>
      <c r="C2033" s="3" t="s">
        <v>3592</v>
      </c>
      <c r="D2033" s="21"/>
      <c r="E2033" s="21" t="s">
        <v>3569</v>
      </c>
      <c r="F2033" s="3" t="s">
        <v>78</v>
      </c>
      <c r="G2033" s="3">
        <v>1</v>
      </c>
      <c r="H2033" s="23">
        <v>3333.53</v>
      </c>
      <c r="I2033" s="124">
        <f t="shared" si="78"/>
        <v>3333.53</v>
      </c>
      <c r="J2033" s="21"/>
      <c r="K2033" s="24"/>
    </row>
    <row r="2034" spans="1:11" ht="15.75" customHeight="1" x14ac:dyDescent="0.25">
      <c r="A2034" s="21" t="s">
        <v>2923</v>
      </c>
      <c r="B2034" s="26" t="s">
        <v>3593</v>
      </c>
      <c r="C2034" s="3" t="s">
        <v>3594</v>
      </c>
      <c r="D2034" s="21"/>
      <c r="E2034" s="21" t="s">
        <v>3569</v>
      </c>
      <c r="F2034" s="3" t="s">
        <v>78</v>
      </c>
      <c r="G2034" s="3">
        <v>3</v>
      </c>
      <c r="H2034" s="23">
        <v>3619.37</v>
      </c>
      <c r="I2034" s="124">
        <f t="shared" si="78"/>
        <v>10858.11</v>
      </c>
      <c r="J2034" s="21"/>
      <c r="K2034" s="24"/>
    </row>
    <row r="2035" spans="1:11" ht="15.75" customHeight="1" x14ac:dyDescent="0.25">
      <c r="A2035" s="21" t="s">
        <v>2926</v>
      </c>
      <c r="B2035" s="26" t="s">
        <v>3595</v>
      </c>
      <c r="C2035" s="3" t="s">
        <v>3596</v>
      </c>
      <c r="D2035" s="21"/>
      <c r="E2035" s="21" t="s">
        <v>3569</v>
      </c>
      <c r="F2035" s="3" t="s">
        <v>78</v>
      </c>
      <c r="G2035" s="3">
        <v>25</v>
      </c>
      <c r="H2035" s="23">
        <v>15164.5</v>
      </c>
      <c r="I2035" s="124">
        <f t="shared" si="78"/>
        <v>379112.5</v>
      </c>
      <c r="J2035" s="21"/>
      <c r="K2035" s="24"/>
    </row>
    <row r="2036" spans="1:11" ht="15.75" customHeight="1" x14ac:dyDescent="0.25">
      <c r="A2036" s="21" t="s">
        <v>2929</v>
      </c>
      <c r="B2036" s="26" t="s">
        <v>3597</v>
      </c>
      <c r="C2036" s="3" t="s">
        <v>3598</v>
      </c>
      <c r="D2036" s="21"/>
      <c r="E2036" s="21" t="s">
        <v>3569</v>
      </c>
      <c r="F2036" s="3" t="s">
        <v>78</v>
      </c>
      <c r="G2036" s="3">
        <v>54</v>
      </c>
      <c r="H2036" s="23">
        <v>507.28</v>
      </c>
      <c r="I2036" s="124">
        <f t="shared" si="78"/>
        <v>27393.119999999999</v>
      </c>
      <c r="J2036" s="21"/>
      <c r="K2036" s="24"/>
    </row>
    <row r="2037" spans="1:11" ht="15.75" customHeight="1" x14ac:dyDescent="0.25">
      <c r="A2037" s="21" t="s">
        <v>2932</v>
      </c>
      <c r="B2037" s="26" t="s">
        <v>3599</v>
      </c>
      <c r="C2037" s="3" t="s">
        <v>3600</v>
      </c>
      <c r="D2037" s="21"/>
      <c r="E2037" s="21" t="s">
        <v>3569</v>
      </c>
      <c r="F2037" s="3" t="s">
        <v>78</v>
      </c>
      <c r="G2037" s="3">
        <v>8</v>
      </c>
      <c r="H2037" s="23">
        <v>1308.45</v>
      </c>
      <c r="I2037" s="124">
        <f t="shared" si="78"/>
        <v>10467.6</v>
      </c>
      <c r="J2037" s="21"/>
      <c r="K2037" s="24"/>
    </row>
    <row r="2038" spans="1:11" ht="15.75" customHeight="1" x14ac:dyDescent="0.25">
      <c r="A2038" s="21" t="s">
        <v>2935</v>
      </c>
      <c r="B2038" s="26" t="s">
        <v>3601</v>
      </c>
      <c r="C2038" s="3" t="s">
        <v>3602</v>
      </c>
      <c r="D2038" s="21"/>
      <c r="E2038" s="21" t="s">
        <v>3569</v>
      </c>
      <c r="F2038" s="3" t="s">
        <v>78</v>
      </c>
      <c r="G2038" s="3">
        <v>71</v>
      </c>
      <c r="H2038" s="23">
        <v>1378.23</v>
      </c>
      <c r="I2038" s="124">
        <f t="shared" si="78"/>
        <v>97854.33</v>
      </c>
      <c r="J2038" s="21"/>
      <c r="K2038" s="24"/>
    </row>
    <row r="2039" spans="1:11" ht="15.75" customHeight="1" x14ac:dyDescent="0.25">
      <c r="A2039" s="21" t="s">
        <v>2938</v>
      </c>
      <c r="B2039" s="26" t="s">
        <v>3603</v>
      </c>
      <c r="C2039" s="3" t="s">
        <v>3604</v>
      </c>
      <c r="D2039" s="21"/>
      <c r="E2039" s="21" t="s">
        <v>3569</v>
      </c>
      <c r="F2039" s="3" t="s">
        <v>78</v>
      </c>
      <c r="G2039" s="3">
        <v>11</v>
      </c>
      <c r="H2039" s="23">
        <v>802.2</v>
      </c>
      <c r="I2039" s="124">
        <f t="shared" si="78"/>
        <v>8824.2000000000007</v>
      </c>
      <c r="J2039" s="21"/>
      <c r="K2039" s="24"/>
    </row>
    <row r="2040" spans="1:11" ht="15.75" customHeight="1" x14ac:dyDescent="0.25">
      <c r="A2040" s="21" t="s">
        <v>2941</v>
      </c>
      <c r="B2040" s="26" t="s">
        <v>3599</v>
      </c>
      <c r="C2040" s="3" t="s">
        <v>3605</v>
      </c>
      <c r="D2040" s="21"/>
      <c r="E2040" s="21" t="s">
        <v>3569</v>
      </c>
      <c r="F2040" s="3" t="s">
        <v>78</v>
      </c>
      <c r="G2040" s="3">
        <v>79</v>
      </c>
      <c r="H2040" s="23">
        <v>1362.13</v>
      </c>
      <c r="I2040" s="124">
        <f t="shared" si="78"/>
        <v>107608.27</v>
      </c>
      <c r="J2040" s="21"/>
      <c r="K2040" s="24"/>
    </row>
    <row r="2041" spans="1:11" ht="15.75" customHeight="1" x14ac:dyDescent="0.25">
      <c r="A2041" s="21" t="s">
        <v>2944</v>
      </c>
      <c r="B2041" s="26" t="s">
        <v>3606</v>
      </c>
      <c r="C2041" s="3" t="s">
        <v>3607</v>
      </c>
      <c r="D2041" s="21"/>
      <c r="E2041" s="21" t="s">
        <v>3569</v>
      </c>
      <c r="F2041" s="3" t="s">
        <v>78</v>
      </c>
      <c r="G2041" s="3">
        <v>15</v>
      </c>
      <c r="H2041" s="23">
        <v>908.53</v>
      </c>
      <c r="I2041" s="124">
        <f t="shared" si="78"/>
        <v>13627.949999999999</v>
      </c>
      <c r="J2041" s="21"/>
      <c r="K2041" s="24"/>
    </row>
    <row r="2042" spans="1:11" ht="15.75" customHeight="1" x14ac:dyDescent="0.25">
      <c r="A2042" s="21" t="s">
        <v>2947</v>
      </c>
      <c r="B2042" s="26" t="s">
        <v>3608</v>
      </c>
      <c r="C2042" s="3" t="s">
        <v>3609</v>
      </c>
      <c r="D2042" s="21"/>
      <c r="E2042" s="21" t="s">
        <v>3569</v>
      </c>
      <c r="F2042" s="3" t="s">
        <v>78</v>
      </c>
      <c r="G2042" s="3">
        <v>6</v>
      </c>
      <c r="H2042" s="23">
        <v>662.95</v>
      </c>
      <c r="I2042" s="124">
        <f t="shared" si="78"/>
        <v>3977.7000000000003</v>
      </c>
      <c r="J2042" s="21"/>
      <c r="K2042" s="24"/>
    </row>
    <row r="2043" spans="1:11" ht="15.75" customHeight="1" x14ac:dyDescent="0.25">
      <c r="A2043" s="21" t="s">
        <v>2951</v>
      </c>
      <c r="B2043" s="26" t="s">
        <v>3610</v>
      </c>
      <c r="C2043" s="3" t="s">
        <v>3611</v>
      </c>
      <c r="D2043" s="21"/>
      <c r="E2043" s="21" t="s">
        <v>3612</v>
      </c>
      <c r="F2043" s="3" t="s">
        <v>78</v>
      </c>
      <c r="G2043" s="3">
        <v>1</v>
      </c>
      <c r="H2043" s="23"/>
      <c r="I2043" s="124">
        <f t="shared" si="78"/>
        <v>0</v>
      </c>
      <c r="J2043" s="21"/>
      <c r="K2043" s="24" t="s">
        <v>3613</v>
      </c>
    </row>
    <row r="2044" spans="1:11" ht="15.75" customHeight="1" x14ac:dyDescent="0.25">
      <c r="A2044" s="21" t="s">
        <v>2956</v>
      </c>
      <c r="B2044" s="26" t="s">
        <v>3614</v>
      </c>
      <c r="C2044" s="3" t="s">
        <v>3615</v>
      </c>
      <c r="D2044" s="21"/>
      <c r="E2044" s="21" t="s">
        <v>2586</v>
      </c>
      <c r="F2044" s="3" t="s">
        <v>78</v>
      </c>
      <c r="G2044" s="3">
        <v>4</v>
      </c>
      <c r="H2044" s="23"/>
      <c r="I2044" s="124">
        <f t="shared" si="78"/>
        <v>0</v>
      </c>
      <c r="J2044" s="21"/>
      <c r="K2044" s="24" t="s">
        <v>3613</v>
      </c>
    </row>
    <row r="2045" spans="1:11" ht="42.75" customHeight="1" x14ac:dyDescent="0.25">
      <c r="A2045" s="21" t="s">
        <v>2959</v>
      </c>
      <c r="B2045" s="26" t="s">
        <v>3616</v>
      </c>
      <c r="C2045" s="3" t="s">
        <v>3617</v>
      </c>
      <c r="D2045" s="21"/>
      <c r="E2045" s="21" t="s">
        <v>3569</v>
      </c>
      <c r="F2045" s="3" t="s">
        <v>78</v>
      </c>
      <c r="G2045" s="3">
        <v>1</v>
      </c>
      <c r="H2045" s="23">
        <v>761362.23</v>
      </c>
      <c r="I2045" s="124">
        <f t="shared" si="78"/>
        <v>761362.23</v>
      </c>
      <c r="J2045" s="21"/>
      <c r="K2045" s="24" t="s">
        <v>3618</v>
      </c>
    </row>
    <row r="2046" spans="1:11" ht="135" customHeight="1" x14ac:dyDescent="0.25">
      <c r="A2046" s="21" t="s">
        <v>2963</v>
      </c>
      <c r="B2046" s="26" t="s">
        <v>3619</v>
      </c>
      <c r="C2046" s="3" t="s">
        <v>3620</v>
      </c>
      <c r="D2046" s="21"/>
      <c r="E2046" s="21" t="s">
        <v>3621</v>
      </c>
      <c r="F2046" s="3" t="s">
        <v>78</v>
      </c>
      <c r="G2046" s="3">
        <v>2</v>
      </c>
      <c r="H2046" s="23">
        <v>287767</v>
      </c>
      <c r="I2046" s="124">
        <f t="shared" si="78"/>
        <v>575534</v>
      </c>
      <c r="J2046" s="21"/>
      <c r="K2046" s="24" t="s">
        <v>3622</v>
      </c>
    </row>
    <row r="2047" spans="1:11" ht="15.75" customHeight="1" x14ac:dyDescent="0.25">
      <c r="A2047" s="21" t="s">
        <v>2966</v>
      </c>
      <c r="B2047" s="26" t="s">
        <v>3623</v>
      </c>
      <c r="C2047" s="3" t="s">
        <v>3624</v>
      </c>
      <c r="D2047" s="21"/>
      <c r="E2047" s="21" t="s">
        <v>3463</v>
      </c>
      <c r="F2047" s="3" t="s">
        <v>78</v>
      </c>
      <c r="G2047" s="3">
        <v>2</v>
      </c>
      <c r="H2047" s="23"/>
      <c r="I2047" s="124">
        <f t="shared" si="78"/>
        <v>0</v>
      </c>
      <c r="J2047" s="21"/>
      <c r="K2047" s="24" t="s">
        <v>3622</v>
      </c>
    </row>
    <row r="2048" spans="1:11" ht="15.75" customHeight="1" x14ac:dyDescent="0.25">
      <c r="A2048" s="21" t="s">
        <v>2969</v>
      </c>
      <c r="B2048" s="26" t="s">
        <v>3532</v>
      </c>
      <c r="C2048" s="3" t="s">
        <v>3533</v>
      </c>
      <c r="D2048" s="21"/>
      <c r="E2048" s="21" t="s">
        <v>3534</v>
      </c>
      <c r="F2048" s="3" t="s">
        <v>78</v>
      </c>
      <c r="G2048" s="3">
        <v>2</v>
      </c>
      <c r="H2048" s="23"/>
      <c r="I2048" s="124">
        <f t="shared" si="78"/>
        <v>0</v>
      </c>
      <c r="J2048" s="21"/>
      <c r="K2048" s="24" t="s">
        <v>3622</v>
      </c>
    </row>
    <row r="2049" spans="1:11" ht="15.75" customHeight="1" x14ac:dyDescent="0.25">
      <c r="A2049" s="21" t="s">
        <v>2972</v>
      </c>
      <c r="B2049" s="26" t="s">
        <v>3625</v>
      </c>
      <c r="C2049" s="3"/>
      <c r="D2049" s="21"/>
      <c r="E2049" s="21" t="s">
        <v>3569</v>
      </c>
      <c r="F2049" s="3" t="s">
        <v>78</v>
      </c>
      <c r="G2049" s="3">
        <v>2</v>
      </c>
      <c r="H2049" s="23">
        <v>7493.73</v>
      </c>
      <c r="I2049" s="124">
        <f t="shared" si="78"/>
        <v>14987.46</v>
      </c>
      <c r="J2049" s="21"/>
      <c r="K2049" s="24" t="s">
        <v>3622</v>
      </c>
    </row>
    <row r="2050" spans="1:11" ht="15.75" customHeight="1" x14ac:dyDescent="0.25">
      <c r="A2050" s="21" t="s">
        <v>2975</v>
      </c>
      <c r="B2050" s="26" t="s">
        <v>3626</v>
      </c>
      <c r="C2050" s="3"/>
      <c r="D2050" s="21"/>
      <c r="E2050" s="21" t="s">
        <v>3569</v>
      </c>
      <c r="F2050" s="3" t="s">
        <v>78</v>
      </c>
      <c r="G2050" s="3">
        <v>2</v>
      </c>
      <c r="H2050" s="23">
        <v>7493.73</v>
      </c>
      <c r="I2050" s="124">
        <f t="shared" si="78"/>
        <v>14987.46</v>
      </c>
      <c r="J2050" s="21"/>
      <c r="K2050" s="24" t="s">
        <v>3622</v>
      </c>
    </row>
    <row r="2051" spans="1:11" ht="28.5" customHeight="1" x14ac:dyDescent="0.25">
      <c r="A2051" s="21" t="s">
        <v>2976</v>
      </c>
      <c r="B2051" s="26" t="s">
        <v>3627</v>
      </c>
      <c r="C2051" s="3" t="s">
        <v>3628</v>
      </c>
      <c r="D2051" s="21"/>
      <c r="E2051" s="21"/>
      <c r="F2051" s="3" t="s">
        <v>78</v>
      </c>
      <c r="G2051" s="3">
        <v>9</v>
      </c>
      <c r="H2051" s="23">
        <v>54000</v>
      </c>
      <c r="I2051" s="124">
        <f t="shared" si="78"/>
        <v>486000</v>
      </c>
      <c r="J2051" s="21"/>
      <c r="K2051" s="24"/>
    </row>
    <row r="2052" spans="1:11" ht="15.75" customHeight="1" x14ac:dyDescent="0.25">
      <c r="A2052" s="42" t="s">
        <v>2978</v>
      </c>
      <c r="B2052" s="20" t="s">
        <v>2821</v>
      </c>
      <c r="C2052" s="22"/>
      <c r="D2052" s="21"/>
      <c r="E2052" s="21"/>
      <c r="F2052" s="22"/>
      <c r="G2052" s="21"/>
      <c r="H2052" s="23"/>
      <c r="I2052" s="124"/>
      <c r="J2052" s="21"/>
      <c r="K2052" s="24"/>
    </row>
    <row r="2053" spans="1:11" ht="28.5" customHeight="1" x14ac:dyDescent="0.25">
      <c r="A2053" s="21" t="s">
        <v>2979</v>
      </c>
      <c r="B2053" s="26" t="s">
        <v>2827</v>
      </c>
      <c r="C2053" s="3" t="s">
        <v>3546</v>
      </c>
      <c r="D2053" s="21" t="s">
        <v>2829</v>
      </c>
      <c r="E2053" s="21" t="s">
        <v>2529</v>
      </c>
      <c r="F2053" s="3" t="s">
        <v>78</v>
      </c>
      <c r="G2053" s="3">
        <v>1</v>
      </c>
      <c r="H2053" s="23">
        <v>233.21</v>
      </c>
      <c r="I2053" s="124">
        <f t="shared" ref="I2053:I2073" si="79">H2053*G2053</f>
        <v>233.21</v>
      </c>
      <c r="J2053" s="21"/>
      <c r="K2053" s="24"/>
    </row>
    <row r="2054" spans="1:11" ht="28.5" customHeight="1" x14ac:dyDescent="0.25">
      <c r="A2054" s="21" t="s">
        <v>2980</v>
      </c>
      <c r="B2054" s="26" t="s">
        <v>2831</v>
      </c>
      <c r="C2054" s="3" t="s">
        <v>3548</v>
      </c>
      <c r="D2054" s="21" t="s">
        <v>2833</v>
      </c>
      <c r="E2054" s="21" t="s">
        <v>2529</v>
      </c>
      <c r="F2054" s="3" t="s">
        <v>78</v>
      </c>
      <c r="G2054" s="3">
        <v>1</v>
      </c>
      <c r="H2054" s="23">
        <v>310.22000000000003</v>
      </c>
      <c r="I2054" s="124">
        <f t="shared" si="79"/>
        <v>310.22000000000003</v>
      </c>
      <c r="J2054" s="21"/>
      <c r="K2054" s="24"/>
    </row>
    <row r="2055" spans="1:11" ht="15.75" customHeight="1" x14ac:dyDescent="0.25">
      <c r="A2055" s="21" t="s">
        <v>3629</v>
      </c>
      <c r="B2055" s="26" t="s">
        <v>3630</v>
      </c>
      <c r="C2055" s="3" t="s">
        <v>3066</v>
      </c>
      <c r="D2055" s="21"/>
      <c r="E2055" s="21" t="s">
        <v>3631</v>
      </c>
      <c r="F2055" s="3" t="s">
        <v>89</v>
      </c>
      <c r="G2055" s="3">
        <v>130</v>
      </c>
      <c r="H2055" s="23">
        <v>89</v>
      </c>
      <c r="I2055" s="124">
        <f t="shared" si="79"/>
        <v>11570</v>
      </c>
      <c r="J2055" s="21"/>
      <c r="K2055" s="24" t="s">
        <v>2847</v>
      </c>
    </row>
    <row r="2056" spans="1:11" ht="15.75" customHeight="1" x14ac:dyDescent="0.25">
      <c r="A2056" s="21" t="s">
        <v>3632</v>
      </c>
      <c r="B2056" s="26" t="s">
        <v>3633</v>
      </c>
      <c r="C2056" s="3" t="s">
        <v>3092</v>
      </c>
      <c r="D2056" s="21"/>
      <c r="E2056" s="21" t="s">
        <v>3631</v>
      </c>
      <c r="F2056" s="3" t="s">
        <v>89</v>
      </c>
      <c r="G2056" s="3">
        <v>210</v>
      </c>
      <c r="H2056" s="23">
        <v>80</v>
      </c>
      <c r="I2056" s="124">
        <f t="shared" si="79"/>
        <v>16800</v>
      </c>
      <c r="J2056" s="21"/>
      <c r="K2056" s="24" t="s">
        <v>2847</v>
      </c>
    </row>
    <row r="2057" spans="1:11" ht="15.75" customHeight="1" x14ac:dyDescent="0.25">
      <c r="A2057" s="21" t="s">
        <v>3634</v>
      </c>
      <c r="B2057" s="26" t="s">
        <v>3635</v>
      </c>
      <c r="C2057" s="3" t="s">
        <v>3636</v>
      </c>
      <c r="D2057" s="21"/>
      <c r="E2057" s="21" t="s">
        <v>3631</v>
      </c>
      <c r="F2057" s="3" t="s">
        <v>89</v>
      </c>
      <c r="G2057" s="3">
        <v>110</v>
      </c>
      <c r="H2057" s="23">
        <v>143</v>
      </c>
      <c r="I2057" s="124">
        <f t="shared" si="79"/>
        <v>15730</v>
      </c>
      <c r="J2057" s="21"/>
      <c r="K2057" s="24" t="s">
        <v>2847</v>
      </c>
    </row>
    <row r="2058" spans="1:11" ht="15.75" customHeight="1" x14ac:dyDescent="0.25">
      <c r="A2058" s="21" t="s">
        <v>3637</v>
      </c>
      <c r="B2058" s="26" t="s">
        <v>3638</v>
      </c>
      <c r="C2058" s="3" t="s">
        <v>3639</v>
      </c>
      <c r="D2058" s="21"/>
      <c r="E2058" s="21" t="s">
        <v>3631</v>
      </c>
      <c r="F2058" s="3" t="s">
        <v>89</v>
      </c>
      <c r="G2058" s="3">
        <v>1900</v>
      </c>
      <c r="H2058" s="23">
        <v>65</v>
      </c>
      <c r="I2058" s="124">
        <f t="shared" si="79"/>
        <v>123500</v>
      </c>
      <c r="J2058" s="21"/>
      <c r="K2058" s="24" t="s">
        <v>2847</v>
      </c>
    </row>
    <row r="2059" spans="1:11" ht="15.75" customHeight="1" x14ac:dyDescent="0.25">
      <c r="A2059" s="21" t="s">
        <v>3640</v>
      </c>
      <c r="B2059" s="26" t="s">
        <v>2865</v>
      </c>
      <c r="C2059" s="3" t="s">
        <v>2866</v>
      </c>
      <c r="D2059" s="21" t="s">
        <v>2867</v>
      </c>
      <c r="E2059" s="21" t="s">
        <v>2783</v>
      </c>
      <c r="F2059" s="3" t="s">
        <v>89</v>
      </c>
      <c r="G2059" s="3">
        <v>1900</v>
      </c>
      <c r="H2059" s="23"/>
      <c r="I2059" s="124">
        <f t="shared" si="79"/>
        <v>0</v>
      </c>
      <c r="J2059" s="21"/>
      <c r="K2059" s="24"/>
    </row>
    <row r="2060" spans="1:11" ht="15.75" customHeight="1" x14ac:dyDescent="0.25">
      <c r="A2060" s="21" t="s">
        <v>3641</v>
      </c>
      <c r="B2060" s="26" t="s">
        <v>2869</v>
      </c>
      <c r="C2060" s="3" t="s">
        <v>2866</v>
      </c>
      <c r="D2060" s="21" t="s">
        <v>2870</v>
      </c>
      <c r="E2060" s="3" t="s">
        <v>292</v>
      </c>
      <c r="F2060" s="3" t="s">
        <v>78</v>
      </c>
      <c r="G2060" s="3">
        <v>6400</v>
      </c>
      <c r="H2060" s="23"/>
      <c r="I2060" s="124">
        <f t="shared" si="79"/>
        <v>0</v>
      </c>
      <c r="J2060" s="21"/>
      <c r="K2060" s="24"/>
    </row>
    <row r="2061" spans="1:11" ht="15.75" customHeight="1" x14ac:dyDescent="0.25">
      <c r="A2061" s="21" t="s">
        <v>3642</v>
      </c>
      <c r="B2061" s="26" t="s">
        <v>2872</v>
      </c>
      <c r="C2061" s="3"/>
      <c r="D2061" s="21" t="s">
        <v>2873</v>
      </c>
      <c r="E2061" s="3" t="s">
        <v>292</v>
      </c>
      <c r="F2061" s="3" t="s">
        <v>78</v>
      </c>
      <c r="G2061" s="3">
        <v>1000</v>
      </c>
      <c r="H2061" s="23"/>
      <c r="I2061" s="124">
        <f t="shared" si="79"/>
        <v>0</v>
      </c>
      <c r="J2061" s="21"/>
      <c r="K2061" s="24"/>
    </row>
    <row r="2062" spans="1:11" ht="15.75" customHeight="1" x14ac:dyDescent="0.25">
      <c r="A2062" s="21" t="s">
        <v>3643</v>
      </c>
      <c r="B2062" s="26" t="s">
        <v>2875</v>
      </c>
      <c r="C2062" s="3" t="s">
        <v>2977</v>
      </c>
      <c r="D2062" s="21"/>
      <c r="E2062" s="21" t="s">
        <v>46</v>
      </c>
      <c r="F2062" s="3" t="s">
        <v>78</v>
      </c>
      <c r="G2062" s="3">
        <v>1000</v>
      </c>
      <c r="H2062" s="23"/>
      <c r="I2062" s="124">
        <f t="shared" si="79"/>
        <v>0</v>
      </c>
      <c r="J2062" s="21"/>
      <c r="K2062" s="24"/>
    </row>
    <row r="2063" spans="1:11" ht="15.75" customHeight="1" x14ac:dyDescent="0.25">
      <c r="A2063" s="21" t="s">
        <v>3644</v>
      </c>
      <c r="B2063" s="26" t="s">
        <v>2878</v>
      </c>
      <c r="C2063" s="3" t="s">
        <v>2879</v>
      </c>
      <c r="D2063" s="21"/>
      <c r="E2063" s="21" t="s">
        <v>2880</v>
      </c>
      <c r="F2063" s="3" t="s">
        <v>89</v>
      </c>
      <c r="G2063" s="3">
        <v>20</v>
      </c>
      <c r="H2063" s="23"/>
      <c r="I2063" s="124">
        <f t="shared" si="79"/>
        <v>0</v>
      </c>
      <c r="J2063" s="21"/>
      <c r="K2063" s="24"/>
    </row>
    <row r="2064" spans="1:11" ht="15.75" customHeight="1" x14ac:dyDescent="0.25">
      <c r="A2064" s="21" t="s">
        <v>3645</v>
      </c>
      <c r="B2064" s="26" t="s">
        <v>2882</v>
      </c>
      <c r="C2064" s="3" t="s">
        <v>2883</v>
      </c>
      <c r="D2064" s="21"/>
      <c r="E2064" s="21" t="s">
        <v>2880</v>
      </c>
      <c r="F2064" s="3" t="s">
        <v>89</v>
      </c>
      <c r="G2064" s="3">
        <v>2</v>
      </c>
      <c r="H2064" s="23"/>
      <c r="I2064" s="124">
        <f t="shared" si="79"/>
        <v>0</v>
      </c>
      <c r="J2064" s="21"/>
      <c r="K2064" s="24"/>
    </row>
    <row r="2065" spans="1:11" ht="15.75" customHeight="1" x14ac:dyDescent="0.25">
      <c r="A2065" s="21" t="s">
        <v>3646</v>
      </c>
      <c r="B2065" s="26" t="s">
        <v>2885</v>
      </c>
      <c r="C2065" s="3" t="s">
        <v>2886</v>
      </c>
      <c r="D2065" s="21"/>
      <c r="E2065" s="3" t="s">
        <v>292</v>
      </c>
      <c r="F2065" s="3" t="s">
        <v>78</v>
      </c>
      <c r="G2065" s="3">
        <v>60</v>
      </c>
      <c r="H2065" s="23"/>
      <c r="I2065" s="124">
        <f t="shared" si="79"/>
        <v>0</v>
      </c>
      <c r="J2065" s="21"/>
      <c r="K2065" s="24"/>
    </row>
    <row r="2066" spans="1:11" ht="15.75" customHeight="1" x14ac:dyDescent="0.25">
      <c r="A2066" s="21" t="s">
        <v>3647</v>
      </c>
      <c r="B2066" s="26" t="s">
        <v>2888</v>
      </c>
      <c r="C2066" s="3" t="s">
        <v>2889</v>
      </c>
      <c r="D2066" s="21"/>
      <c r="E2066" s="3" t="s">
        <v>292</v>
      </c>
      <c r="F2066" s="3" t="s">
        <v>78</v>
      </c>
      <c r="G2066" s="3">
        <v>3</v>
      </c>
      <c r="H2066" s="23"/>
      <c r="I2066" s="124">
        <f t="shared" si="79"/>
        <v>0</v>
      </c>
      <c r="J2066" s="21"/>
      <c r="K2066" s="24"/>
    </row>
    <row r="2067" spans="1:11" ht="15.75" customHeight="1" x14ac:dyDescent="0.25">
      <c r="A2067" s="21" t="s">
        <v>3648</v>
      </c>
      <c r="B2067" s="26" t="s">
        <v>2891</v>
      </c>
      <c r="C2067" s="3" t="s">
        <v>2892</v>
      </c>
      <c r="D2067" s="21"/>
      <c r="E2067" s="3" t="s">
        <v>292</v>
      </c>
      <c r="F2067" s="3" t="s">
        <v>78</v>
      </c>
      <c r="G2067" s="3">
        <v>5</v>
      </c>
      <c r="H2067" s="23"/>
      <c r="I2067" s="124">
        <f t="shared" si="79"/>
        <v>0</v>
      </c>
      <c r="J2067" s="21"/>
      <c r="K2067" s="24"/>
    </row>
    <row r="2068" spans="1:11" ht="15.75" customHeight="1" x14ac:dyDescent="0.25">
      <c r="A2068" s="21" t="s">
        <v>3649</v>
      </c>
      <c r="B2068" s="26" t="s">
        <v>3552</v>
      </c>
      <c r="C2068" s="3" t="s">
        <v>3553</v>
      </c>
      <c r="D2068" s="21">
        <v>1050</v>
      </c>
      <c r="E2068" s="21" t="s">
        <v>292</v>
      </c>
      <c r="F2068" s="3" t="s">
        <v>89</v>
      </c>
      <c r="G2068" s="3">
        <v>4</v>
      </c>
      <c r="H2068" s="23"/>
      <c r="I2068" s="124">
        <f t="shared" si="79"/>
        <v>0</v>
      </c>
      <c r="J2068" s="21"/>
      <c r="K2068" s="24"/>
    </row>
    <row r="2069" spans="1:11" ht="15.75" customHeight="1" x14ac:dyDescent="0.25">
      <c r="A2069" s="21" t="s">
        <v>3650</v>
      </c>
      <c r="B2069" s="26" t="s">
        <v>3555</v>
      </c>
      <c r="C2069" s="3" t="s">
        <v>3553</v>
      </c>
      <c r="D2069" s="21" t="s">
        <v>3556</v>
      </c>
      <c r="E2069" s="3" t="s">
        <v>292</v>
      </c>
      <c r="F2069" s="3" t="s">
        <v>78</v>
      </c>
      <c r="G2069" s="3">
        <v>4</v>
      </c>
      <c r="H2069" s="23"/>
      <c r="I2069" s="124">
        <f t="shared" si="79"/>
        <v>0</v>
      </c>
      <c r="J2069" s="21"/>
      <c r="K2069" s="24"/>
    </row>
    <row r="2070" spans="1:11" ht="15.75" customHeight="1" x14ac:dyDescent="0.25">
      <c r="A2070" s="21" t="s">
        <v>3651</v>
      </c>
      <c r="B2070" s="26" t="s">
        <v>3557</v>
      </c>
      <c r="C2070" s="3" t="s">
        <v>3553</v>
      </c>
      <c r="D2070" s="21" t="s">
        <v>3558</v>
      </c>
      <c r="E2070" s="3" t="s">
        <v>292</v>
      </c>
      <c r="F2070" s="3" t="s">
        <v>78</v>
      </c>
      <c r="G2070" s="3">
        <v>4</v>
      </c>
      <c r="H2070" s="23"/>
      <c r="I2070" s="124">
        <f t="shared" si="79"/>
        <v>0</v>
      </c>
      <c r="J2070" s="21"/>
      <c r="K2070" s="24"/>
    </row>
    <row r="2071" spans="1:11" ht="15.75" customHeight="1" x14ac:dyDescent="0.25">
      <c r="A2071" s="21" t="s">
        <v>3652</v>
      </c>
      <c r="B2071" s="26" t="s">
        <v>3559</v>
      </c>
      <c r="C2071" s="3" t="s">
        <v>3553</v>
      </c>
      <c r="D2071" s="21" t="s">
        <v>3560</v>
      </c>
      <c r="E2071" s="3" t="s">
        <v>292</v>
      </c>
      <c r="F2071" s="3" t="s">
        <v>78</v>
      </c>
      <c r="G2071" s="3">
        <v>3</v>
      </c>
      <c r="H2071" s="23"/>
      <c r="I2071" s="124">
        <f t="shared" si="79"/>
        <v>0</v>
      </c>
      <c r="J2071" s="21"/>
      <c r="K2071" s="24"/>
    </row>
    <row r="2072" spans="1:11" ht="15.75" customHeight="1" x14ac:dyDescent="0.25">
      <c r="A2072" s="21" t="s">
        <v>3653</v>
      </c>
      <c r="B2072" s="26" t="s">
        <v>3561</v>
      </c>
      <c r="C2072" s="3" t="s">
        <v>3553</v>
      </c>
      <c r="D2072" s="21" t="s">
        <v>3562</v>
      </c>
      <c r="E2072" s="3" t="s">
        <v>292</v>
      </c>
      <c r="F2072" s="3" t="s">
        <v>78</v>
      </c>
      <c r="G2072" s="3">
        <v>2</v>
      </c>
      <c r="H2072" s="23"/>
      <c r="I2072" s="124">
        <f t="shared" si="79"/>
        <v>0</v>
      </c>
      <c r="J2072" s="21"/>
      <c r="K2072" s="24"/>
    </row>
    <row r="2073" spans="1:11" ht="15.75" customHeight="1" x14ac:dyDescent="0.25">
      <c r="A2073" s="21" t="s">
        <v>3654</v>
      </c>
      <c r="B2073" s="26" t="s">
        <v>3563</v>
      </c>
      <c r="C2073" s="3" t="s">
        <v>3553</v>
      </c>
      <c r="D2073" s="21" t="s">
        <v>3564</v>
      </c>
      <c r="E2073" s="3" t="s">
        <v>292</v>
      </c>
      <c r="F2073" s="3" t="s">
        <v>78</v>
      </c>
      <c r="G2073" s="3">
        <v>2</v>
      </c>
      <c r="H2073" s="23"/>
      <c r="I2073" s="124">
        <f t="shared" si="79"/>
        <v>0</v>
      </c>
      <c r="J2073" s="21"/>
      <c r="K2073" s="24"/>
    </row>
    <row r="2074" spans="1:11" ht="15.75" customHeight="1" x14ac:dyDescent="0.25">
      <c r="A2074" s="42" t="s">
        <v>432</v>
      </c>
      <c r="B2074" s="20" t="s">
        <v>3655</v>
      </c>
      <c r="C2074" s="22"/>
      <c r="D2074" s="21"/>
      <c r="E2074" s="21"/>
      <c r="F2074" s="22"/>
      <c r="G2074" s="21"/>
      <c r="H2074" s="23"/>
      <c r="I2074" s="124"/>
      <c r="J2074" s="21"/>
      <c r="K2074" s="24"/>
    </row>
    <row r="2075" spans="1:11" ht="15.75" customHeight="1" x14ac:dyDescent="0.25">
      <c r="A2075" s="21" t="s">
        <v>1995</v>
      </c>
      <c r="B2075" s="26" t="s">
        <v>3572</v>
      </c>
      <c r="C2075" s="3" t="s">
        <v>3573</v>
      </c>
      <c r="D2075" s="21"/>
      <c r="E2075" s="21" t="s">
        <v>3569</v>
      </c>
      <c r="F2075" s="3" t="s">
        <v>78</v>
      </c>
      <c r="G2075" s="3">
        <v>2</v>
      </c>
      <c r="H2075" s="23">
        <v>7258.88</v>
      </c>
      <c r="I2075" s="124">
        <f t="shared" ref="I2075:I2106" si="80">H2075*G2075</f>
        <v>14517.76</v>
      </c>
      <c r="J2075" s="21"/>
      <c r="K2075" s="24"/>
    </row>
    <row r="2076" spans="1:11" ht="15.75" customHeight="1" x14ac:dyDescent="0.25">
      <c r="A2076" s="21" t="s">
        <v>1999</v>
      </c>
      <c r="B2076" s="26" t="s">
        <v>3656</v>
      </c>
      <c r="C2076" s="3" t="s">
        <v>3657</v>
      </c>
      <c r="D2076" s="21"/>
      <c r="E2076" s="21" t="s">
        <v>3569</v>
      </c>
      <c r="F2076" s="3" t="s">
        <v>78</v>
      </c>
      <c r="G2076" s="3">
        <v>2</v>
      </c>
      <c r="H2076" s="23"/>
      <c r="I2076" s="124">
        <f t="shared" si="80"/>
        <v>0</v>
      </c>
      <c r="J2076" s="21"/>
      <c r="K2076" s="24"/>
    </row>
    <row r="2077" spans="1:11" ht="15.75" customHeight="1" x14ac:dyDescent="0.25">
      <c r="A2077" s="21" t="s">
        <v>2003</v>
      </c>
      <c r="B2077" s="26" t="s">
        <v>3589</v>
      </c>
      <c r="C2077" s="3" t="s">
        <v>3590</v>
      </c>
      <c r="D2077" s="21"/>
      <c r="E2077" s="21" t="s">
        <v>3569</v>
      </c>
      <c r="F2077" s="3" t="s">
        <v>78</v>
      </c>
      <c r="G2077" s="3">
        <v>2</v>
      </c>
      <c r="H2077" s="23">
        <v>4133.3599999999997</v>
      </c>
      <c r="I2077" s="124">
        <f t="shared" si="80"/>
        <v>8266.7199999999993</v>
      </c>
      <c r="J2077" s="21"/>
      <c r="K2077" s="24"/>
    </row>
    <row r="2078" spans="1:11" ht="15.75" customHeight="1" x14ac:dyDescent="0.25">
      <c r="A2078" s="21" t="s">
        <v>2007</v>
      </c>
      <c r="B2078" s="26" t="s">
        <v>3658</v>
      </c>
      <c r="C2078" s="3" t="s">
        <v>3659</v>
      </c>
      <c r="D2078" s="21"/>
      <c r="E2078" s="21" t="s">
        <v>3660</v>
      </c>
      <c r="F2078" s="3" t="s">
        <v>78</v>
      </c>
      <c r="G2078" s="3">
        <v>2</v>
      </c>
      <c r="H2078" s="23"/>
      <c r="I2078" s="124">
        <f t="shared" si="80"/>
        <v>0</v>
      </c>
      <c r="J2078" s="21"/>
      <c r="K2078" s="24"/>
    </row>
    <row r="2079" spans="1:11" ht="15.75" customHeight="1" x14ac:dyDescent="0.25">
      <c r="A2079" s="21" t="s">
        <v>2008</v>
      </c>
      <c r="B2079" s="26" t="s">
        <v>3661</v>
      </c>
      <c r="C2079" s="3"/>
      <c r="D2079" s="21"/>
      <c r="E2079" s="21"/>
      <c r="F2079" s="3" t="s">
        <v>47</v>
      </c>
      <c r="G2079" s="3">
        <v>31</v>
      </c>
      <c r="H2079" s="23"/>
      <c r="I2079" s="124">
        <f t="shared" si="80"/>
        <v>0</v>
      </c>
      <c r="J2079" s="21"/>
      <c r="K2079" s="24"/>
    </row>
    <row r="2080" spans="1:11" ht="15.75" customHeight="1" x14ac:dyDescent="0.25">
      <c r="A2080" s="21" t="s">
        <v>2012</v>
      </c>
      <c r="B2080" s="26" t="s">
        <v>3662</v>
      </c>
      <c r="C2080" s="3" t="s">
        <v>3663</v>
      </c>
      <c r="D2080" s="21"/>
      <c r="E2080" s="21" t="s">
        <v>3569</v>
      </c>
      <c r="F2080" s="3" t="s">
        <v>78</v>
      </c>
      <c r="G2080" s="3">
        <v>1</v>
      </c>
      <c r="H2080" s="23">
        <v>5209.6400000000003</v>
      </c>
      <c r="I2080" s="124">
        <f t="shared" si="80"/>
        <v>5209.6400000000003</v>
      </c>
      <c r="J2080" s="21"/>
      <c r="K2080" s="24"/>
    </row>
    <row r="2081" spans="1:11" ht="15.75" customHeight="1" x14ac:dyDescent="0.25">
      <c r="A2081" s="21" t="s">
        <v>2016</v>
      </c>
      <c r="B2081" s="26" t="s">
        <v>3664</v>
      </c>
      <c r="C2081" s="3" t="s">
        <v>3665</v>
      </c>
      <c r="D2081" s="21"/>
      <c r="E2081" s="21" t="s">
        <v>3569</v>
      </c>
      <c r="F2081" s="3" t="s">
        <v>78</v>
      </c>
      <c r="G2081" s="3">
        <v>1</v>
      </c>
      <c r="H2081" s="23">
        <v>6575.8</v>
      </c>
      <c r="I2081" s="124">
        <f t="shared" si="80"/>
        <v>6575.8</v>
      </c>
      <c r="J2081" s="21"/>
      <c r="K2081" s="24"/>
    </row>
    <row r="2082" spans="1:11" ht="15.75" customHeight="1" x14ac:dyDescent="0.25">
      <c r="A2082" s="21" t="s">
        <v>2020</v>
      </c>
      <c r="B2082" s="26" t="s">
        <v>3666</v>
      </c>
      <c r="C2082" s="3" t="s">
        <v>3667</v>
      </c>
      <c r="D2082" s="21"/>
      <c r="E2082" s="21" t="s">
        <v>3668</v>
      </c>
      <c r="F2082" s="3" t="s">
        <v>78</v>
      </c>
      <c r="G2082" s="3">
        <v>1</v>
      </c>
      <c r="H2082" s="23"/>
      <c r="I2082" s="124">
        <f t="shared" si="80"/>
        <v>0</v>
      </c>
      <c r="J2082" s="21"/>
      <c r="K2082" s="24"/>
    </row>
    <row r="2083" spans="1:11" ht="15.75" customHeight="1" x14ac:dyDescent="0.25">
      <c r="A2083" s="21" t="s">
        <v>3005</v>
      </c>
      <c r="B2083" s="26" t="s">
        <v>3669</v>
      </c>
      <c r="C2083" s="3" t="s">
        <v>3670</v>
      </c>
      <c r="D2083" s="21"/>
      <c r="E2083" s="21" t="s">
        <v>3671</v>
      </c>
      <c r="F2083" s="3" t="s">
        <v>78</v>
      </c>
      <c r="G2083" s="3">
        <v>1</v>
      </c>
      <c r="H2083" s="23">
        <v>2500</v>
      </c>
      <c r="I2083" s="124">
        <f t="shared" si="80"/>
        <v>2500</v>
      </c>
      <c r="J2083" s="21"/>
      <c r="K2083" s="24"/>
    </row>
    <row r="2084" spans="1:11" ht="15.75" customHeight="1" x14ac:dyDescent="0.25">
      <c r="A2084" s="21" t="s">
        <v>3009</v>
      </c>
      <c r="B2084" s="26" t="s">
        <v>3672</v>
      </c>
      <c r="C2084" s="3" t="s">
        <v>3673</v>
      </c>
      <c r="D2084" s="21"/>
      <c r="E2084" s="21" t="s">
        <v>3674</v>
      </c>
      <c r="F2084" s="3" t="s">
        <v>78</v>
      </c>
      <c r="G2084" s="3">
        <v>1</v>
      </c>
      <c r="H2084" s="23"/>
      <c r="I2084" s="124">
        <f t="shared" si="80"/>
        <v>0</v>
      </c>
      <c r="J2084" s="21"/>
      <c r="K2084" s="24"/>
    </row>
    <row r="2085" spans="1:11" ht="28.5" customHeight="1" x14ac:dyDescent="0.25">
      <c r="A2085" s="21" t="s">
        <v>3013</v>
      </c>
      <c r="B2085" s="26" t="s">
        <v>3675</v>
      </c>
      <c r="C2085" s="3" t="s">
        <v>3676</v>
      </c>
      <c r="D2085" s="21"/>
      <c r="E2085" s="21" t="s">
        <v>3569</v>
      </c>
      <c r="F2085" s="3" t="s">
        <v>78</v>
      </c>
      <c r="G2085" s="3">
        <v>1</v>
      </c>
      <c r="H2085" s="23">
        <v>4361.5</v>
      </c>
      <c r="I2085" s="124">
        <f t="shared" si="80"/>
        <v>4361.5</v>
      </c>
      <c r="J2085" s="21"/>
      <c r="K2085" s="24"/>
    </row>
    <row r="2086" spans="1:11" ht="15.75" customHeight="1" x14ac:dyDescent="0.25">
      <c r="A2086" s="21" t="s">
        <v>3015</v>
      </c>
      <c r="B2086" s="26" t="s">
        <v>3587</v>
      </c>
      <c r="C2086" s="3" t="s">
        <v>3588</v>
      </c>
      <c r="D2086" s="21"/>
      <c r="E2086" s="21" t="s">
        <v>3569</v>
      </c>
      <c r="F2086" s="3" t="s">
        <v>78</v>
      </c>
      <c r="G2086" s="3">
        <v>1</v>
      </c>
      <c r="H2086" s="23">
        <v>3824.7</v>
      </c>
      <c r="I2086" s="124">
        <f t="shared" si="80"/>
        <v>3824.7</v>
      </c>
      <c r="J2086" s="21"/>
      <c r="K2086" s="24"/>
    </row>
    <row r="2087" spans="1:11" ht="15.75" customHeight="1" x14ac:dyDescent="0.25">
      <c r="A2087" s="21" t="s">
        <v>3018</v>
      </c>
      <c r="B2087" s="26" t="s">
        <v>3677</v>
      </c>
      <c r="C2087" s="3"/>
      <c r="D2087" s="21"/>
      <c r="E2087" s="21"/>
      <c r="F2087" s="3" t="s">
        <v>47</v>
      </c>
      <c r="G2087" s="3">
        <v>5</v>
      </c>
      <c r="H2087" s="23"/>
      <c r="I2087" s="124">
        <f t="shared" si="80"/>
        <v>0</v>
      </c>
      <c r="J2087" s="21"/>
      <c r="K2087" s="24"/>
    </row>
    <row r="2088" spans="1:11" ht="15.75" customHeight="1" x14ac:dyDescent="0.25">
      <c r="A2088" s="21" t="s">
        <v>3019</v>
      </c>
      <c r="B2088" s="26" t="s">
        <v>3662</v>
      </c>
      <c r="C2088" s="3" t="s">
        <v>3663</v>
      </c>
      <c r="D2088" s="21"/>
      <c r="E2088" s="21" t="s">
        <v>3569</v>
      </c>
      <c r="F2088" s="3" t="s">
        <v>78</v>
      </c>
      <c r="G2088" s="3">
        <v>1</v>
      </c>
      <c r="H2088" s="23">
        <v>5209.6400000000003</v>
      </c>
      <c r="I2088" s="124">
        <f t="shared" si="80"/>
        <v>5209.6400000000003</v>
      </c>
      <c r="J2088" s="21"/>
      <c r="K2088" s="24"/>
    </row>
    <row r="2089" spans="1:11" ht="15.75" customHeight="1" x14ac:dyDescent="0.25">
      <c r="A2089" s="21" t="s">
        <v>3023</v>
      </c>
      <c r="B2089" s="26" t="s">
        <v>3678</v>
      </c>
      <c r="C2089" s="3" t="s">
        <v>3679</v>
      </c>
      <c r="D2089" s="21"/>
      <c r="E2089" s="21" t="s">
        <v>3680</v>
      </c>
      <c r="F2089" s="3" t="s">
        <v>78</v>
      </c>
      <c r="G2089" s="3">
        <v>1</v>
      </c>
      <c r="H2089" s="23"/>
      <c r="I2089" s="124">
        <f t="shared" si="80"/>
        <v>0</v>
      </c>
      <c r="J2089" s="21"/>
      <c r="K2089" s="24"/>
    </row>
    <row r="2090" spans="1:11" ht="15.75" customHeight="1" x14ac:dyDescent="0.25">
      <c r="A2090" s="21" t="s">
        <v>3027</v>
      </c>
      <c r="B2090" s="26" t="s">
        <v>3666</v>
      </c>
      <c r="C2090" s="3" t="s">
        <v>3667</v>
      </c>
      <c r="D2090" s="21"/>
      <c r="E2090" s="21" t="s">
        <v>3668</v>
      </c>
      <c r="F2090" s="3" t="s">
        <v>78</v>
      </c>
      <c r="G2090" s="3">
        <v>1</v>
      </c>
      <c r="H2090" s="23"/>
      <c r="I2090" s="124">
        <f t="shared" si="80"/>
        <v>0</v>
      </c>
      <c r="J2090" s="21"/>
      <c r="K2090" s="24"/>
    </row>
    <row r="2091" spans="1:11" ht="15.75" customHeight="1" x14ac:dyDescent="0.25">
      <c r="A2091" s="21" t="s">
        <v>3030</v>
      </c>
      <c r="B2091" s="26" t="s">
        <v>3681</v>
      </c>
      <c r="C2091" s="3" t="s">
        <v>3682</v>
      </c>
      <c r="D2091" s="21"/>
      <c r="E2091" s="21" t="s">
        <v>3671</v>
      </c>
      <c r="F2091" s="3" t="s">
        <v>78</v>
      </c>
      <c r="G2091" s="3">
        <v>1</v>
      </c>
      <c r="H2091" s="23">
        <v>2500</v>
      </c>
      <c r="I2091" s="124">
        <f t="shared" si="80"/>
        <v>2500</v>
      </c>
      <c r="J2091" s="21"/>
      <c r="K2091" s="24"/>
    </row>
    <row r="2092" spans="1:11" ht="15.75" customHeight="1" x14ac:dyDescent="0.25">
      <c r="A2092" s="21" t="s">
        <v>3035</v>
      </c>
      <c r="B2092" s="26" t="s">
        <v>3672</v>
      </c>
      <c r="C2092" s="3" t="s">
        <v>3683</v>
      </c>
      <c r="D2092" s="21"/>
      <c r="E2092" s="21" t="s">
        <v>3674</v>
      </c>
      <c r="F2092" s="3" t="s">
        <v>78</v>
      </c>
      <c r="G2092" s="3">
        <v>1</v>
      </c>
      <c r="H2092" s="23"/>
      <c r="I2092" s="124">
        <f t="shared" si="80"/>
        <v>0</v>
      </c>
      <c r="J2092" s="21"/>
      <c r="K2092" s="24"/>
    </row>
    <row r="2093" spans="1:11" ht="28.5" customHeight="1" x14ac:dyDescent="0.25">
      <c r="A2093" s="21" t="s">
        <v>3039</v>
      </c>
      <c r="B2093" s="26" t="s">
        <v>3675</v>
      </c>
      <c r="C2093" s="3" t="s">
        <v>3676</v>
      </c>
      <c r="D2093" s="21"/>
      <c r="E2093" s="21" t="s">
        <v>3569</v>
      </c>
      <c r="F2093" s="3" t="s">
        <v>78</v>
      </c>
      <c r="G2093" s="3">
        <v>1</v>
      </c>
      <c r="H2093" s="23">
        <v>4361.5</v>
      </c>
      <c r="I2093" s="124">
        <f t="shared" si="80"/>
        <v>4361.5</v>
      </c>
      <c r="J2093" s="21"/>
      <c r="K2093" s="24"/>
    </row>
    <row r="2094" spans="1:11" ht="15.75" customHeight="1" x14ac:dyDescent="0.25">
      <c r="A2094" s="21" t="s">
        <v>3042</v>
      </c>
      <c r="B2094" s="26" t="s">
        <v>3587</v>
      </c>
      <c r="C2094" s="3" t="s">
        <v>3588</v>
      </c>
      <c r="D2094" s="21"/>
      <c r="E2094" s="21" t="s">
        <v>3569</v>
      </c>
      <c r="F2094" s="3" t="s">
        <v>78</v>
      </c>
      <c r="G2094" s="3">
        <v>1</v>
      </c>
      <c r="H2094" s="23">
        <v>3825</v>
      </c>
      <c r="I2094" s="124">
        <f t="shared" si="80"/>
        <v>3825</v>
      </c>
      <c r="J2094" s="21"/>
      <c r="K2094" s="24"/>
    </row>
    <row r="2095" spans="1:11" ht="15.75" customHeight="1" x14ac:dyDescent="0.25">
      <c r="A2095" s="21" t="s">
        <v>3046</v>
      </c>
      <c r="B2095" s="26" t="s">
        <v>3684</v>
      </c>
      <c r="C2095" s="3"/>
      <c r="D2095" s="21"/>
      <c r="E2095" s="21"/>
      <c r="F2095" s="3" t="s">
        <v>47</v>
      </c>
      <c r="G2095" s="3">
        <v>6</v>
      </c>
      <c r="H2095" s="23"/>
      <c r="I2095" s="124">
        <f t="shared" si="80"/>
        <v>0</v>
      </c>
      <c r="J2095" s="21"/>
      <c r="K2095" s="24"/>
    </row>
    <row r="2096" spans="1:11" ht="15.75" customHeight="1" x14ac:dyDescent="0.25">
      <c r="A2096" s="21" t="s">
        <v>3049</v>
      </c>
      <c r="B2096" s="26" t="s">
        <v>3662</v>
      </c>
      <c r="C2096" s="3" t="s">
        <v>3663</v>
      </c>
      <c r="D2096" s="21"/>
      <c r="E2096" s="21" t="s">
        <v>3569</v>
      </c>
      <c r="F2096" s="3" t="s">
        <v>78</v>
      </c>
      <c r="G2096" s="3">
        <v>1</v>
      </c>
      <c r="H2096" s="23">
        <v>5209.6400000000003</v>
      </c>
      <c r="I2096" s="124">
        <f t="shared" si="80"/>
        <v>5209.6400000000003</v>
      </c>
      <c r="J2096" s="21"/>
      <c r="K2096" s="24"/>
    </row>
    <row r="2097" spans="1:11" ht="15.75" customHeight="1" x14ac:dyDescent="0.25">
      <c r="A2097" s="21" t="s">
        <v>3053</v>
      </c>
      <c r="B2097" s="26" t="s">
        <v>3664</v>
      </c>
      <c r="C2097" s="3" t="s">
        <v>3665</v>
      </c>
      <c r="D2097" s="21"/>
      <c r="E2097" s="21" t="s">
        <v>3569</v>
      </c>
      <c r="F2097" s="3" t="s">
        <v>78</v>
      </c>
      <c r="G2097" s="3">
        <v>2</v>
      </c>
      <c r="H2097" s="23">
        <v>6475.8</v>
      </c>
      <c r="I2097" s="124">
        <f t="shared" si="80"/>
        <v>12951.6</v>
      </c>
      <c r="J2097" s="21"/>
      <c r="K2097" s="24"/>
    </row>
    <row r="2098" spans="1:11" ht="15.75" customHeight="1" x14ac:dyDescent="0.25">
      <c r="A2098" s="21" t="s">
        <v>3054</v>
      </c>
      <c r="B2098" s="26" t="s">
        <v>3672</v>
      </c>
      <c r="C2098" s="3" t="s">
        <v>3673</v>
      </c>
      <c r="D2098" s="21"/>
      <c r="E2098" s="21" t="s">
        <v>3674</v>
      </c>
      <c r="F2098" s="3" t="s">
        <v>78</v>
      </c>
      <c r="G2098" s="3">
        <v>1</v>
      </c>
      <c r="H2098" s="23"/>
      <c r="I2098" s="124">
        <f t="shared" si="80"/>
        <v>0</v>
      </c>
      <c r="J2098" s="21"/>
      <c r="K2098" s="24"/>
    </row>
    <row r="2099" spans="1:11" ht="28.5" customHeight="1" x14ac:dyDescent="0.25">
      <c r="A2099" s="21" t="s">
        <v>3058</v>
      </c>
      <c r="B2099" s="26" t="s">
        <v>3685</v>
      </c>
      <c r="C2099" s="3" t="s">
        <v>3686</v>
      </c>
      <c r="D2099" s="21"/>
      <c r="E2099" s="21" t="s">
        <v>3687</v>
      </c>
      <c r="F2099" s="3" t="s">
        <v>78</v>
      </c>
      <c r="G2099" s="3">
        <v>1</v>
      </c>
      <c r="H2099" s="23"/>
      <c r="I2099" s="124">
        <f t="shared" si="80"/>
        <v>0</v>
      </c>
      <c r="J2099" s="21"/>
      <c r="K2099" s="24"/>
    </row>
    <row r="2100" spans="1:11" ht="15.75" customHeight="1" x14ac:dyDescent="0.25">
      <c r="A2100" s="21" t="s">
        <v>3061</v>
      </c>
      <c r="B2100" s="26" t="s">
        <v>3669</v>
      </c>
      <c r="C2100" s="3" t="s">
        <v>3670</v>
      </c>
      <c r="D2100" s="21"/>
      <c r="E2100" s="21" t="s">
        <v>3671</v>
      </c>
      <c r="F2100" s="3" t="s">
        <v>78</v>
      </c>
      <c r="G2100" s="3">
        <v>1</v>
      </c>
      <c r="H2100" s="23">
        <v>2500</v>
      </c>
      <c r="I2100" s="124">
        <f t="shared" si="80"/>
        <v>2500</v>
      </c>
      <c r="J2100" s="21"/>
      <c r="K2100" s="24"/>
    </row>
    <row r="2101" spans="1:11" ht="15.75" customHeight="1" x14ac:dyDescent="0.25">
      <c r="A2101" s="21" t="s">
        <v>3064</v>
      </c>
      <c r="B2101" s="26" t="s">
        <v>3672</v>
      </c>
      <c r="C2101" s="3" t="s">
        <v>3673</v>
      </c>
      <c r="D2101" s="21"/>
      <c r="E2101" s="21" t="s">
        <v>3674</v>
      </c>
      <c r="F2101" s="3" t="s">
        <v>78</v>
      </c>
      <c r="G2101" s="3">
        <v>1</v>
      </c>
      <c r="H2101" s="23"/>
      <c r="I2101" s="124">
        <f t="shared" si="80"/>
        <v>0</v>
      </c>
      <c r="J2101" s="21"/>
      <c r="K2101" s="24"/>
    </row>
    <row r="2102" spans="1:11" ht="28.5" customHeight="1" x14ac:dyDescent="0.25">
      <c r="A2102" s="21" t="s">
        <v>3068</v>
      </c>
      <c r="B2102" s="26" t="s">
        <v>3675</v>
      </c>
      <c r="C2102" s="3" t="s">
        <v>3676</v>
      </c>
      <c r="D2102" s="21"/>
      <c r="E2102" s="21" t="s">
        <v>3569</v>
      </c>
      <c r="F2102" s="3" t="s">
        <v>78</v>
      </c>
      <c r="G2102" s="3">
        <v>1</v>
      </c>
      <c r="H2102" s="23">
        <v>4361.5</v>
      </c>
      <c r="I2102" s="124">
        <f t="shared" si="80"/>
        <v>4361.5</v>
      </c>
      <c r="J2102" s="21"/>
      <c r="K2102" s="24"/>
    </row>
    <row r="2103" spans="1:11" ht="15.75" customHeight="1" x14ac:dyDescent="0.25">
      <c r="A2103" s="21" t="s">
        <v>3069</v>
      </c>
      <c r="B2103" s="26" t="s">
        <v>3587</v>
      </c>
      <c r="C2103" s="3" t="s">
        <v>3588</v>
      </c>
      <c r="D2103" s="21"/>
      <c r="E2103" s="21" t="s">
        <v>3569</v>
      </c>
      <c r="F2103" s="3" t="s">
        <v>78</v>
      </c>
      <c r="G2103" s="3">
        <v>1</v>
      </c>
      <c r="H2103" s="23">
        <v>3824.7</v>
      </c>
      <c r="I2103" s="124">
        <f t="shared" si="80"/>
        <v>3824.7</v>
      </c>
      <c r="J2103" s="21"/>
      <c r="K2103" s="24"/>
    </row>
    <row r="2104" spans="1:11" ht="15.75" customHeight="1" x14ac:dyDescent="0.25">
      <c r="A2104" s="21" t="s">
        <v>3072</v>
      </c>
      <c r="B2104" s="26" t="s">
        <v>3688</v>
      </c>
      <c r="C2104" s="3"/>
      <c r="D2104" s="21"/>
      <c r="E2104" s="21"/>
      <c r="F2104" s="3" t="s">
        <v>47</v>
      </c>
      <c r="G2104" s="3">
        <v>6</v>
      </c>
      <c r="H2104" s="23"/>
      <c r="I2104" s="124">
        <f t="shared" si="80"/>
        <v>0</v>
      </c>
      <c r="J2104" s="21"/>
      <c r="K2104" s="24"/>
    </row>
    <row r="2105" spans="1:11" ht="15.75" customHeight="1" x14ac:dyDescent="0.25">
      <c r="A2105" s="21" t="s">
        <v>3076</v>
      </c>
      <c r="B2105" s="26" t="s">
        <v>3662</v>
      </c>
      <c r="C2105" s="3" t="s">
        <v>3663</v>
      </c>
      <c r="D2105" s="21"/>
      <c r="E2105" s="21" t="s">
        <v>3569</v>
      </c>
      <c r="F2105" s="3" t="s">
        <v>78</v>
      </c>
      <c r="G2105" s="3">
        <v>1</v>
      </c>
      <c r="H2105" s="23">
        <v>5209.6400000000003</v>
      </c>
      <c r="I2105" s="124">
        <f t="shared" si="80"/>
        <v>5209.6400000000003</v>
      </c>
      <c r="J2105" s="21"/>
      <c r="K2105" s="24"/>
    </row>
    <row r="2106" spans="1:11" ht="15.75" customHeight="1" x14ac:dyDescent="0.25">
      <c r="A2106" s="21" t="s">
        <v>3077</v>
      </c>
      <c r="B2106" s="26" t="s">
        <v>3664</v>
      </c>
      <c r="C2106" s="3" t="s">
        <v>3665</v>
      </c>
      <c r="D2106" s="21"/>
      <c r="E2106" s="21" t="s">
        <v>3569</v>
      </c>
      <c r="F2106" s="3" t="s">
        <v>78</v>
      </c>
      <c r="G2106" s="3">
        <v>1</v>
      </c>
      <c r="H2106" s="23">
        <v>6575.8</v>
      </c>
      <c r="I2106" s="124">
        <f t="shared" si="80"/>
        <v>6575.8</v>
      </c>
      <c r="J2106" s="21"/>
      <c r="K2106" s="24"/>
    </row>
    <row r="2107" spans="1:11" ht="15.75" customHeight="1" x14ac:dyDescent="0.25">
      <c r="A2107" s="21" t="s">
        <v>3078</v>
      </c>
      <c r="B2107" s="26" t="s">
        <v>3678</v>
      </c>
      <c r="C2107" s="3" t="s">
        <v>3679</v>
      </c>
      <c r="D2107" s="21"/>
      <c r="E2107" s="21" t="s">
        <v>3680</v>
      </c>
      <c r="F2107" s="3" t="s">
        <v>78</v>
      </c>
      <c r="G2107" s="3">
        <v>1</v>
      </c>
      <c r="H2107" s="23"/>
      <c r="I2107" s="124">
        <f t="shared" ref="I2107:I2128" si="81">H2107*G2107</f>
        <v>0</v>
      </c>
      <c r="J2107" s="21"/>
      <c r="K2107" s="24"/>
    </row>
    <row r="2108" spans="1:11" ht="28.5" customHeight="1" x14ac:dyDescent="0.25">
      <c r="A2108" s="21" t="s">
        <v>3079</v>
      </c>
      <c r="B2108" s="26" t="s">
        <v>3685</v>
      </c>
      <c r="C2108" s="3" t="s">
        <v>3686</v>
      </c>
      <c r="D2108" s="21"/>
      <c r="E2108" s="21" t="s">
        <v>3687</v>
      </c>
      <c r="F2108" s="3" t="s">
        <v>78</v>
      </c>
      <c r="G2108" s="3">
        <v>1</v>
      </c>
      <c r="H2108" s="23"/>
      <c r="I2108" s="124">
        <f t="shared" si="81"/>
        <v>0</v>
      </c>
      <c r="J2108" s="21"/>
      <c r="K2108" s="24"/>
    </row>
    <row r="2109" spans="1:11" ht="15.75" customHeight="1" x14ac:dyDescent="0.25">
      <c r="A2109" s="21" t="s">
        <v>3080</v>
      </c>
      <c r="B2109" s="26" t="s">
        <v>3681</v>
      </c>
      <c r="C2109" s="3" t="s">
        <v>3682</v>
      </c>
      <c r="D2109" s="21"/>
      <c r="E2109" s="21" t="s">
        <v>3671</v>
      </c>
      <c r="F2109" s="3" t="s">
        <v>78</v>
      </c>
      <c r="G2109" s="3">
        <v>1</v>
      </c>
      <c r="H2109" s="23">
        <v>2500</v>
      </c>
      <c r="I2109" s="124">
        <f t="shared" si="81"/>
        <v>2500</v>
      </c>
      <c r="J2109" s="21"/>
      <c r="K2109" s="24"/>
    </row>
    <row r="2110" spans="1:11" ht="15.75" customHeight="1" x14ac:dyDescent="0.25">
      <c r="A2110" s="21" t="s">
        <v>3081</v>
      </c>
      <c r="B2110" s="26" t="s">
        <v>3672</v>
      </c>
      <c r="C2110" s="3" t="s">
        <v>3683</v>
      </c>
      <c r="D2110" s="21"/>
      <c r="E2110" s="21" t="s">
        <v>3674</v>
      </c>
      <c r="F2110" s="3" t="s">
        <v>78</v>
      </c>
      <c r="G2110" s="3">
        <v>1</v>
      </c>
      <c r="H2110" s="23"/>
      <c r="I2110" s="124">
        <f t="shared" si="81"/>
        <v>0</v>
      </c>
      <c r="J2110" s="21"/>
      <c r="K2110" s="24"/>
    </row>
    <row r="2111" spans="1:11" ht="28.5" customHeight="1" x14ac:dyDescent="0.25">
      <c r="A2111" s="21" t="s">
        <v>3082</v>
      </c>
      <c r="B2111" s="26" t="s">
        <v>3675</v>
      </c>
      <c r="C2111" s="3" t="s">
        <v>3676</v>
      </c>
      <c r="D2111" s="21"/>
      <c r="E2111" s="21" t="s">
        <v>3569</v>
      </c>
      <c r="F2111" s="3" t="s">
        <v>78</v>
      </c>
      <c r="G2111" s="3">
        <v>1</v>
      </c>
      <c r="H2111" s="23">
        <v>4361.5</v>
      </c>
      <c r="I2111" s="124">
        <f t="shared" si="81"/>
        <v>4361.5</v>
      </c>
      <c r="J2111" s="21"/>
      <c r="K2111" s="24"/>
    </row>
    <row r="2112" spans="1:11" ht="15.75" customHeight="1" x14ac:dyDescent="0.25">
      <c r="A2112" s="21" t="s">
        <v>3689</v>
      </c>
      <c r="B2112" s="26" t="s">
        <v>3587</v>
      </c>
      <c r="C2112" s="3" t="s">
        <v>3588</v>
      </c>
      <c r="D2112" s="21"/>
      <c r="E2112" s="21" t="s">
        <v>3569</v>
      </c>
      <c r="F2112" s="3" t="s">
        <v>78</v>
      </c>
      <c r="G2112" s="3">
        <v>1</v>
      </c>
      <c r="H2112" s="23">
        <v>3824.7</v>
      </c>
      <c r="I2112" s="124">
        <f t="shared" si="81"/>
        <v>3824.7</v>
      </c>
      <c r="J2112" s="21"/>
      <c r="K2112" s="24"/>
    </row>
    <row r="2113" spans="1:11" ht="15.75" customHeight="1" x14ac:dyDescent="0.25">
      <c r="A2113" s="21" t="s">
        <v>3690</v>
      </c>
      <c r="B2113" s="26" t="s">
        <v>3691</v>
      </c>
      <c r="C2113" s="3"/>
      <c r="D2113" s="21"/>
      <c r="E2113" s="21"/>
      <c r="F2113" s="3" t="s">
        <v>47</v>
      </c>
      <c r="G2113" s="3">
        <v>3</v>
      </c>
      <c r="H2113" s="23"/>
      <c r="I2113" s="124">
        <f t="shared" si="81"/>
        <v>0</v>
      </c>
      <c r="J2113" s="21"/>
      <c r="K2113" s="24"/>
    </row>
    <row r="2114" spans="1:11" ht="15.75" customHeight="1" x14ac:dyDescent="0.25">
      <c r="A2114" s="21" t="s">
        <v>3692</v>
      </c>
      <c r="B2114" s="26" t="s">
        <v>3662</v>
      </c>
      <c r="C2114" s="3" t="s">
        <v>3663</v>
      </c>
      <c r="D2114" s="21"/>
      <c r="E2114" s="21" t="s">
        <v>3569</v>
      </c>
      <c r="F2114" s="3" t="s">
        <v>78</v>
      </c>
      <c r="G2114" s="3">
        <v>1</v>
      </c>
      <c r="H2114" s="23">
        <v>5209.6400000000003</v>
      </c>
      <c r="I2114" s="124">
        <f t="shared" si="81"/>
        <v>5209.6400000000003</v>
      </c>
      <c r="J2114" s="21"/>
      <c r="K2114" s="24"/>
    </row>
    <row r="2115" spans="1:11" ht="15.75" customHeight="1" x14ac:dyDescent="0.25">
      <c r="A2115" s="21" t="s">
        <v>3693</v>
      </c>
      <c r="B2115" s="26" t="s">
        <v>3678</v>
      </c>
      <c r="C2115" s="3" t="s">
        <v>3679</v>
      </c>
      <c r="D2115" s="21"/>
      <c r="E2115" s="21" t="s">
        <v>3680</v>
      </c>
      <c r="F2115" s="3" t="s">
        <v>78</v>
      </c>
      <c r="G2115" s="3">
        <v>1</v>
      </c>
      <c r="H2115" s="23"/>
      <c r="I2115" s="124">
        <f t="shared" si="81"/>
        <v>0</v>
      </c>
      <c r="J2115" s="21"/>
      <c r="K2115" s="24"/>
    </row>
    <row r="2116" spans="1:11" ht="28.5" customHeight="1" x14ac:dyDescent="0.25">
      <c r="A2116" s="21" t="s">
        <v>3694</v>
      </c>
      <c r="B2116" s="26" t="s">
        <v>3685</v>
      </c>
      <c r="C2116" s="3" t="s">
        <v>3686</v>
      </c>
      <c r="D2116" s="21"/>
      <c r="E2116" s="21" t="s">
        <v>3687</v>
      </c>
      <c r="F2116" s="3" t="s">
        <v>78</v>
      </c>
      <c r="G2116" s="3">
        <v>1</v>
      </c>
      <c r="H2116" s="23"/>
      <c r="I2116" s="124">
        <f t="shared" si="81"/>
        <v>0</v>
      </c>
      <c r="J2116" s="21"/>
      <c r="K2116" s="24"/>
    </row>
    <row r="2117" spans="1:11" ht="15.75" customHeight="1" x14ac:dyDescent="0.25">
      <c r="A2117" s="21" t="s">
        <v>3695</v>
      </c>
      <c r="B2117" s="26" t="s">
        <v>3681</v>
      </c>
      <c r="C2117" s="3" t="s">
        <v>3682</v>
      </c>
      <c r="D2117" s="21"/>
      <c r="E2117" s="21" t="s">
        <v>3671</v>
      </c>
      <c r="F2117" s="3" t="s">
        <v>78</v>
      </c>
      <c r="G2117" s="3">
        <v>1</v>
      </c>
      <c r="H2117" s="23">
        <v>2500</v>
      </c>
      <c r="I2117" s="124">
        <f t="shared" si="81"/>
        <v>2500</v>
      </c>
      <c r="J2117" s="21"/>
      <c r="K2117" s="24"/>
    </row>
    <row r="2118" spans="1:11" ht="15.75" customHeight="1" x14ac:dyDescent="0.25">
      <c r="A2118" s="21" t="s">
        <v>3696</v>
      </c>
      <c r="B2118" s="26" t="s">
        <v>3672</v>
      </c>
      <c r="C2118" s="3" t="s">
        <v>3683</v>
      </c>
      <c r="D2118" s="21"/>
      <c r="E2118" s="21" t="s">
        <v>3674</v>
      </c>
      <c r="F2118" s="3" t="s">
        <v>78</v>
      </c>
      <c r="G2118" s="3">
        <v>1</v>
      </c>
      <c r="H2118" s="23"/>
      <c r="I2118" s="124">
        <f t="shared" si="81"/>
        <v>0</v>
      </c>
      <c r="J2118" s="21"/>
      <c r="K2118" s="24"/>
    </row>
    <row r="2119" spans="1:11" ht="28.5" customHeight="1" x14ac:dyDescent="0.25">
      <c r="A2119" s="21" t="s">
        <v>3697</v>
      </c>
      <c r="B2119" s="26" t="s">
        <v>3675</v>
      </c>
      <c r="C2119" s="3" t="s">
        <v>3676</v>
      </c>
      <c r="D2119" s="21"/>
      <c r="E2119" s="21" t="s">
        <v>3569</v>
      </c>
      <c r="F2119" s="3" t="s">
        <v>78</v>
      </c>
      <c r="G2119" s="3">
        <v>1</v>
      </c>
      <c r="H2119" s="23">
        <v>4361.5</v>
      </c>
      <c r="I2119" s="124">
        <f t="shared" si="81"/>
        <v>4361.5</v>
      </c>
      <c r="J2119" s="21"/>
      <c r="K2119" s="24"/>
    </row>
    <row r="2120" spans="1:11" ht="15.75" customHeight="1" x14ac:dyDescent="0.25">
      <c r="A2120" s="21" t="s">
        <v>3698</v>
      </c>
      <c r="B2120" s="26" t="s">
        <v>3587</v>
      </c>
      <c r="C2120" s="3" t="s">
        <v>3588</v>
      </c>
      <c r="D2120" s="21"/>
      <c r="E2120" s="21" t="s">
        <v>3569</v>
      </c>
      <c r="F2120" s="3" t="s">
        <v>78</v>
      </c>
      <c r="G2120" s="3">
        <v>1</v>
      </c>
      <c r="H2120" s="23">
        <v>3824.7</v>
      </c>
      <c r="I2120" s="124">
        <f t="shared" si="81"/>
        <v>3824.7</v>
      </c>
      <c r="J2120" s="21"/>
      <c r="K2120" s="24"/>
    </row>
    <row r="2121" spans="1:11" ht="15.75" customHeight="1" x14ac:dyDescent="0.25">
      <c r="A2121" s="21" t="s">
        <v>3699</v>
      </c>
      <c r="B2121" s="26" t="s">
        <v>3700</v>
      </c>
      <c r="C2121" s="3"/>
      <c r="D2121" s="21"/>
      <c r="E2121" s="21"/>
      <c r="F2121" s="3" t="s">
        <v>47</v>
      </c>
      <c r="G2121" s="3">
        <v>2</v>
      </c>
      <c r="H2121" s="23"/>
      <c r="I2121" s="124">
        <f t="shared" si="81"/>
        <v>0</v>
      </c>
      <c r="J2121" s="21"/>
      <c r="K2121" s="24"/>
    </row>
    <row r="2122" spans="1:11" ht="15.75" customHeight="1" x14ac:dyDescent="0.25">
      <c r="A2122" s="21" t="s">
        <v>3701</v>
      </c>
      <c r="B2122" s="26" t="s">
        <v>3662</v>
      </c>
      <c r="C2122" s="3" t="s">
        <v>3663</v>
      </c>
      <c r="D2122" s="21"/>
      <c r="E2122" s="21" t="s">
        <v>3569</v>
      </c>
      <c r="F2122" s="3" t="s">
        <v>78</v>
      </c>
      <c r="G2122" s="3">
        <v>1</v>
      </c>
      <c r="H2122" s="23">
        <v>5209.6400000000003</v>
      </c>
      <c r="I2122" s="124">
        <f t="shared" si="81"/>
        <v>5209.6400000000003</v>
      </c>
      <c r="J2122" s="21"/>
      <c r="K2122" s="24"/>
    </row>
    <row r="2123" spans="1:11" ht="15.75" customHeight="1" x14ac:dyDescent="0.25">
      <c r="A2123" s="21" t="s">
        <v>3702</v>
      </c>
      <c r="B2123" s="26" t="s">
        <v>3678</v>
      </c>
      <c r="C2123" s="3" t="s">
        <v>3679</v>
      </c>
      <c r="D2123" s="21"/>
      <c r="E2123" s="21" t="s">
        <v>3680</v>
      </c>
      <c r="F2123" s="3" t="s">
        <v>78</v>
      </c>
      <c r="G2123" s="3">
        <v>1</v>
      </c>
      <c r="H2123" s="23"/>
      <c r="I2123" s="124">
        <f t="shared" si="81"/>
        <v>0</v>
      </c>
      <c r="J2123" s="21"/>
      <c r="K2123" s="24"/>
    </row>
    <row r="2124" spans="1:11" ht="28.5" customHeight="1" x14ac:dyDescent="0.25">
      <c r="A2124" s="21" t="s">
        <v>3703</v>
      </c>
      <c r="B2124" s="26" t="s">
        <v>3685</v>
      </c>
      <c r="C2124" s="3" t="s">
        <v>3686</v>
      </c>
      <c r="D2124" s="21"/>
      <c r="E2124" s="21" t="s">
        <v>3687</v>
      </c>
      <c r="F2124" s="3" t="s">
        <v>78</v>
      </c>
      <c r="G2124" s="3">
        <v>1</v>
      </c>
      <c r="H2124" s="23"/>
      <c r="I2124" s="124">
        <f t="shared" si="81"/>
        <v>0</v>
      </c>
      <c r="J2124" s="21"/>
      <c r="K2124" s="24"/>
    </row>
    <row r="2125" spans="1:11" ht="15.75" customHeight="1" x14ac:dyDescent="0.25">
      <c r="A2125" s="21" t="s">
        <v>3704</v>
      </c>
      <c r="B2125" s="26" t="s">
        <v>3681</v>
      </c>
      <c r="C2125" s="3" t="s">
        <v>3682</v>
      </c>
      <c r="D2125" s="21"/>
      <c r="E2125" s="21" t="s">
        <v>3671</v>
      </c>
      <c r="F2125" s="3" t="s">
        <v>78</v>
      </c>
      <c r="G2125" s="3">
        <v>2</v>
      </c>
      <c r="H2125" s="23">
        <v>2500</v>
      </c>
      <c r="I2125" s="124">
        <f t="shared" si="81"/>
        <v>5000</v>
      </c>
      <c r="J2125" s="21"/>
      <c r="K2125" s="24"/>
    </row>
    <row r="2126" spans="1:11" ht="15.75" customHeight="1" x14ac:dyDescent="0.25">
      <c r="A2126" s="21" t="s">
        <v>3705</v>
      </c>
      <c r="B2126" s="26" t="s">
        <v>3672</v>
      </c>
      <c r="C2126" s="3" t="s">
        <v>3683</v>
      </c>
      <c r="D2126" s="21"/>
      <c r="E2126" s="21" t="s">
        <v>3674</v>
      </c>
      <c r="F2126" s="3" t="s">
        <v>78</v>
      </c>
      <c r="G2126" s="3">
        <v>2</v>
      </c>
      <c r="H2126" s="23"/>
      <c r="I2126" s="124">
        <f t="shared" si="81"/>
        <v>0</v>
      </c>
      <c r="J2126" s="21"/>
      <c r="K2126" s="24"/>
    </row>
    <row r="2127" spans="1:11" ht="28.5" customHeight="1" x14ac:dyDescent="0.25">
      <c r="A2127" s="21" t="s">
        <v>3706</v>
      </c>
      <c r="B2127" s="26" t="s">
        <v>3675</v>
      </c>
      <c r="C2127" s="3" t="s">
        <v>3676</v>
      </c>
      <c r="D2127" s="21"/>
      <c r="E2127" s="21" t="s">
        <v>3569</v>
      </c>
      <c r="F2127" s="3" t="s">
        <v>78</v>
      </c>
      <c r="G2127" s="3">
        <v>1</v>
      </c>
      <c r="H2127" s="23">
        <v>4361.5</v>
      </c>
      <c r="I2127" s="124">
        <f t="shared" si="81"/>
        <v>4361.5</v>
      </c>
      <c r="J2127" s="21"/>
      <c r="K2127" s="24"/>
    </row>
    <row r="2128" spans="1:11" ht="15.75" customHeight="1" x14ac:dyDescent="0.25">
      <c r="A2128" s="21" t="s">
        <v>3707</v>
      </c>
      <c r="B2128" s="26" t="s">
        <v>3587</v>
      </c>
      <c r="C2128" s="3" t="s">
        <v>3588</v>
      </c>
      <c r="D2128" s="21"/>
      <c r="E2128" s="21" t="s">
        <v>3569</v>
      </c>
      <c r="F2128" s="3" t="s">
        <v>78</v>
      </c>
      <c r="G2128" s="3">
        <v>1</v>
      </c>
      <c r="H2128" s="23">
        <v>3824.7</v>
      </c>
      <c r="I2128" s="124">
        <f t="shared" si="81"/>
        <v>3824.7</v>
      </c>
      <c r="J2128" s="21"/>
      <c r="K2128" s="24"/>
    </row>
    <row r="2129" spans="1:11" ht="15.75" customHeight="1" x14ac:dyDescent="0.25">
      <c r="A2129" s="42" t="s">
        <v>3708</v>
      </c>
      <c r="B2129" s="20" t="s">
        <v>2821</v>
      </c>
      <c r="C2129" s="22"/>
      <c r="D2129" s="21"/>
      <c r="E2129" s="21"/>
      <c r="F2129" s="22"/>
      <c r="G2129" s="21"/>
      <c r="H2129" s="23"/>
      <c r="I2129" s="124"/>
      <c r="J2129" s="21"/>
      <c r="K2129" s="24"/>
    </row>
    <row r="2130" spans="1:11" ht="15.75" customHeight="1" x14ac:dyDescent="0.25">
      <c r="A2130" s="21" t="s">
        <v>3709</v>
      </c>
      <c r="B2130" s="26" t="s">
        <v>3630</v>
      </c>
      <c r="C2130" s="3" t="s">
        <v>3066</v>
      </c>
      <c r="D2130" s="21"/>
      <c r="E2130" s="21" t="s">
        <v>3631</v>
      </c>
      <c r="F2130" s="3" t="s">
        <v>89</v>
      </c>
      <c r="G2130" s="3">
        <v>900</v>
      </c>
      <c r="H2130" s="23"/>
      <c r="I2130" s="124">
        <f t="shared" ref="I2130:I2150" si="82">H2130*G2130</f>
        <v>0</v>
      </c>
      <c r="J2130" s="21"/>
      <c r="K2130" s="24"/>
    </row>
    <row r="2131" spans="1:11" ht="15.75" customHeight="1" x14ac:dyDescent="0.25">
      <c r="A2131" s="21" t="s">
        <v>3710</v>
      </c>
      <c r="B2131" s="26" t="s">
        <v>3633</v>
      </c>
      <c r="C2131" s="3" t="s">
        <v>3092</v>
      </c>
      <c r="D2131" s="21"/>
      <c r="E2131" s="21" t="s">
        <v>3631</v>
      </c>
      <c r="F2131" s="3" t="s">
        <v>89</v>
      </c>
      <c r="G2131" s="3">
        <v>110</v>
      </c>
      <c r="H2131" s="23"/>
      <c r="I2131" s="124">
        <f t="shared" si="82"/>
        <v>0</v>
      </c>
      <c r="J2131" s="21"/>
      <c r="K2131" s="24"/>
    </row>
    <row r="2132" spans="1:11" ht="15.75" customHeight="1" x14ac:dyDescent="0.25">
      <c r="A2132" s="21" t="s">
        <v>3711</v>
      </c>
      <c r="B2132" s="26" t="s">
        <v>3635</v>
      </c>
      <c r="C2132" s="3" t="s">
        <v>3712</v>
      </c>
      <c r="D2132" s="21"/>
      <c r="E2132" s="21" t="s">
        <v>3631</v>
      </c>
      <c r="F2132" s="3" t="s">
        <v>89</v>
      </c>
      <c r="G2132" s="3">
        <v>145</v>
      </c>
      <c r="H2132" s="23"/>
      <c r="I2132" s="124">
        <f t="shared" si="82"/>
        <v>0</v>
      </c>
      <c r="J2132" s="21"/>
      <c r="K2132" s="24"/>
    </row>
    <row r="2133" spans="1:11" ht="15.75" customHeight="1" x14ac:dyDescent="0.25">
      <c r="A2133" s="21" t="s">
        <v>3713</v>
      </c>
      <c r="B2133" s="26" t="s">
        <v>3714</v>
      </c>
      <c r="C2133" s="3" t="s">
        <v>3715</v>
      </c>
      <c r="D2133" s="21"/>
      <c r="E2133" s="21" t="s">
        <v>2954</v>
      </c>
      <c r="F2133" s="3" t="s">
        <v>89</v>
      </c>
      <c r="G2133" s="3">
        <v>30</v>
      </c>
      <c r="H2133" s="23"/>
      <c r="I2133" s="124">
        <f t="shared" si="82"/>
        <v>0</v>
      </c>
      <c r="J2133" s="21"/>
      <c r="K2133" s="24"/>
    </row>
    <row r="2134" spans="1:11" ht="45" customHeight="1" x14ac:dyDescent="0.25">
      <c r="A2134" s="21" t="s">
        <v>3716</v>
      </c>
      <c r="B2134" s="26" t="s">
        <v>2839</v>
      </c>
      <c r="C2134" s="3" t="s">
        <v>2840</v>
      </c>
      <c r="D2134" s="21" t="s">
        <v>2841</v>
      </c>
      <c r="E2134" s="21" t="s">
        <v>2529</v>
      </c>
      <c r="F2134" s="3" t="s">
        <v>78</v>
      </c>
      <c r="G2134" s="51">
        <v>1</v>
      </c>
      <c r="H2134" s="23">
        <v>14897.17</v>
      </c>
      <c r="I2134" s="129">
        <f t="shared" si="82"/>
        <v>14897.17</v>
      </c>
      <c r="J2134" s="21"/>
      <c r="K2134" s="57" t="s">
        <v>3717</v>
      </c>
    </row>
    <row r="2135" spans="1:11" ht="15.75" customHeight="1" x14ac:dyDescent="0.25">
      <c r="A2135" s="21" t="s">
        <v>3718</v>
      </c>
      <c r="B2135" s="26" t="s">
        <v>3719</v>
      </c>
      <c r="C2135" s="3" t="s">
        <v>3720</v>
      </c>
      <c r="D2135" s="21"/>
      <c r="E2135" s="21" t="s">
        <v>3721</v>
      </c>
      <c r="F2135" s="3" t="s">
        <v>78</v>
      </c>
      <c r="G2135" s="3">
        <v>53</v>
      </c>
      <c r="H2135" s="23"/>
      <c r="I2135" s="124">
        <f t="shared" si="82"/>
        <v>0</v>
      </c>
      <c r="J2135" s="21"/>
      <c r="K2135" s="24"/>
    </row>
    <row r="2136" spans="1:11" ht="15.75" customHeight="1" x14ac:dyDescent="0.25">
      <c r="A2136" s="21" t="s">
        <v>3722</v>
      </c>
      <c r="B2136" s="26" t="s">
        <v>2865</v>
      </c>
      <c r="C2136" s="3" t="s">
        <v>2866</v>
      </c>
      <c r="D2136" s="21" t="s">
        <v>2867</v>
      </c>
      <c r="E2136" s="21" t="s">
        <v>2783</v>
      </c>
      <c r="F2136" s="3" t="s">
        <v>89</v>
      </c>
      <c r="G2136" s="3">
        <v>1100</v>
      </c>
      <c r="H2136" s="23"/>
      <c r="I2136" s="124">
        <f t="shared" si="82"/>
        <v>0</v>
      </c>
      <c r="J2136" s="21"/>
      <c r="K2136" s="24"/>
    </row>
    <row r="2137" spans="1:11" ht="15.75" customHeight="1" x14ac:dyDescent="0.25">
      <c r="A2137" s="21" t="s">
        <v>3723</v>
      </c>
      <c r="B2137" s="26" t="s">
        <v>2869</v>
      </c>
      <c r="C2137" s="3" t="s">
        <v>2866</v>
      </c>
      <c r="D2137" s="21" t="s">
        <v>2870</v>
      </c>
      <c r="E2137" s="3" t="s">
        <v>292</v>
      </c>
      <c r="F2137" s="3" t="s">
        <v>78</v>
      </c>
      <c r="G2137" s="3">
        <v>2000</v>
      </c>
      <c r="H2137" s="23"/>
      <c r="I2137" s="124">
        <f t="shared" si="82"/>
        <v>0</v>
      </c>
      <c r="J2137" s="21"/>
      <c r="K2137" s="24"/>
    </row>
    <row r="2138" spans="1:11" ht="15.75" customHeight="1" x14ac:dyDescent="0.25">
      <c r="A2138" s="21" t="s">
        <v>3724</v>
      </c>
      <c r="B2138" s="26" t="s">
        <v>2872</v>
      </c>
      <c r="C2138" s="3"/>
      <c r="D2138" s="21" t="s">
        <v>2873</v>
      </c>
      <c r="E2138" s="3" t="s">
        <v>292</v>
      </c>
      <c r="F2138" s="3" t="s">
        <v>78</v>
      </c>
      <c r="G2138" s="3">
        <v>1000</v>
      </c>
      <c r="H2138" s="23"/>
      <c r="I2138" s="124">
        <f t="shared" si="82"/>
        <v>0</v>
      </c>
      <c r="J2138" s="21"/>
      <c r="K2138" s="24"/>
    </row>
    <row r="2139" spans="1:11" ht="15.75" customHeight="1" x14ac:dyDescent="0.25">
      <c r="A2139" s="21" t="s">
        <v>3725</v>
      </c>
      <c r="B2139" s="26" t="s">
        <v>2875</v>
      </c>
      <c r="C2139" s="3" t="s">
        <v>2977</v>
      </c>
      <c r="D2139" s="21"/>
      <c r="E2139" s="21" t="s">
        <v>46</v>
      </c>
      <c r="F2139" s="3" t="s">
        <v>78</v>
      </c>
      <c r="G2139" s="3">
        <v>1000</v>
      </c>
      <c r="H2139" s="23"/>
      <c r="I2139" s="124">
        <f t="shared" si="82"/>
        <v>0</v>
      </c>
      <c r="J2139" s="21"/>
      <c r="K2139" s="24"/>
    </row>
    <row r="2140" spans="1:11" ht="15.75" customHeight="1" x14ac:dyDescent="0.25">
      <c r="A2140" s="21" t="s">
        <v>3726</v>
      </c>
      <c r="B2140" s="26" t="s">
        <v>2878</v>
      </c>
      <c r="C2140" s="3" t="s">
        <v>2879</v>
      </c>
      <c r="D2140" s="21"/>
      <c r="E2140" s="21" t="s">
        <v>2880</v>
      </c>
      <c r="F2140" s="3" t="s">
        <v>89</v>
      </c>
      <c r="G2140" s="3">
        <v>19</v>
      </c>
      <c r="H2140" s="23"/>
      <c r="I2140" s="124">
        <f t="shared" si="82"/>
        <v>0</v>
      </c>
      <c r="J2140" s="21"/>
      <c r="K2140" s="24"/>
    </row>
    <row r="2141" spans="1:11" ht="15.75" customHeight="1" x14ac:dyDescent="0.25">
      <c r="A2141" s="21" t="s">
        <v>3727</v>
      </c>
      <c r="B2141" s="26" t="s">
        <v>2885</v>
      </c>
      <c r="C2141" s="3" t="s">
        <v>2886</v>
      </c>
      <c r="D2141" s="21"/>
      <c r="E2141" s="3" t="s">
        <v>292</v>
      </c>
      <c r="F2141" s="3" t="s">
        <v>78</v>
      </c>
      <c r="G2141" s="3">
        <v>60</v>
      </c>
      <c r="H2141" s="23"/>
      <c r="I2141" s="124">
        <f t="shared" si="82"/>
        <v>0</v>
      </c>
      <c r="J2141" s="21"/>
      <c r="K2141" s="24"/>
    </row>
    <row r="2142" spans="1:11" ht="15.75" customHeight="1" x14ac:dyDescent="0.25">
      <c r="A2142" s="21" t="s">
        <v>3728</v>
      </c>
      <c r="B2142" s="26" t="s">
        <v>2888</v>
      </c>
      <c r="C2142" s="3" t="s">
        <v>2889</v>
      </c>
      <c r="D2142" s="21"/>
      <c r="E2142" s="3" t="s">
        <v>292</v>
      </c>
      <c r="F2142" s="3" t="s">
        <v>78</v>
      </c>
      <c r="G2142" s="3">
        <v>3</v>
      </c>
      <c r="H2142" s="23"/>
      <c r="I2142" s="124">
        <f t="shared" si="82"/>
        <v>0</v>
      </c>
      <c r="J2142" s="21"/>
      <c r="K2142" s="24"/>
    </row>
    <row r="2143" spans="1:11" ht="15.75" customHeight="1" x14ac:dyDescent="0.25">
      <c r="A2143" s="21" t="s">
        <v>3729</v>
      </c>
      <c r="B2143" s="26" t="s">
        <v>2891</v>
      </c>
      <c r="C2143" s="3" t="s">
        <v>2892</v>
      </c>
      <c r="D2143" s="21"/>
      <c r="E2143" s="3" t="s">
        <v>292</v>
      </c>
      <c r="F2143" s="3" t="s">
        <v>78</v>
      </c>
      <c r="G2143" s="3">
        <v>10</v>
      </c>
      <c r="H2143" s="23"/>
      <c r="I2143" s="124">
        <f t="shared" si="82"/>
        <v>0</v>
      </c>
      <c r="J2143" s="21"/>
      <c r="K2143" s="24"/>
    </row>
    <row r="2144" spans="1:11" ht="15.75" customHeight="1" x14ac:dyDescent="0.25">
      <c r="A2144" s="21" t="s">
        <v>3730</v>
      </c>
      <c r="B2144" s="26" t="s">
        <v>3731</v>
      </c>
      <c r="C2144" s="3" t="s">
        <v>3732</v>
      </c>
      <c r="D2144" s="21"/>
      <c r="E2144" s="21" t="s">
        <v>3733</v>
      </c>
      <c r="F2144" s="3" t="s">
        <v>78</v>
      </c>
      <c r="G2144" s="3">
        <v>4</v>
      </c>
      <c r="H2144" s="23"/>
      <c r="I2144" s="124">
        <f t="shared" si="82"/>
        <v>0</v>
      </c>
      <c r="J2144" s="21"/>
      <c r="K2144" s="24"/>
    </row>
    <row r="2145" spans="1:11" ht="15.75" customHeight="1" x14ac:dyDescent="0.25">
      <c r="A2145" s="21" t="s">
        <v>3734</v>
      </c>
      <c r="B2145" s="26" t="s">
        <v>3735</v>
      </c>
      <c r="C2145" s="3"/>
      <c r="D2145" s="21"/>
      <c r="E2145" s="21" t="s">
        <v>46</v>
      </c>
      <c r="F2145" s="3" t="s">
        <v>78</v>
      </c>
      <c r="G2145" s="3">
        <v>1000</v>
      </c>
      <c r="H2145" s="23"/>
      <c r="I2145" s="124">
        <f t="shared" si="82"/>
        <v>0</v>
      </c>
      <c r="J2145" s="21"/>
      <c r="K2145" s="24"/>
    </row>
    <row r="2146" spans="1:11" ht="15.75" customHeight="1" x14ac:dyDescent="0.25">
      <c r="A2146" s="21" t="s">
        <v>3736</v>
      </c>
      <c r="B2146" s="26" t="s">
        <v>3737</v>
      </c>
      <c r="C2146" s="3" t="s">
        <v>3738</v>
      </c>
      <c r="D2146" s="21" t="s">
        <v>3739</v>
      </c>
      <c r="E2146" s="21" t="s">
        <v>3740</v>
      </c>
      <c r="F2146" s="3" t="s">
        <v>78</v>
      </c>
      <c r="G2146" s="3">
        <v>1</v>
      </c>
      <c r="H2146" s="23"/>
      <c r="I2146" s="124">
        <f t="shared" si="82"/>
        <v>0</v>
      </c>
      <c r="J2146" s="21"/>
      <c r="K2146" s="24"/>
    </row>
    <row r="2147" spans="1:11" ht="15.75" customHeight="1" x14ac:dyDescent="0.25">
      <c r="A2147" s="21" t="s">
        <v>3741</v>
      </c>
      <c r="B2147" s="26" t="s">
        <v>3742</v>
      </c>
      <c r="C2147" s="3" t="s">
        <v>3743</v>
      </c>
      <c r="D2147" s="21" t="s">
        <v>3744</v>
      </c>
      <c r="E2147" s="21" t="s">
        <v>3740</v>
      </c>
      <c r="F2147" s="3" t="s">
        <v>78</v>
      </c>
      <c r="G2147" s="3">
        <v>1</v>
      </c>
      <c r="H2147" s="23"/>
      <c r="I2147" s="124">
        <f t="shared" si="82"/>
        <v>0</v>
      </c>
      <c r="J2147" s="21"/>
      <c r="K2147" s="24"/>
    </row>
    <row r="2148" spans="1:11" ht="15.75" customHeight="1" x14ac:dyDescent="0.25">
      <c r="A2148" s="21" t="s">
        <v>3745</v>
      </c>
      <c r="B2148" s="26" t="s">
        <v>3746</v>
      </c>
      <c r="C2148" s="3" t="s">
        <v>3740</v>
      </c>
      <c r="D2148" s="21" t="s">
        <v>3747</v>
      </c>
      <c r="E2148" s="21" t="s">
        <v>3740</v>
      </c>
      <c r="F2148" s="3" t="s">
        <v>47</v>
      </c>
      <c r="G2148" s="3">
        <v>1</v>
      </c>
      <c r="H2148" s="23"/>
      <c r="I2148" s="124">
        <f t="shared" si="82"/>
        <v>0</v>
      </c>
      <c r="J2148" s="21"/>
      <c r="K2148" s="24"/>
    </row>
    <row r="2149" spans="1:11" ht="45" customHeight="1" x14ac:dyDescent="0.25">
      <c r="A2149" s="21" t="s">
        <v>3748</v>
      </c>
      <c r="B2149" s="26" t="s">
        <v>3749</v>
      </c>
      <c r="C2149" s="3" t="s">
        <v>3750</v>
      </c>
      <c r="D2149" s="21"/>
      <c r="E2149" s="21" t="s">
        <v>3740</v>
      </c>
      <c r="F2149" s="3" t="s">
        <v>78</v>
      </c>
      <c r="G2149" s="3">
        <v>500</v>
      </c>
      <c r="H2149" s="23"/>
      <c r="I2149" s="124">
        <f t="shared" si="82"/>
        <v>0</v>
      </c>
      <c r="J2149" s="21"/>
      <c r="K2149" s="24"/>
    </row>
    <row r="2150" spans="1:11" ht="15.75" customHeight="1" x14ac:dyDescent="0.25">
      <c r="A2150" s="21" t="s">
        <v>3751</v>
      </c>
      <c r="B2150" s="26" t="s">
        <v>3752</v>
      </c>
      <c r="C2150" s="3" t="s">
        <v>3753</v>
      </c>
      <c r="D2150" s="21" t="s">
        <v>3754</v>
      </c>
      <c r="E2150" s="21" t="s">
        <v>3740</v>
      </c>
      <c r="F2150" s="3" t="s">
        <v>78</v>
      </c>
      <c r="G2150" s="3">
        <v>2000</v>
      </c>
      <c r="H2150" s="23"/>
      <c r="I2150" s="124">
        <f t="shared" si="82"/>
        <v>0</v>
      </c>
      <c r="J2150" s="21"/>
      <c r="K2150" s="24"/>
    </row>
    <row r="2151" spans="1:11" ht="28.5" customHeight="1" x14ac:dyDescent="0.25">
      <c r="A2151" s="16"/>
      <c r="B2151" s="15" t="s">
        <v>3755</v>
      </c>
      <c r="C2151" s="16"/>
      <c r="D2151" s="16"/>
      <c r="E2151" s="16"/>
      <c r="F2151" s="16"/>
      <c r="G2151" s="16"/>
      <c r="H2151" s="17"/>
      <c r="I2151" s="123"/>
      <c r="J2151" s="16"/>
      <c r="K2151" s="18"/>
    </row>
    <row r="2152" spans="1:11" ht="28.5" customHeight="1" x14ac:dyDescent="0.25">
      <c r="A2152" s="42" t="s">
        <v>349</v>
      </c>
      <c r="B2152" s="20" t="s">
        <v>3756</v>
      </c>
      <c r="C2152" s="22"/>
      <c r="D2152" s="21"/>
      <c r="E2152" s="21"/>
      <c r="F2152" s="22"/>
      <c r="G2152" s="21"/>
      <c r="H2152" s="23"/>
      <c r="I2152" s="124"/>
      <c r="J2152" s="21"/>
      <c r="K2152" s="24"/>
    </row>
    <row r="2153" spans="1:11" ht="15.75" customHeight="1" x14ac:dyDescent="0.25">
      <c r="A2153" s="42"/>
      <c r="B2153" s="20" t="s">
        <v>3757</v>
      </c>
      <c r="C2153" s="22"/>
      <c r="D2153" s="21"/>
      <c r="E2153" s="21"/>
      <c r="F2153" s="22"/>
      <c r="G2153" s="21"/>
      <c r="H2153" s="23"/>
      <c r="I2153" s="124"/>
      <c r="J2153" s="21"/>
      <c r="K2153" s="24"/>
    </row>
    <row r="2154" spans="1:11" ht="15.75" customHeight="1" x14ac:dyDescent="0.25">
      <c r="A2154" s="21" t="s">
        <v>1943</v>
      </c>
      <c r="B2154" s="26" t="s">
        <v>3758</v>
      </c>
      <c r="C2154" s="3"/>
      <c r="D2154" s="21"/>
      <c r="E2154" s="21" t="s">
        <v>810</v>
      </c>
      <c r="F2154" s="3" t="s">
        <v>47</v>
      </c>
      <c r="G2154" s="3">
        <v>1</v>
      </c>
      <c r="H2154" s="23"/>
      <c r="I2154" s="124">
        <f t="shared" ref="I2154:I2179" si="83">H2154*G2154</f>
        <v>0</v>
      </c>
      <c r="J2154" s="21"/>
      <c r="K2154" s="24" t="s">
        <v>3759</v>
      </c>
    </row>
    <row r="2155" spans="1:11" ht="15.75" customHeight="1" x14ac:dyDescent="0.25">
      <c r="A2155" s="21" t="s">
        <v>1950</v>
      </c>
      <c r="B2155" s="26" t="s">
        <v>3758</v>
      </c>
      <c r="C2155" s="3"/>
      <c r="D2155" s="21"/>
      <c r="E2155" s="21" t="s">
        <v>810</v>
      </c>
      <c r="F2155" s="3" t="s">
        <v>47</v>
      </c>
      <c r="G2155" s="3">
        <v>1</v>
      </c>
      <c r="H2155" s="23"/>
      <c r="I2155" s="124">
        <f t="shared" si="83"/>
        <v>0</v>
      </c>
      <c r="J2155" s="21"/>
      <c r="K2155" s="24" t="s">
        <v>3760</v>
      </c>
    </row>
    <row r="2156" spans="1:11" ht="15.75" customHeight="1" x14ac:dyDescent="0.25">
      <c r="A2156" s="21" t="s">
        <v>1955</v>
      </c>
      <c r="B2156" s="26" t="s">
        <v>3758</v>
      </c>
      <c r="C2156" s="3"/>
      <c r="D2156" s="21"/>
      <c r="E2156" s="21" t="s">
        <v>810</v>
      </c>
      <c r="F2156" s="3" t="s">
        <v>47</v>
      </c>
      <c r="G2156" s="3">
        <v>1</v>
      </c>
      <c r="H2156" s="23"/>
      <c r="I2156" s="124">
        <f t="shared" si="83"/>
        <v>0</v>
      </c>
      <c r="J2156" s="21"/>
      <c r="K2156" s="24" t="s">
        <v>3761</v>
      </c>
    </row>
    <row r="2157" spans="1:11" ht="15.75" customHeight="1" x14ac:dyDescent="0.25">
      <c r="A2157" s="21" t="s">
        <v>1959</v>
      </c>
      <c r="B2157" s="26" t="s">
        <v>3758</v>
      </c>
      <c r="C2157" s="3"/>
      <c r="D2157" s="21"/>
      <c r="E2157" s="21" t="s">
        <v>810</v>
      </c>
      <c r="F2157" s="3" t="s">
        <v>47</v>
      </c>
      <c r="G2157" s="3">
        <v>1</v>
      </c>
      <c r="H2157" s="23"/>
      <c r="I2157" s="124">
        <f t="shared" si="83"/>
        <v>0</v>
      </c>
      <c r="J2157" s="21"/>
      <c r="K2157" s="24" t="s">
        <v>3762</v>
      </c>
    </row>
    <row r="2158" spans="1:11" ht="15.75" customHeight="1" x14ac:dyDescent="0.25">
      <c r="A2158" s="21" t="s">
        <v>1963</v>
      </c>
      <c r="B2158" s="26" t="s">
        <v>3758</v>
      </c>
      <c r="C2158" s="3"/>
      <c r="D2158" s="21"/>
      <c r="E2158" s="21" t="s">
        <v>810</v>
      </c>
      <c r="F2158" s="3" t="s">
        <v>47</v>
      </c>
      <c r="G2158" s="3">
        <v>1</v>
      </c>
      <c r="H2158" s="23"/>
      <c r="I2158" s="124">
        <f t="shared" si="83"/>
        <v>0</v>
      </c>
      <c r="J2158" s="21"/>
      <c r="K2158" s="24" t="s">
        <v>3763</v>
      </c>
    </row>
    <row r="2159" spans="1:11" ht="15.75" customHeight="1" x14ac:dyDescent="0.25">
      <c r="A2159" s="21" t="s">
        <v>1966</v>
      </c>
      <c r="B2159" s="26" t="s">
        <v>3758</v>
      </c>
      <c r="C2159" s="3"/>
      <c r="D2159" s="21"/>
      <c r="E2159" s="21" t="s">
        <v>810</v>
      </c>
      <c r="F2159" s="3" t="s">
        <v>47</v>
      </c>
      <c r="G2159" s="3">
        <v>1</v>
      </c>
      <c r="H2159" s="23"/>
      <c r="I2159" s="124">
        <f t="shared" si="83"/>
        <v>0</v>
      </c>
      <c r="J2159" s="21"/>
      <c r="K2159" s="24" t="s">
        <v>3764</v>
      </c>
    </row>
    <row r="2160" spans="1:11" ht="15.75" customHeight="1" x14ac:dyDescent="0.25">
      <c r="A2160" s="21" t="s">
        <v>1970</v>
      </c>
      <c r="B2160" s="26" t="s">
        <v>3758</v>
      </c>
      <c r="C2160" s="3"/>
      <c r="D2160" s="21"/>
      <c r="E2160" s="21" t="s">
        <v>810</v>
      </c>
      <c r="F2160" s="3" t="s">
        <v>47</v>
      </c>
      <c r="G2160" s="3">
        <v>1</v>
      </c>
      <c r="H2160" s="23"/>
      <c r="I2160" s="124">
        <f t="shared" si="83"/>
        <v>0</v>
      </c>
      <c r="J2160" s="21"/>
      <c r="K2160" s="24" t="s">
        <v>3765</v>
      </c>
    </row>
    <row r="2161" spans="1:11" ht="15.75" customHeight="1" x14ac:dyDescent="0.25">
      <c r="A2161" s="21" t="s">
        <v>1974</v>
      </c>
      <c r="B2161" s="26" t="s">
        <v>3758</v>
      </c>
      <c r="C2161" s="3"/>
      <c r="D2161" s="21"/>
      <c r="E2161" s="21" t="s">
        <v>810</v>
      </c>
      <c r="F2161" s="3" t="s">
        <v>47</v>
      </c>
      <c r="G2161" s="3">
        <v>1</v>
      </c>
      <c r="H2161" s="23"/>
      <c r="I2161" s="124">
        <f t="shared" si="83"/>
        <v>0</v>
      </c>
      <c r="J2161" s="21"/>
      <c r="K2161" s="24" t="s">
        <v>3766</v>
      </c>
    </row>
    <row r="2162" spans="1:11" ht="15.75" customHeight="1" x14ac:dyDescent="0.25">
      <c r="A2162" s="21" t="s">
        <v>1978</v>
      </c>
      <c r="B2162" s="26" t="s">
        <v>3758</v>
      </c>
      <c r="C2162" s="3"/>
      <c r="D2162" s="21"/>
      <c r="E2162" s="21" t="s">
        <v>810</v>
      </c>
      <c r="F2162" s="3" t="s">
        <v>47</v>
      </c>
      <c r="G2162" s="3">
        <v>1</v>
      </c>
      <c r="H2162" s="23"/>
      <c r="I2162" s="124">
        <f t="shared" si="83"/>
        <v>0</v>
      </c>
      <c r="J2162" s="21"/>
      <c r="K2162" s="24" t="s">
        <v>3767</v>
      </c>
    </row>
    <row r="2163" spans="1:11" ht="15.75" customHeight="1" x14ac:dyDescent="0.25">
      <c r="A2163" s="21" t="s">
        <v>2551</v>
      </c>
      <c r="B2163" s="26" t="s">
        <v>3758</v>
      </c>
      <c r="C2163" s="3"/>
      <c r="D2163" s="21"/>
      <c r="E2163" s="21" t="s">
        <v>810</v>
      </c>
      <c r="F2163" s="3" t="s">
        <v>47</v>
      </c>
      <c r="G2163" s="3">
        <v>1</v>
      </c>
      <c r="H2163" s="23"/>
      <c r="I2163" s="124">
        <f t="shared" si="83"/>
        <v>0</v>
      </c>
      <c r="J2163" s="21"/>
      <c r="K2163" s="24" t="s">
        <v>3768</v>
      </c>
    </row>
    <row r="2164" spans="1:11" ht="15.75" customHeight="1" x14ac:dyDescent="0.25">
      <c r="A2164" s="21" t="s">
        <v>2555</v>
      </c>
      <c r="B2164" s="26" t="s">
        <v>3758</v>
      </c>
      <c r="C2164" s="3"/>
      <c r="D2164" s="21"/>
      <c r="E2164" s="21" t="s">
        <v>810</v>
      </c>
      <c r="F2164" s="3" t="s">
        <v>47</v>
      </c>
      <c r="G2164" s="3">
        <v>1</v>
      </c>
      <c r="H2164" s="23"/>
      <c r="I2164" s="124">
        <f t="shared" si="83"/>
        <v>0</v>
      </c>
      <c r="J2164" s="21"/>
      <c r="K2164" s="24" t="s">
        <v>3769</v>
      </c>
    </row>
    <row r="2165" spans="1:11" ht="15.75" customHeight="1" x14ac:dyDescent="0.25">
      <c r="A2165" s="21" t="s">
        <v>2559</v>
      </c>
      <c r="B2165" s="26" t="s">
        <v>3758</v>
      </c>
      <c r="C2165" s="3"/>
      <c r="D2165" s="21"/>
      <c r="E2165" s="21" t="s">
        <v>810</v>
      </c>
      <c r="F2165" s="3" t="s">
        <v>47</v>
      </c>
      <c r="G2165" s="3">
        <v>1</v>
      </c>
      <c r="H2165" s="23"/>
      <c r="I2165" s="124">
        <f t="shared" si="83"/>
        <v>0</v>
      </c>
      <c r="J2165" s="21"/>
      <c r="K2165" s="24" t="s">
        <v>3770</v>
      </c>
    </row>
    <row r="2166" spans="1:11" ht="15.75" customHeight="1" x14ac:dyDescent="0.25">
      <c r="A2166" s="21" t="s">
        <v>2563</v>
      </c>
      <c r="B2166" s="26" t="s">
        <v>3758</v>
      </c>
      <c r="C2166" s="3"/>
      <c r="D2166" s="21"/>
      <c r="E2166" s="21" t="s">
        <v>810</v>
      </c>
      <c r="F2166" s="3" t="s">
        <v>47</v>
      </c>
      <c r="G2166" s="3">
        <v>1</v>
      </c>
      <c r="H2166" s="23"/>
      <c r="I2166" s="124">
        <f t="shared" si="83"/>
        <v>0</v>
      </c>
      <c r="J2166" s="21"/>
      <c r="K2166" s="24" t="s">
        <v>3771</v>
      </c>
    </row>
    <row r="2167" spans="1:11" ht="15.75" customHeight="1" x14ac:dyDescent="0.25">
      <c r="A2167" s="21" t="s">
        <v>2567</v>
      </c>
      <c r="B2167" s="26" t="s">
        <v>3758</v>
      </c>
      <c r="C2167" s="3"/>
      <c r="D2167" s="21"/>
      <c r="E2167" s="21" t="s">
        <v>810</v>
      </c>
      <c r="F2167" s="3" t="s">
        <v>47</v>
      </c>
      <c r="G2167" s="3">
        <v>1</v>
      </c>
      <c r="H2167" s="23"/>
      <c r="I2167" s="124">
        <f t="shared" si="83"/>
        <v>0</v>
      </c>
      <c r="J2167" s="21"/>
      <c r="K2167" s="24" t="s">
        <v>3772</v>
      </c>
    </row>
    <row r="2168" spans="1:11" ht="15.75" customHeight="1" x14ac:dyDescent="0.25">
      <c r="A2168" s="21" t="s">
        <v>2571</v>
      </c>
      <c r="B2168" s="26" t="s">
        <v>3758</v>
      </c>
      <c r="C2168" s="3"/>
      <c r="D2168" s="21"/>
      <c r="E2168" s="21" t="s">
        <v>810</v>
      </c>
      <c r="F2168" s="3" t="s">
        <v>47</v>
      </c>
      <c r="G2168" s="3">
        <v>1</v>
      </c>
      <c r="H2168" s="23"/>
      <c r="I2168" s="124">
        <f t="shared" si="83"/>
        <v>0</v>
      </c>
      <c r="J2168" s="21"/>
      <c r="K2168" s="24" t="s">
        <v>3773</v>
      </c>
    </row>
    <row r="2169" spans="1:11" ht="15.75" customHeight="1" x14ac:dyDescent="0.25">
      <c r="A2169" s="21" t="s">
        <v>2575</v>
      </c>
      <c r="B2169" s="26" t="s">
        <v>3758</v>
      </c>
      <c r="C2169" s="3"/>
      <c r="D2169" s="21"/>
      <c r="E2169" s="21" t="s">
        <v>810</v>
      </c>
      <c r="F2169" s="3" t="s">
        <v>47</v>
      </c>
      <c r="G2169" s="3">
        <v>1</v>
      </c>
      <c r="H2169" s="23"/>
      <c r="I2169" s="124">
        <f t="shared" si="83"/>
        <v>0</v>
      </c>
      <c r="J2169" s="21"/>
      <c r="K2169" s="24" t="s">
        <v>3774</v>
      </c>
    </row>
    <row r="2170" spans="1:11" ht="15.75" customHeight="1" x14ac:dyDescent="0.25">
      <c r="A2170" s="21" t="s">
        <v>2579</v>
      </c>
      <c r="B2170" s="26" t="s">
        <v>3758</v>
      </c>
      <c r="C2170" s="3"/>
      <c r="D2170" s="21"/>
      <c r="E2170" s="21" t="s">
        <v>810</v>
      </c>
      <c r="F2170" s="3" t="s">
        <v>47</v>
      </c>
      <c r="G2170" s="3">
        <v>1</v>
      </c>
      <c r="H2170" s="23"/>
      <c r="I2170" s="124">
        <f t="shared" si="83"/>
        <v>0</v>
      </c>
      <c r="J2170" s="21"/>
      <c r="K2170" s="24" t="s">
        <v>3775</v>
      </c>
    </row>
    <row r="2171" spans="1:11" ht="15.75" customHeight="1" x14ac:dyDescent="0.25">
      <c r="A2171" s="21" t="s">
        <v>2583</v>
      </c>
      <c r="B2171" s="26" t="s">
        <v>3758</v>
      </c>
      <c r="C2171" s="3"/>
      <c r="D2171" s="21"/>
      <c r="E2171" s="21" t="s">
        <v>810</v>
      </c>
      <c r="F2171" s="3" t="s">
        <v>47</v>
      </c>
      <c r="G2171" s="3">
        <v>1</v>
      </c>
      <c r="H2171" s="23"/>
      <c r="I2171" s="124">
        <f t="shared" si="83"/>
        <v>0</v>
      </c>
      <c r="J2171" s="21"/>
      <c r="K2171" s="24" t="s">
        <v>3776</v>
      </c>
    </row>
    <row r="2172" spans="1:11" ht="15.75" customHeight="1" x14ac:dyDescent="0.25">
      <c r="A2172" s="21" t="s">
        <v>2587</v>
      </c>
      <c r="B2172" s="26" t="s">
        <v>3758</v>
      </c>
      <c r="C2172" s="3"/>
      <c r="D2172" s="21"/>
      <c r="E2172" s="21" t="s">
        <v>810</v>
      </c>
      <c r="F2172" s="3" t="s">
        <v>47</v>
      </c>
      <c r="G2172" s="3">
        <v>1</v>
      </c>
      <c r="H2172" s="23"/>
      <c r="I2172" s="124">
        <f t="shared" si="83"/>
        <v>0</v>
      </c>
      <c r="J2172" s="21"/>
      <c r="K2172" s="24" t="s">
        <v>3777</v>
      </c>
    </row>
    <row r="2173" spans="1:11" ht="15.75" customHeight="1" x14ac:dyDescent="0.25">
      <c r="A2173" s="21" t="s">
        <v>2590</v>
      </c>
      <c r="B2173" s="26" t="s">
        <v>3758</v>
      </c>
      <c r="C2173" s="3"/>
      <c r="D2173" s="21"/>
      <c r="E2173" s="21" t="s">
        <v>810</v>
      </c>
      <c r="F2173" s="3" t="s">
        <v>47</v>
      </c>
      <c r="G2173" s="3">
        <v>1</v>
      </c>
      <c r="H2173" s="23"/>
      <c r="I2173" s="124">
        <f t="shared" si="83"/>
        <v>0</v>
      </c>
      <c r="J2173" s="21"/>
      <c r="K2173" s="24" t="s">
        <v>3778</v>
      </c>
    </row>
    <row r="2174" spans="1:11" ht="15.75" customHeight="1" x14ac:dyDescent="0.25">
      <c r="A2174" s="21" t="s">
        <v>2594</v>
      </c>
      <c r="B2174" s="26" t="s">
        <v>3758</v>
      </c>
      <c r="C2174" s="3"/>
      <c r="D2174" s="21"/>
      <c r="E2174" s="21" t="s">
        <v>810</v>
      </c>
      <c r="F2174" s="3" t="s">
        <v>47</v>
      </c>
      <c r="G2174" s="3">
        <v>1</v>
      </c>
      <c r="H2174" s="23"/>
      <c r="I2174" s="124">
        <f t="shared" si="83"/>
        <v>0</v>
      </c>
      <c r="J2174" s="21"/>
      <c r="K2174" s="24" t="s">
        <v>3779</v>
      </c>
    </row>
    <row r="2175" spans="1:11" ht="15.75" customHeight="1" x14ac:dyDescent="0.25">
      <c r="A2175" s="21" t="s">
        <v>2597</v>
      </c>
      <c r="B2175" s="26" t="s">
        <v>3758</v>
      </c>
      <c r="C2175" s="3"/>
      <c r="D2175" s="21"/>
      <c r="E2175" s="21" t="s">
        <v>810</v>
      </c>
      <c r="F2175" s="3" t="s">
        <v>47</v>
      </c>
      <c r="G2175" s="3">
        <v>1</v>
      </c>
      <c r="H2175" s="23"/>
      <c r="I2175" s="124">
        <f t="shared" si="83"/>
        <v>0</v>
      </c>
      <c r="J2175" s="21"/>
      <c r="K2175" s="24" t="s">
        <v>3780</v>
      </c>
    </row>
    <row r="2176" spans="1:11" ht="28.5" customHeight="1" x14ac:dyDescent="0.25">
      <c r="A2176" s="21" t="s">
        <v>2597</v>
      </c>
      <c r="B2176" s="26" t="s">
        <v>3758</v>
      </c>
      <c r="C2176" s="3"/>
      <c r="D2176" s="21"/>
      <c r="E2176" s="21" t="s">
        <v>810</v>
      </c>
      <c r="F2176" s="3" t="s">
        <v>47</v>
      </c>
      <c r="G2176" s="3">
        <v>1</v>
      </c>
      <c r="H2176" s="23"/>
      <c r="I2176" s="124">
        <f t="shared" si="83"/>
        <v>0</v>
      </c>
      <c r="J2176" s="21"/>
      <c r="K2176" s="24" t="s">
        <v>3781</v>
      </c>
    </row>
    <row r="2177" spans="1:11" ht="28.5" customHeight="1" x14ac:dyDescent="0.25">
      <c r="A2177" s="21" t="s">
        <v>2602</v>
      </c>
      <c r="B2177" s="26" t="s">
        <v>3782</v>
      </c>
      <c r="C2177" s="3" t="s">
        <v>1792</v>
      </c>
      <c r="D2177" s="21" t="s">
        <v>3783</v>
      </c>
      <c r="E2177" s="21" t="s">
        <v>3784</v>
      </c>
      <c r="F2177" s="3" t="s">
        <v>78</v>
      </c>
      <c r="G2177" s="3">
        <v>8</v>
      </c>
      <c r="H2177" s="23"/>
      <c r="I2177" s="124">
        <f t="shared" si="83"/>
        <v>0</v>
      </c>
      <c r="J2177" s="21"/>
      <c r="K2177" s="24" t="s">
        <v>3785</v>
      </c>
    </row>
    <row r="2178" spans="1:11" ht="28.5" customHeight="1" x14ac:dyDescent="0.25">
      <c r="A2178" s="21" t="s">
        <v>2606</v>
      </c>
      <c r="B2178" s="26" t="s">
        <v>3786</v>
      </c>
      <c r="C2178" s="3" t="s">
        <v>3787</v>
      </c>
      <c r="D2178" s="21"/>
      <c r="E2178" s="21" t="s">
        <v>3788</v>
      </c>
      <c r="F2178" s="3" t="s">
        <v>78</v>
      </c>
      <c r="G2178" s="3">
        <v>3</v>
      </c>
      <c r="H2178" s="23"/>
      <c r="I2178" s="124">
        <f t="shared" si="83"/>
        <v>0</v>
      </c>
      <c r="J2178" s="21"/>
      <c r="K2178" s="24" t="s">
        <v>3789</v>
      </c>
    </row>
    <row r="2179" spans="1:11" ht="54" customHeight="1" x14ac:dyDescent="0.25">
      <c r="A2179" s="21" t="s">
        <v>2609</v>
      </c>
      <c r="B2179" s="26" t="s">
        <v>3790</v>
      </c>
      <c r="C2179" s="3" t="s">
        <v>3791</v>
      </c>
      <c r="D2179" s="21"/>
      <c r="E2179" s="21" t="s">
        <v>3788</v>
      </c>
      <c r="F2179" s="3" t="s">
        <v>78</v>
      </c>
      <c r="G2179" s="3">
        <v>6</v>
      </c>
      <c r="H2179" s="23"/>
      <c r="I2179" s="124">
        <f t="shared" si="83"/>
        <v>0</v>
      </c>
      <c r="J2179" s="21"/>
      <c r="K2179" s="24" t="s">
        <v>3792</v>
      </c>
    </row>
    <row r="2180" spans="1:11" ht="15.75" customHeight="1" x14ac:dyDescent="0.25">
      <c r="A2180" s="42"/>
      <c r="B2180" s="20" t="s">
        <v>3793</v>
      </c>
      <c r="C2180" s="22"/>
      <c r="D2180" s="21"/>
      <c r="E2180" s="21"/>
      <c r="F2180" s="22"/>
      <c r="G2180" s="21"/>
      <c r="H2180" s="23"/>
      <c r="I2180" s="124"/>
      <c r="J2180" s="21"/>
      <c r="K2180" s="24" t="s">
        <v>3794</v>
      </c>
    </row>
    <row r="2181" spans="1:11" ht="42.75" customHeight="1" x14ac:dyDescent="0.25">
      <c r="A2181" s="21" t="s">
        <v>2086</v>
      </c>
      <c r="B2181" s="26" t="s">
        <v>3795</v>
      </c>
      <c r="C2181" s="3" t="s">
        <v>3796</v>
      </c>
      <c r="D2181" s="21"/>
      <c r="E2181" s="21" t="s">
        <v>3797</v>
      </c>
      <c r="F2181" s="3" t="s">
        <v>89</v>
      </c>
      <c r="G2181" s="3">
        <v>60</v>
      </c>
      <c r="H2181" s="23"/>
      <c r="I2181" s="124">
        <f t="shared" ref="I2181:I2187" si="84">H2181*G2181</f>
        <v>0</v>
      </c>
      <c r="J2181" s="21"/>
      <c r="K2181" s="24" t="s">
        <v>3794</v>
      </c>
    </row>
    <row r="2182" spans="1:11" ht="42.75" customHeight="1" x14ac:dyDescent="0.25">
      <c r="A2182" s="21" t="s">
        <v>2086</v>
      </c>
      <c r="B2182" s="26" t="s">
        <v>3795</v>
      </c>
      <c r="C2182" s="3" t="s">
        <v>3798</v>
      </c>
      <c r="D2182" s="21"/>
      <c r="E2182" s="21" t="s">
        <v>3797</v>
      </c>
      <c r="F2182" s="3" t="s">
        <v>89</v>
      </c>
      <c r="G2182" s="3">
        <v>1245</v>
      </c>
      <c r="H2182" s="23"/>
      <c r="I2182" s="124">
        <f t="shared" si="84"/>
        <v>0</v>
      </c>
      <c r="J2182" s="21"/>
      <c r="K2182" s="24" t="s">
        <v>3794</v>
      </c>
    </row>
    <row r="2183" spans="1:11" ht="42.75" customHeight="1" x14ac:dyDescent="0.25">
      <c r="A2183" s="21" t="s">
        <v>2093</v>
      </c>
      <c r="B2183" s="26" t="s">
        <v>3799</v>
      </c>
      <c r="C2183" s="3" t="s">
        <v>3800</v>
      </c>
      <c r="D2183" s="21"/>
      <c r="E2183" s="21" t="s">
        <v>3797</v>
      </c>
      <c r="F2183" s="3" t="s">
        <v>89</v>
      </c>
      <c r="G2183" s="3">
        <v>2085</v>
      </c>
      <c r="H2183" s="23"/>
      <c r="I2183" s="124">
        <f t="shared" si="84"/>
        <v>0</v>
      </c>
      <c r="J2183" s="21"/>
      <c r="K2183" s="24"/>
    </row>
    <row r="2184" spans="1:11" ht="42.75" customHeight="1" x14ac:dyDescent="0.25">
      <c r="A2184" s="21" t="s">
        <v>2097</v>
      </c>
      <c r="B2184" s="26" t="s">
        <v>3799</v>
      </c>
      <c r="C2184" s="3" t="s">
        <v>3801</v>
      </c>
      <c r="D2184" s="21"/>
      <c r="E2184" s="21" t="s">
        <v>3797</v>
      </c>
      <c r="F2184" s="3" t="s">
        <v>89</v>
      </c>
      <c r="G2184" s="3">
        <v>680</v>
      </c>
      <c r="H2184" s="23"/>
      <c r="I2184" s="124">
        <f t="shared" si="84"/>
        <v>0</v>
      </c>
      <c r="J2184" s="21"/>
      <c r="K2184" s="24"/>
    </row>
    <row r="2185" spans="1:11" ht="42.75" customHeight="1" x14ac:dyDescent="0.25">
      <c r="A2185" s="21" t="s">
        <v>2917</v>
      </c>
      <c r="B2185" s="26" t="s">
        <v>3802</v>
      </c>
      <c r="C2185" s="3" t="s">
        <v>3803</v>
      </c>
      <c r="D2185" s="21"/>
      <c r="E2185" s="21" t="s">
        <v>3797</v>
      </c>
      <c r="F2185" s="3" t="s">
        <v>89</v>
      </c>
      <c r="G2185" s="3">
        <v>1900</v>
      </c>
      <c r="H2185" s="23"/>
      <c r="I2185" s="124">
        <f t="shared" si="84"/>
        <v>0</v>
      </c>
      <c r="J2185" s="21"/>
      <c r="K2185" s="24"/>
    </row>
    <row r="2186" spans="1:11" ht="42.75" customHeight="1" x14ac:dyDescent="0.25">
      <c r="A2186" s="21" t="s">
        <v>2920</v>
      </c>
      <c r="B2186" s="26" t="s">
        <v>3804</v>
      </c>
      <c r="C2186" s="3" t="s">
        <v>3805</v>
      </c>
      <c r="D2186" s="21"/>
      <c r="E2186" s="21" t="s">
        <v>3797</v>
      </c>
      <c r="F2186" s="3" t="s">
        <v>89</v>
      </c>
      <c r="G2186" s="3">
        <v>160</v>
      </c>
      <c r="H2186" s="23"/>
      <c r="I2186" s="124">
        <f t="shared" si="84"/>
        <v>0</v>
      </c>
      <c r="J2186" s="21"/>
      <c r="K2186" s="24"/>
    </row>
    <row r="2187" spans="1:11" ht="42.75" customHeight="1" x14ac:dyDescent="0.25">
      <c r="A2187" s="21" t="s">
        <v>2923</v>
      </c>
      <c r="B2187" s="26" t="s">
        <v>3804</v>
      </c>
      <c r="C2187" s="3" t="s">
        <v>3806</v>
      </c>
      <c r="D2187" s="21"/>
      <c r="E2187" s="21" t="s">
        <v>3797</v>
      </c>
      <c r="F2187" s="3" t="s">
        <v>89</v>
      </c>
      <c r="G2187" s="3">
        <v>3630</v>
      </c>
      <c r="H2187" s="23"/>
      <c r="I2187" s="124">
        <f t="shared" si="84"/>
        <v>0</v>
      </c>
      <c r="J2187" s="21"/>
      <c r="K2187" s="24"/>
    </row>
    <row r="2188" spans="1:11" ht="15.75" customHeight="1" x14ac:dyDescent="0.25">
      <c r="A2188" s="42"/>
      <c r="B2188" s="20" t="s">
        <v>3807</v>
      </c>
      <c r="C2188" s="22"/>
      <c r="D2188" s="21"/>
      <c r="E2188" s="21"/>
      <c r="F2188" s="22"/>
      <c r="G2188" s="21"/>
      <c r="H2188" s="23"/>
      <c r="I2188" s="124"/>
      <c r="J2188" s="21"/>
      <c r="K2188" s="24"/>
    </row>
    <row r="2189" spans="1:11" ht="15.75" customHeight="1" x14ac:dyDescent="0.25">
      <c r="A2189" s="21" t="s">
        <v>1995</v>
      </c>
      <c r="B2189" s="26" t="s">
        <v>3808</v>
      </c>
      <c r="C2189" s="3" t="s">
        <v>2867</v>
      </c>
      <c r="D2189" s="21"/>
      <c r="E2189" s="21" t="s">
        <v>292</v>
      </c>
      <c r="F2189" s="3" t="s">
        <v>89</v>
      </c>
      <c r="G2189" s="3">
        <v>8500</v>
      </c>
      <c r="H2189" s="23"/>
      <c r="I2189" s="124">
        <f t="shared" ref="I2189:I2219" si="85">H2189*G2189</f>
        <v>0</v>
      </c>
      <c r="J2189" s="21"/>
      <c r="K2189" s="24"/>
    </row>
    <row r="2190" spans="1:11" ht="15.75" customHeight="1" x14ac:dyDescent="0.25">
      <c r="A2190" s="21" t="s">
        <v>1999</v>
      </c>
      <c r="B2190" s="26" t="s">
        <v>3809</v>
      </c>
      <c r="C2190" s="3" t="s">
        <v>3810</v>
      </c>
      <c r="D2190" s="21"/>
      <c r="E2190" s="3" t="s">
        <v>292</v>
      </c>
      <c r="F2190" s="3" t="s">
        <v>78</v>
      </c>
      <c r="G2190" s="3">
        <v>25500</v>
      </c>
      <c r="H2190" s="23"/>
      <c r="I2190" s="124">
        <f t="shared" si="85"/>
        <v>0</v>
      </c>
      <c r="J2190" s="21"/>
      <c r="K2190" s="24"/>
    </row>
    <row r="2191" spans="1:11" ht="15.75" customHeight="1" x14ac:dyDescent="0.25">
      <c r="A2191" s="21" t="s">
        <v>2003</v>
      </c>
      <c r="B2191" s="26" t="s">
        <v>3811</v>
      </c>
      <c r="C2191" s="3" t="s">
        <v>3812</v>
      </c>
      <c r="D2191" s="21"/>
      <c r="E2191" s="21" t="s">
        <v>292</v>
      </c>
      <c r="F2191" s="3" t="s">
        <v>89</v>
      </c>
      <c r="G2191" s="3">
        <v>40</v>
      </c>
      <c r="H2191" s="23"/>
      <c r="I2191" s="124">
        <f t="shared" si="85"/>
        <v>0</v>
      </c>
      <c r="J2191" s="21"/>
      <c r="K2191" s="24"/>
    </row>
    <row r="2192" spans="1:11" ht="15.75" customHeight="1" x14ac:dyDescent="0.25">
      <c r="A2192" s="21" t="s">
        <v>2007</v>
      </c>
      <c r="B2192" s="26" t="s">
        <v>3813</v>
      </c>
      <c r="C2192" s="3" t="s">
        <v>3814</v>
      </c>
      <c r="D2192" s="21"/>
      <c r="E2192" s="3" t="s">
        <v>292</v>
      </c>
      <c r="F2192" s="3" t="s">
        <v>78</v>
      </c>
      <c r="G2192" s="3">
        <v>120</v>
      </c>
      <c r="H2192" s="23"/>
      <c r="I2192" s="124">
        <f t="shared" si="85"/>
        <v>0</v>
      </c>
      <c r="J2192" s="21"/>
      <c r="K2192" s="24"/>
    </row>
    <row r="2193" spans="1:11" ht="15.75" customHeight="1" x14ac:dyDescent="0.25">
      <c r="A2193" s="21" t="s">
        <v>2008</v>
      </c>
      <c r="B2193" s="26" t="s">
        <v>3815</v>
      </c>
      <c r="C2193" s="3" t="s">
        <v>162</v>
      </c>
      <c r="D2193" s="21"/>
      <c r="E2193" s="21"/>
      <c r="F2193" s="3" t="s">
        <v>89</v>
      </c>
      <c r="G2193" s="3">
        <v>50</v>
      </c>
      <c r="H2193" s="23"/>
      <c r="I2193" s="124">
        <f t="shared" si="85"/>
        <v>0</v>
      </c>
      <c r="J2193" s="21"/>
      <c r="K2193" s="24"/>
    </row>
    <row r="2194" spans="1:11" ht="15.75" customHeight="1" x14ac:dyDescent="0.25">
      <c r="A2194" s="21" t="s">
        <v>2012</v>
      </c>
      <c r="B2194" s="26" t="s">
        <v>3816</v>
      </c>
      <c r="C2194" s="3" t="s">
        <v>3817</v>
      </c>
      <c r="D2194" s="21"/>
      <c r="E2194" s="21" t="s">
        <v>3818</v>
      </c>
      <c r="F2194" s="3" t="s">
        <v>78</v>
      </c>
      <c r="G2194" s="3">
        <v>20</v>
      </c>
      <c r="H2194" s="23"/>
      <c r="I2194" s="124">
        <f t="shared" si="85"/>
        <v>0</v>
      </c>
      <c r="J2194" s="21"/>
      <c r="K2194" s="24"/>
    </row>
    <row r="2195" spans="1:11" ht="15.75" customHeight="1" x14ac:dyDescent="0.25">
      <c r="A2195" s="21" t="s">
        <v>2016</v>
      </c>
      <c r="B2195" s="26" t="s">
        <v>3819</v>
      </c>
      <c r="C2195" s="3"/>
      <c r="D2195" s="21" t="s">
        <v>3820</v>
      </c>
      <c r="E2195" s="3" t="s">
        <v>292</v>
      </c>
      <c r="F2195" s="3" t="s">
        <v>78</v>
      </c>
      <c r="G2195" s="3">
        <v>70</v>
      </c>
      <c r="H2195" s="23"/>
      <c r="I2195" s="124">
        <f t="shared" si="85"/>
        <v>0</v>
      </c>
      <c r="J2195" s="21"/>
      <c r="K2195" s="24"/>
    </row>
    <row r="2196" spans="1:11" ht="15.75" customHeight="1" x14ac:dyDescent="0.25">
      <c r="A2196" s="21" t="s">
        <v>2020</v>
      </c>
      <c r="B2196" s="26" t="s">
        <v>3821</v>
      </c>
      <c r="C2196" s="3"/>
      <c r="D2196" s="21" t="s">
        <v>3822</v>
      </c>
      <c r="E2196" s="3" t="s">
        <v>292</v>
      </c>
      <c r="F2196" s="3" t="s">
        <v>78</v>
      </c>
      <c r="G2196" s="3">
        <v>70</v>
      </c>
      <c r="H2196" s="23"/>
      <c r="I2196" s="124">
        <f t="shared" si="85"/>
        <v>0</v>
      </c>
      <c r="J2196" s="21"/>
      <c r="K2196" s="24"/>
    </row>
    <row r="2197" spans="1:11" ht="15.75" customHeight="1" x14ac:dyDescent="0.25">
      <c r="A2197" s="21" t="s">
        <v>3005</v>
      </c>
      <c r="B2197" s="26" t="s">
        <v>3823</v>
      </c>
      <c r="C2197" s="3" t="s">
        <v>3824</v>
      </c>
      <c r="D2197" s="21" t="s">
        <v>3825</v>
      </c>
      <c r="E2197" s="3" t="s">
        <v>292</v>
      </c>
      <c r="F2197" s="3" t="s">
        <v>78</v>
      </c>
      <c r="G2197" s="3">
        <v>16</v>
      </c>
      <c r="H2197" s="23"/>
      <c r="I2197" s="124">
        <f t="shared" si="85"/>
        <v>0</v>
      </c>
      <c r="J2197" s="21"/>
      <c r="K2197" s="24"/>
    </row>
    <row r="2198" spans="1:11" ht="15.75" customHeight="1" x14ac:dyDescent="0.25">
      <c r="A2198" s="21" t="s">
        <v>3009</v>
      </c>
      <c r="B2198" s="26" t="s">
        <v>3826</v>
      </c>
      <c r="C2198" s="3"/>
      <c r="D2198" s="21" t="s">
        <v>3827</v>
      </c>
      <c r="E2198" s="3" t="s">
        <v>292</v>
      </c>
      <c r="F2198" s="3" t="s">
        <v>78</v>
      </c>
      <c r="G2198" s="3">
        <v>16</v>
      </c>
      <c r="H2198" s="23"/>
      <c r="I2198" s="124">
        <f t="shared" si="85"/>
        <v>0</v>
      </c>
      <c r="J2198" s="21"/>
      <c r="K2198" s="24"/>
    </row>
    <row r="2199" spans="1:11" ht="15.75" customHeight="1" x14ac:dyDescent="0.25">
      <c r="A2199" s="21" t="s">
        <v>3013</v>
      </c>
      <c r="B2199" s="26" t="s">
        <v>3828</v>
      </c>
      <c r="C2199" s="3" t="s">
        <v>3829</v>
      </c>
      <c r="D2199" s="21" t="s">
        <v>3830</v>
      </c>
      <c r="E2199" s="21" t="s">
        <v>292</v>
      </c>
      <c r="F2199" s="3" t="s">
        <v>78</v>
      </c>
      <c r="G2199" s="3">
        <v>10</v>
      </c>
      <c r="H2199" s="23"/>
      <c r="I2199" s="124">
        <f t="shared" si="85"/>
        <v>0</v>
      </c>
      <c r="J2199" s="21"/>
      <c r="K2199" s="24" t="s">
        <v>3794</v>
      </c>
    </row>
    <row r="2200" spans="1:11" ht="15.75" customHeight="1" x14ac:dyDescent="0.25">
      <c r="A2200" s="21" t="s">
        <v>3015</v>
      </c>
      <c r="B2200" s="26" t="s">
        <v>3826</v>
      </c>
      <c r="C2200" s="3"/>
      <c r="D2200" s="21" t="s">
        <v>3831</v>
      </c>
      <c r="E2200" s="21" t="s">
        <v>292</v>
      </c>
      <c r="F2200" s="3" t="s">
        <v>78</v>
      </c>
      <c r="G2200" s="3">
        <v>10</v>
      </c>
      <c r="H2200" s="23"/>
      <c r="I2200" s="124">
        <f t="shared" si="85"/>
        <v>0</v>
      </c>
      <c r="J2200" s="21"/>
      <c r="K2200" s="24" t="s">
        <v>3794</v>
      </c>
    </row>
    <row r="2201" spans="1:11" ht="15.75" customHeight="1" x14ac:dyDescent="0.25">
      <c r="A2201" s="21" t="s">
        <v>3018</v>
      </c>
      <c r="B2201" s="26" t="s">
        <v>3832</v>
      </c>
      <c r="C2201" s="3" t="s">
        <v>3833</v>
      </c>
      <c r="D2201" s="21" t="s">
        <v>3834</v>
      </c>
      <c r="E2201" s="21" t="s">
        <v>292</v>
      </c>
      <c r="F2201" s="3" t="s">
        <v>78</v>
      </c>
      <c r="G2201" s="3">
        <v>5</v>
      </c>
      <c r="H2201" s="23"/>
      <c r="I2201" s="124">
        <f t="shared" si="85"/>
        <v>0</v>
      </c>
      <c r="J2201" s="21"/>
      <c r="K2201" s="24" t="s">
        <v>3794</v>
      </c>
    </row>
    <row r="2202" spans="1:11" ht="15.75" customHeight="1" x14ac:dyDescent="0.25">
      <c r="A2202" s="21" t="s">
        <v>3019</v>
      </c>
      <c r="B2202" s="26" t="s">
        <v>3835</v>
      </c>
      <c r="C2202" s="3" t="s">
        <v>3836</v>
      </c>
      <c r="D2202" s="21" t="s">
        <v>3837</v>
      </c>
      <c r="E2202" s="21" t="s">
        <v>292</v>
      </c>
      <c r="F2202" s="3" t="s">
        <v>78</v>
      </c>
      <c r="G2202" s="3">
        <v>5</v>
      </c>
      <c r="H2202" s="23"/>
      <c r="I2202" s="124">
        <f t="shared" si="85"/>
        <v>0</v>
      </c>
      <c r="J2202" s="21"/>
      <c r="K2202" s="24" t="s">
        <v>3794</v>
      </c>
    </row>
    <row r="2203" spans="1:11" ht="15.75" customHeight="1" x14ac:dyDescent="0.25">
      <c r="A2203" s="21" t="s">
        <v>3023</v>
      </c>
      <c r="B2203" s="26" t="s">
        <v>3838</v>
      </c>
      <c r="C2203" s="3" t="s">
        <v>3839</v>
      </c>
      <c r="D2203" s="21" t="s">
        <v>3840</v>
      </c>
      <c r="E2203" s="3" t="s">
        <v>292</v>
      </c>
      <c r="F2203" s="3" t="s">
        <v>78</v>
      </c>
      <c r="G2203" s="3">
        <v>5</v>
      </c>
      <c r="H2203" s="23"/>
      <c r="I2203" s="124">
        <f t="shared" si="85"/>
        <v>0</v>
      </c>
      <c r="J2203" s="21"/>
      <c r="K2203" s="24"/>
    </row>
    <row r="2204" spans="1:11" ht="15.75" customHeight="1" x14ac:dyDescent="0.25">
      <c r="A2204" s="21" t="s">
        <v>3027</v>
      </c>
      <c r="B2204" s="26" t="s">
        <v>3841</v>
      </c>
      <c r="C2204" s="3"/>
      <c r="D2204" s="21" t="s">
        <v>3842</v>
      </c>
      <c r="E2204" s="3" t="s">
        <v>292</v>
      </c>
      <c r="F2204" s="3" t="s">
        <v>78</v>
      </c>
      <c r="G2204" s="3">
        <v>20</v>
      </c>
      <c r="H2204" s="23"/>
      <c r="I2204" s="124">
        <f t="shared" si="85"/>
        <v>0</v>
      </c>
      <c r="J2204" s="21"/>
      <c r="K2204" s="24"/>
    </row>
    <row r="2205" spans="1:11" ht="15.75" customHeight="1" x14ac:dyDescent="0.25">
      <c r="A2205" s="21" t="s">
        <v>3030</v>
      </c>
      <c r="B2205" s="26" t="s">
        <v>3843</v>
      </c>
      <c r="C2205" s="3"/>
      <c r="D2205" s="21" t="s">
        <v>3844</v>
      </c>
      <c r="E2205" s="3" t="s">
        <v>292</v>
      </c>
      <c r="F2205" s="3" t="s">
        <v>78</v>
      </c>
      <c r="G2205" s="3">
        <v>70</v>
      </c>
      <c r="H2205" s="23"/>
      <c r="I2205" s="124">
        <f t="shared" si="85"/>
        <v>0</v>
      </c>
      <c r="J2205" s="21"/>
      <c r="K2205" s="24"/>
    </row>
    <row r="2206" spans="1:11" ht="15.75" customHeight="1" x14ac:dyDescent="0.25">
      <c r="A2206" s="21" t="s">
        <v>3035</v>
      </c>
      <c r="B2206" s="26" t="s">
        <v>3845</v>
      </c>
      <c r="C2206" s="3"/>
      <c r="D2206" s="21" t="s">
        <v>3846</v>
      </c>
      <c r="E2206" s="3" t="s">
        <v>292</v>
      </c>
      <c r="F2206" s="3" t="s">
        <v>78</v>
      </c>
      <c r="G2206" s="3">
        <v>210</v>
      </c>
      <c r="H2206" s="23"/>
      <c r="I2206" s="124">
        <f t="shared" si="85"/>
        <v>0</v>
      </c>
      <c r="J2206" s="21"/>
      <c r="K2206" s="24"/>
    </row>
    <row r="2207" spans="1:11" ht="15.75" customHeight="1" x14ac:dyDescent="0.25">
      <c r="A2207" s="21" t="s">
        <v>3039</v>
      </c>
      <c r="B2207" s="26" t="s">
        <v>3847</v>
      </c>
      <c r="C2207" s="3"/>
      <c r="D2207" s="21"/>
      <c r="E2207" s="3" t="s">
        <v>292</v>
      </c>
      <c r="F2207" s="3" t="s">
        <v>78</v>
      </c>
      <c r="G2207" s="3">
        <v>70</v>
      </c>
      <c r="H2207" s="23"/>
      <c r="I2207" s="124">
        <f t="shared" si="85"/>
        <v>0</v>
      </c>
      <c r="J2207" s="21"/>
      <c r="K2207" s="24"/>
    </row>
    <row r="2208" spans="1:11" ht="15.75" customHeight="1" x14ac:dyDescent="0.25">
      <c r="A2208" s="21" t="s">
        <v>3042</v>
      </c>
      <c r="B2208" s="26" t="s">
        <v>3848</v>
      </c>
      <c r="C2208" s="3" t="s">
        <v>3849</v>
      </c>
      <c r="D2208" s="21" t="s">
        <v>3850</v>
      </c>
      <c r="E2208" s="3" t="s">
        <v>292</v>
      </c>
      <c r="F2208" s="3" t="s">
        <v>78</v>
      </c>
      <c r="G2208" s="3">
        <v>20</v>
      </c>
      <c r="H2208" s="23"/>
      <c r="I2208" s="124">
        <f t="shared" si="85"/>
        <v>0</v>
      </c>
      <c r="J2208" s="21"/>
      <c r="K2208" s="24"/>
    </row>
    <row r="2209" spans="1:11" ht="15.75" customHeight="1" x14ac:dyDescent="0.25">
      <c r="A2209" s="21" t="s">
        <v>3046</v>
      </c>
      <c r="B2209" s="26" t="s">
        <v>3851</v>
      </c>
      <c r="C2209" s="3"/>
      <c r="D2209" s="21"/>
      <c r="E2209" s="3" t="s">
        <v>292</v>
      </c>
      <c r="F2209" s="3" t="s">
        <v>78</v>
      </c>
      <c r="G2209" s="3">
        <v>140</v>
      </c>
      <c r="H2209" s="23"/>
      <c r="I2209" s="124">
        <f t="shared" si="85"/>
        <v>0</v>
      </c>
      <c r="J2209" s="21"/>
      <c r="K2209" s="24"/>
    </row>
    <row r="2210" spans="1:11" ht="15.75" customHeight="1" x14ac:dyDescent="0.25">
      <c r="A2210" s="21" t="s">
        <v>3049</v>
      </c>
      <c r="B2210" s="26" t="s">
        <v>3852</v>
      </c>
      <c r="C2210" s="3"/>
      <c r="D2210" s="21"/>
      <c r="E2210" s="3" t="s">
        <v>292</v>
      </c>
      <c r="F2210" s="3" t="s">
        <v>78</v>
      </c>
      <c r="G2210" s="3">
        <v>140</v>
      </c>
      <c r="H2210" s="23"/>
      <c r="I2210" s="124">
        <f t="shared" si="85"/>
        <v>0</v>
      </c>
      <c r="J2210" s="21"/>
      <c r="K2210" s="24"/>
    </row>
    <row r="2211" spans="1:11" ht="15.75" customHeight="1" x14ac:dyDescent="0.25">
      <c r="A2211" s="21" t="s">
        <v>3053</v>
      </c>
      <c r="B2211" s="26" t="s">
        <v>3853</v>
      </c>
      <c r="C2211" s="3"/>
      <c r="D2211" s="21"/>
      <c r="E2211" s="3" t="s">
        <v>292</v>
      </c>
      <c r="F2211" s="3" t="s">
        <v>78</v>
      </c>
      <c r="G2211" s="3">
        <v>140</v>
      </c>
      <c r="H2211" s="23"/>
      <c r="I2211" s="124">
        <f t="shared" si="85"/>
        <v>0</v>
      </c>
      <c r="J2211" s="21"/>
      <c r="K2211" s="24"/>
    </row>
    <row r="2212" spans="1:11" ht="15.75" customHeight="1" x14ac:dyDescent="0.25">
      <c r="A2212" s="21" t="s">
        <v>3054</v>
      </c>
      <c r="B2212" s="26" t="s">
        <v>3854</v>
      </c>
      <c r="C2212" s="3"/>
      <c r="D2212" s="21"/>
      <c r="E2212" s="3" t="s">
        <v>292</v>
      </c>
      <c r="F2212" s="3" t="s">
        <v>78</v>
      </c>
      <c r="G2212" s="3">
        <v>140</v>
      </c>
      <c r="H2212" s="23"/>
      <c r="I2212" s="124">
        <f t="shared" si="85"/>
        <v>0</v>
      </c>
      <c r="J2212" s="21"/>
      <c r="K2212" s="24"/>
    </row>
    <row r="2213" spans="1:11" ht="15.75" customHeight="1" x14ac:dyDescent="0.25">
      <c r="A2213" s="21" t="s">
        <v>3058</v>
      </c>
      <c r="B2213" s="26" t="s">
        <v>3855</v>
      </c>
      <c r="C2213" s="3"/>
      <c r="D2213" s="21"/>
      <c r="E2213" s="3" t="s">
        <v>292</v>
      </c>
      <c r="F2213" s="3" t="s">
        <v>78</v>
      </c>
      <c r="G2213" s="3">
        <v>140</v>
      </c>
      <c r="H2213" s="23"/>
      <c r="I2213" s="124">
        <f t="shared" si="85"/>
        <v>0</v>
      </c>
      <c r="J2213" s="21"/>
      <c r="K2213" s="24"/>
    </row>
    <row r="2214" spans="1:11" ht="15.75" customHeight="1" x14ac:dyDescent="0.25">
      <c r="A2214" s="21" t="s">
        <v>3061</v>
      </c>
      <c r="B2214" s="26" t="s">
        <v>3856</v>
      </c>
      <c r="C2214" s="3"/>
      <c r="D2214" s="21"/>
      <c r="E2214" s="3" t="s">
        <v>292</v>
      </c>
      <c r="F2214" s="3" t="s">
        <v>78</v>
      </c>
      <c r="G2214" s="3">
        <v>1000</v>
      </c>
      <c r="H2214" s="23"/>
      <c r="I2214" s="124">
        <f t="shared" si="85"/>
        <v>0</v>
      </c>
      <c r="J2214" s="21"/>
      <c r="K2214" s="24"/>
    </row>
    <row r="2215" spans="1:11" ht="15.75" customHeight="1" x14ac:dyDescent="0.25">
      <c r="A2215" s="21" t="s">
        <v>3064</v>
      </c>
      <c r="B2215" s="26" t="s">
        <v>3857</v>
      </c>
      <c r="C2215" s="3"/>
      <c r="D2215" s="21"/>
      <c r="E2215" s="3" t="s">
        <v>292</v>
      </c>
      <c r="F2215" s="3" t="s">
        <v>78</v>
      </c>
      <c r="G2215" s="3">
        <v>1000</v>
      </c>
      <c r="H2215" s="23"/>
      <c r="I2215" s="124">
        <f t="shared" si="85"/>
        <v>0</v>
      </c>
      <c r="J2215" s="21"/>
      <c r="K2215" s="24"/>
    </row>
    <row r="2216" spans="1:11" ht="15.75" customHeight="1" x14ac:dyDescent="0.25">
      <c r="A2216" s="21" t="s">
        <v>3068</v>
      </c>
      <c r="B2216" s="26" t="s">
        <v>3858</v>
      </c>
      <c r="C2216" s="3"/>
      <c r="D2216" s="21" t="s">
        <v>3859</v>
      </c>
      <c r="E2216" s="3" t="s">
        <v>292</v>
      </c>
      <c r="F2216" s="3" t="s">
        <v>78</v>
      </c>
      <c r="G2216" s="3">
        <v>20</v>
      </c>
      <c r="H2216" s="23"/>
      <c r="I2216" s="124">
        <f t="shared" si="85"/>
        <v>0</v>
      </c>
      <c r="J2216" s="21"/>
      <c r="K2216" s="24"/>
    </row>
    <row r="2217" spans="1:11" ht="15.75" customHeight="1" x14ac:dyDescent="0.25">
      <c r="A2217" s="21" t="s">
        <v>3069</v>
      </c>
      <c r="B2217" s="26" t="s">
        <v>3860</v>
      </c>
      <c r="C2217" s="3"/>
      <c r="D2217" s="21" t="s">
        <v>3861</v>
      </c>
      <c r="E2217" s="3" t="s">
        <v>292</v>
      </c>
      <c r="F2217" s="3" t="s">
        <v>78</v>
      </c>
      <c r="G2217" s="3">
        <v>20</v>
      </c>
      <c r="H2217" s="23"/>
      <c r="I2217" s="124">
        <f t="shared" si="85"/>
        <v>0</v>
      </c>
      <c r="J2217" s="21"/>
      <c r="K2217" s="24"/>
    </row>
    <row r="2218" spans="1:11" ht="15.75" customHeight="1" x14ac:dyDescent="0.25">
      <c r="A2218" s="21" t="s">
        <v>3072</v>
      </c>
      <c r="B2218" s="26" t="s">
        <v>3862</v>
      </c>
      <c r="C2218" s="3"/>
      <c r="D2218" s="21"/>
      <c r="E2218" s="21"/>
      <c r="F2218" s="3" t="s">
        <v>120</v>
      </c>
      <c r="G2218" s="3">
        <v>10</v>
      </c>
      <c r="H2218" s="23"/>
      <c r="I2218" s="124">
        <f t="shared" si="85"/>
        <v>0</v>
      </c>
      <c r="J2218" s="21"/>
      <c r="K2218" s="24"/>
    </row>
    <row r="2219" spans="1:11" ht="28.5" customHeight="1" x14ac:dyDescent="0.25">
      <c r="A2219" s="21" t="s">
        <v>3076</v>
      </c>
      <c r="B2219" s="26" t="s">
        <v>3863</v>
      </c>
      <c r="C2219" s="3" t="s">
        <v>2876</v>
      </c>
      <c r="D2219" s="21"/>
      <c r="E2219" s="21" t="s">
        <v>2586</v>
      </c>
      <c r="F2219" s="3" t="s">
        <v>78</v>
      </c>
      <c r="G2219" s="3">
        <v>1000</v>
      </c>
      <c r="H2219" s="23"/>
      <c r="I2219" s="124">
        <f t="shared" si="85"/>
        <v>0</v>
      </c>
      <c r="J2219" s="21"/>
      <c r="K2219" s="24"/>
    </row>
    <row r="2220" spans="1:11" ht="15.75" customHeight="1" x14ac:dyDescent="0.25">
      <c r="A2220" s="42" t="s">
        <v>375</v>
      </c>
      <c r="B2220" s="20" t="s">
        <v>3864</v>
      </c>
      <c r="C2220" s="22"/>
      <c r="D2220" s="21"/>
      <c r="E2220" s="21"/>
      <c r="F2220" s="22"/>
      <c r="G2220" s="21"/>
      <c r="H2220" s="23"/>
      <c r="I2220" s="124"/>
      <c r="J2220" s="21"/>
      <c r="K2220" s="24"/>
    </row>
    <row r="2221" spans="1:11" ht="15.75" customHeight="1" x14ac:dyDescent="0.25">
      <c r="A2221" s="42"/>
      <c r="B2221" s="20" t="s">
        <v>3757</v>
      </c>
      <c r="C2221" s="22"/>
      <c r="D2221" s="21"/>
      <c r="E2221" s="21"/>
      <c r="F2221" s="22"/>
      <c r="G2221" s="21"/>
      <c r="H2221" s="23"/>
      <c r="I2221" s="124"/>
      <c r="J2221" s="21"/>
      <c r="K2221" s="24"/>
    </row>
    <row r="2222" spans="1:11" ht="42.75" customHeight="1" x14ac:dyDescent="0.25">
      <c r="A2222" s="21" t="s">
        <v>1943</v>
      </c>
      <c r="B2222" s="26" t="s">
        <v>3865</v>
      </c>
      <c r="C2222" s="3" t="s">
        <v>3866</v>
      </c>
      <c r="D2222" s="21" t="s">
        <v>3867</v>
      </c>
      <c r="E2222" s="21" t="s">
        <v>3868</v>
      </c>
      <c r="F2222" s="3" t="s">
        <v>47</v>
      </c>
      <c r="G2222" s="3">
        <v>1</v>
      </c>
      <c r="H2222" s="23">
        <v>1473812.4</v>
      </c>
      <c r="I2222" s="124">
        <f>H2222*G2222</f>
        <v>1473812.4</v>
      </c>
      <c r="J2222" s="21"/>
      <c r="K2222" s="24" t="s">
        <v>3869</v>
      </c>
    </row>
    <row r="2223" spans="1:11" ht="15.75" customHeight="1" x14ac:dyDescent="0.25">
      <c r="A2223" s="21" t="s">
        <v>1950</v>
      </c>
      <c r="B2223" s="26" t="s">
        <v>3870</v>
      </c>
      <c r="C2223" s="3"/>
      <c r="D2223" s="21"/>
      <c r="E2223" s="21"/>
      <c r="F2223" s="3"/>
      <c r="G2223" s="3"/>
      <c r="H2223" s="23"/>
      <c r="I2223" s="124"/>
      <c r="J2223" s="21"/>
      <c r="K2223" s="24" t="s">
        <v>3794</v>
      </c>
    </row>
    <row r="2224" spans="1:11" ht="28.5" customHeight="1" x14ac:dyDescent="0.25">
      <c r="A2224" s="21" t="s">
        <v>3871</v>
      </c>
      <c r="B2224" s="26" t="s">
        <v>3872</v>
      </c>
      <c r="C2224" s="3" t="s">
        <v>3873</v>
      </c>
      <c r="D2224" s="21" t="s">
        <v>3874</v>
      </c>
      <c r="E2224" s="21" t="s">
        <v>3868</v>
      </c>
      <c r="F2224" s="3" t="s">
        <v>47</v>
      </c>
      <c r="G2224" s="3">
        <v>1</v>
      </c>
      <c r="H2224" s="23"/>
      <c r="I2224" s="124">
        <f t="shared" ref="I2224:I2230" si="86">H2224*G2224</f>
        <v>0</v>
      </c>
      <c r="J2224" s="21"/>
      <c r="K2224" s="24" t="s">
        <v>3875</v>
      </c>
    </row>
    <row r="2225" spans="1:11" ht="28.5" customHeight="1" x14ac:dyDescent="0.25">
      <c r="A2225" s="21" t="s">
        <v>3876</v>
      </c>
      <c r="B2225" s="26" t="s">
        <v>3877</v>
      </c>
      <c r="C2225" s="3" t="s">
        <v>3878</v>
      </c>
      <c r="D2225" s="21" t="s">
        <v>3879</v>
      </c>
      <c r="E2225" s="21" t="s">
        <v>3868</v>
      </c>
      <c r="F2225" s="3" t="s">
        <v>78</v>
      </c>
      <c r="G2225" s="3">
        <v>2</v>
      </c>
      <c r="H2225" s="23"/>
      <c r="I2225" s="124">
        <f t="shared" si="86"/>
        <v>0</v>
      </c>
      <c r="J2225" s="21"/>
      <c r="K2225" s="24" t="s">
        <v>3880</v>
      </c>
    </row>
    <row r="2226" spans="1:11" ht="15.75" customHeight="1" x14ac:dyDescent="0.25">
      <c r="A2226" s="21" t="s">
        <v>3881</v>
      </c>
      <c r="B2226" s="26" t="s">
        <v>3882</v>
      </c>
      <c r="C2226" s="3" t="s">
        <v>3883</v>
      </c>
      <c r="D2226" s="21" t="s">
        <v>3884</v>
      </c>
      <c r="E2226" s="21" t="s">
        <v>3868</v>
      </c>
      <c r="F2226" s="3" t="s">
        <v>78</v>
      </c>
      <c r="G2226" s="3">
        <v>2</v>
      </c>
      <c r="H2226" s="23"/>
      <c r="I2226" s="124">
        <f t="shared" si="86"/>
        <v>0</v>
      </c>
      <c r="J2226" s="21"/>
      <c r="K2226" s="24" t="s">
        <v>3885</v>
      </c>
    </row>
    <row r="2227" spans="1:11" ht="15.75" customHeight="1" x14ac:dyDescent="0.25">
      <c r="A2227" s="21" t="s">
        <v>3886</v>
      </c>
      <c r="B2227" s="26" t="s">
        <v>3887</v>
      </c>
      <c r="C2227" s="3"/>
      <c r="D2227" s="21" t="s">
        <v>3888</v>
      </c>
      <c r="E2227" s="21" t="s">
        <v>3868</v>
      </c>
      <c r="F2227" s="3" t="s">
        <v>78</v>
      </c>
      <c r="G2227" s="3">
        <v>2</v>
      </c>
      <c r="H2227" s="23"/>
      <c r="I2227" s="124">
        <f t="shared" si="86"/>
        <v>0</v>
      </c>
      <c r="J2227" s="21"/>
      <c r="K2227" s="24"/>
    </row>
    <row r="2228" spans="1:11" ht="15.75" customHeight="1" x14ac:dyDescent="0.25">
      <c r="A2228" s="21" t="s">
        <v>3889</v>
      </c>
      <c r="B2228" s="26" t="s">
        <v>3890</v>
      </c>
      <c r="C2228" s="3" t="s">
        <v>1923</v>
      </c>
      <c r="D2228" s="21" t="s">
        <v>3891</v>
      </c>
      <c r="E2228" s="21" t="s">
        <v>3868</v>
      </c>
      <c r="F2228" s="3" t="s">
        <v>78</v>
      </c>
      <c r="G2228" s="3">
        <v>2</v>
      </c>
      <c r="H2228" s="23"/>
      <c r="I2228" s="124">
        <f t="shared" si="86"/>
        <v>0</v>
      </c>
      <c r="J2228" s="21"/>
      <c r="K2228" s="24" t="s">
        <v>3892</v>
      </c>
    </row>
    <row r="2229" spans="1:11" ht="15.75" customHeight="1" x14ac:dyDescent="0.25">
      <c r="A2229" s="21" t="s">
        <v>3893</v>
      </c>
      <c r="B2229" s="26" t="s">
        <v>3894</v>
      </c>
      <c r="C2229" s="3"/>
      <c r="D2229" s="21" t="s">
        <v>3895</v>
      </c>
      <c r="E2229" s="21" t="s">
        <v>3868</v>
      </c>
      <c r="F2229" s="3" t="s">
        <v>78</v>
      </c>
      <c r="G2229" s="3">
        <v>2</v>
      </c>
      <c r="H2229" s="23"/>
      <c r="I2229" s="124">
        <f t="shared" si="86"/>
        <v>0</v>
      </c>
      <c r="J2229" s="21"/>
      <c r="K2229" s="24"/>
    </row>
    <row r="2230" spans="1:11" ht="15.75" customHeight="1" x14ac:dyDescent="0.25">
      <c r="A2230" s="21" t="s">
        <v>3896</v>
      </c>
      <c r="B2230" s="26" t="s">
        <v>3897</v>
      </c>
      <c r="C2230" s="3"/>
      <c r="D2230" s="21" t="s">
        <v>1926</v>
      </c>
      <c r="E2230" s="21" t="s">
        <v>3868</v>
      </c>
      <c r="F2230" s="3" t="s">
        <v>78</v>
      </c>
      <c r="G2230" s="3">
        <v>2</v>
      </c>
      <c r="H2230" s="23"/>
      <c r="I2230" s="124">
        <f t="shared" si="86"/>
        <v>0</v>
      </c>
      <c r="J2230" s="21"/>
      <c r="K2230" s="24"/>
    </row>
    <row r="2231" spans="1:11" ht="15.75" customHeight="1" x14ac:dyDescent="0.25">
      <c r="A2231" s="42"/>
      <c r="B2231" s="20" t="s">
        <v>3793</v>
      </c>
      <c r="C2231" s="22"/>
      <c r="D2231" s="21"/>
      <c r="E2231" s="21"/>
      <c r="F2231" s="22"/>
      <c r="G2231" s="21"/>
      <c r="H2231" s="23"/>
      <c r="I2231" s="124"/>
      <c r="J2231" s="21"/>
      <c r="K2231" s="24"/>
    </row>
    <row r="2232" spans="1:11" ht="42.75" customHeight="1" x14ac:dyDescent="0.25">
      <c r="A2232" s="21" t="s">
        <v>2093</v>
      </c>
      <c r="B2232" s="26" t="s">
        <v>3799</v>
      </c>
      <c r="C2232" s="3" t="s">
        <v>3898</v>
      </c>
      <c r="D2232" s="21"/>
      <c r="E2232" s="21" t="s">
        <v>3797</v>
      </c>
      <c r="F2232" s="3" t="s">
        <v>89</v>
      </c>
      <c r="G2232" s="3">
        <v>80</v>
      </c>
      <c r="H2232" s="23"/>
      <c r="I2232" s="124">
        <f>H2232*G2232</f>
        <v>0</v>
      </c>
      <c r="J2232" s="21"/>
      <c r="K2232" s="24"/>
    </row>
    <row r="2233" spans="1:11" ht="42.75" customHeight="1" x14ac:dyDescent="0.25">
      <c r="A2233" s="21" t="s">
        <v>2097</v>
      </c>
      <c r="B2233" s="26" t="s">
        <v>3799</v>
      </c>
      <c r="C2233" s="3" t="s">
        <v>3899</v>
      </c>
      <c r="D2233" s="21"/>
      <c r="E2233" s="21" t="s">
        <v>3797</v>
      </c>
      <c r="F2233" s="3" t="s">
        <v>89</v>
      </c>
      <c r="G2233" s="3">
        <v>100</v>
      </c>
      <c r="H2233" s="23"/>
      <c r="I2233" s="124">
        <f>H2233*G2233</f>
        <v>0</v>
      </c>
      <c r="J2233" s="21"/>
      <c r="K2233" s="24"/>
    </row>
    <row r="2234" spans="1:11" ht="42.75" customHeight="1" x14ac:dyDescent="0.25">
      <c r="A2234" s="21" t="s">
        <v>2917</v>
      </c>
      <c r="B2234" s="26" t="s">
        <v>3802</v>
      </c>
      <c r="C2234" s="3" t="s">
        <v>3900</v>
      </c>
      <c r="D2234" s="21"/>
      <c r="E2234" s="21" t="s">
        <v>3797</v>
      </c>
      <c r="F2234" s="3" t="s">
        <v>89</v>
      </c>
      <c r="G2234" s="3">
        <v>1000</v>
      </c>
      <c r="H2234" s="23"/>
      <c r="I2234" s="124">
        <f>H2234*G2234</f>
        <v>0</v>
      </c>
      <c r="J2234" s="21"/>
      <c r="K2234" s="24"/>
    </row>
    <row r="2235" spans="1:11" ht="42.75" customHeight="1" x14ac:dyDescent="0.25">
      <c r="A2235" s="21" t="s">
        <v>2917</v>
      </c>
      <c r="B2235" s="26" t="s">
        <v>3802</v>
      </c>
      <c r="C2235" s="3" t="s">
        <v>3803</v>
      </c>
      <c r="D2235" s="21"/>
      <c r="E2235" s="21" t="s">
        <v>3797</v>
      </c>
      <c r="F2235" s="3" t="s">
        <v>89</v>
      </c>
      <c r="G2235" s="3">
        <v>30</v>
      </c>
      <c r="H2235" s="23"/>
      <c r="I2235" s="124">
        <f>H2235*G2235</f>
        <v>0</v>
      </c>
      <c r="J2235" s="21"/>
      <c r="K2235" s="24"/>
    </row>
    <row r="2236" spans="1:11" ht="42.75" customHeight="1" x14ac:dyDescent="0.25">
      <c r="A2236" s="21" t="s">
        <v>2917</v>
      </c>
      <c r="B2236" s="26" t="s">
        <v>3802</v>
      </c>
      <c r="C2236" s="3" t="s">
        <v>3901</v>
      </c>
      <c r="D2236" s="21"/>
      <c r="E2236" s="21" t="s">
        <v>3797</v>
      </c>
      <c r="F2236" s="3" t="s">
        <v>89</v>
      </c>
      <c r="G2236" s="3">
        <v>260</v>
      </c>
      <c r="H2236" s="23"/>
      <c r="I2236" s="124">
        <f>H2236*G2236</f>
        <v>0</v>
      </c>
      <c r="J2236" s="21"/>
      <c r="K2236" s="24"/>
    </row>
    <row r="2237" spans="1:11" ht="15.75" customHeight="1" x14ac:dyDescent="0.25">
      <c r="A2237" s="42"/>
      <c r="B2237" s="20" t="s">
        <v>3807</v>
      </c>
      <c r="C2237" s="22"/>
      <c r="D2237" s="21"/>
      <c r="E2237" s="21"/>
      <c r="F2237" s="22"/>
      <c r="G2237" s="21"/>
      <c r="H2237" s="23"/>
      <c r="I2237" s="124"/>
      <c r="J2237" s="21"/>
      <c r="K2237" s="24"/>
    </row>
    <row r="2238" spans="1:11" ht="15.75" customHeight="1" x14ac:dyDescent="0.25">
      <c r="A2238" s="21" t="s">
        <v>1995</v>
      </c>
      <c r="B2238" s="26" t="s">
        <v>3808</v>
      </c>
      <c r="C2238" s="3" t="s">
        <v>2867</v>
      </c>
      <c r="D2238" s="21"/>
      <c r="E2238" s="21" t="s">
        <v>292</v>
      </c>
      <c r="F2238" s="3" t="s">
        <v>89</v>
      </c>
      <c r="G2238" s="3">
        <v>1100</v>
      </c>
      <c r="H2238" s="23"/>
      <c r="I2238" s="124">
        <f t="shared" ref="I2238:I2262" si="87">H2238*G2238</f>
        <v>0</v>
      </c>
      <c r="J2238" s="21"/>
      <c r="K2238" s="24"/>
    </row>
    <row r="2239" spans="1:11" ht="15.75" customHeight="1" x14ac:dyDescent="0.25">
      <c r="A2239" s="21" t="s">
        <v>1999</v>
      </c>
      <c r="B2239" s="26" t="s">
        <v>3809</v>
      </c>
      <c r="C2239" s="3" t="s">
        <v>3810</v>
      </c>
      <c r="D2239" s="21"/>
      <c r="E2239" s="3" t="s">
        <v>292</v>
      </c>
      <c r="F2239" s="3" t="s">
        <v>78</v>
      </c>
      <c r="G2239" s="3">
        <v>3300</v>
      </c>
      <c r="H2239" s="23"/>
      <c r="I2239" s="124">
        <f t="shared" si="87"/>
        <v>0</v>
      </c>
      <c r="J2239" s="21"/>
      <c r="K2239" s="24"/>
    </row>
    <row r="2240" spans="1:11" ht="15.75" customHeight="1" x14ac:dyDescent="0.25">
      <c r="A2240" s="21" t="s">
        <v>2003</v>
      </c>
      <c r="B2240" s="26" t="s">
        <v>3819</v>
      </c>
      <c r="C2240" s="3"/>
      <c r="D2240" s="21" t="s">
        <v>3820</v>
      </c>
      <c r="E2240" s="3" t="s">
        <v>292</v>
      </c>
      <c r="F2240" s="3" t="s">
        <v>78</v>
      </c>
      <c r="G2240" s="3">
        <v>10</v>
      </c>
      <c r="H2240" s="23"/>
      <c r="I2240" s="124">
        <f t="shared" si="87"/>
        <v>0</v>
      </c>
      <c r="J2240" s="21"/>
      <c r="K2240" s="24"/>
    </row>
    <row r="2241" spans="1:11" ht="15.75" customHeight="1" x14ac:dyDescent="0.25">
      <c r="A2241" s="21" t="s">
        <v>2007</v>
      </c>
      <c r="B2241" s="26" t="s">
        <v>3821</v>
      </c>
      <c r="C2241" s="3"/>
      <c r="D2241" s="21" t="s">
        <v>3822</v>
      </c>
      <c r="E2241" s="3" t="s">
        <v>292</v>
      </c>
      <c r="F2241" s="3" t="s">
        <v>78</v>
      </c>
      <c r="G2241" s="3">
        <v>10</v>
      </c>
      <c r="H2241" s="23"/>
      <c r="I2241" s="124">
        <f t="shared" si="87"/>
        <v>0</v>
      </c>
      <c r="J2241" s="21"/>
      <c r="K2241" s="24"/>
    </row>
    <row r="2242" spans="1:11" ht="15.75" customHeight="1" x14ac:dyDescent="0.25">
      <c r="A2242" s="21" t="s">
        <v>2008</v>
      </c>
      <c r="B2242" s="26" t="s">
        <v>3823</v>
      </c>
      <c r="C2242" s="3" t="s">
        <v>3824</v>
      </c>
      <c r="D2242" s="21" t="s">
        <v>3825</v>
      </c>
      <c r="E2242" s="21" t="s">
        <v>292</v>
      </c>
      <c r="F2242" s="3" t="s">
        <v>78</v>
      </c>
      <c r="G2242" s="3">
        <v>4</v>
      </c>
      <c r="H2242" s="23"/>
      <c r="I2242" s="124">
        <f t="shared" si="87"/>
        <v>0</v>
      </c>
      <c r="J2242" s="21"/>
      <c r="K2242" s="24" t="s">
        <v>3794</v>
      </c>
    </row>
    <row r="2243" spans="1:11" ht="15.75" customHeight="1" x14ac:dyDescent="0.25">
      <c r="A2243" s="21" t="s">
        <v>2012</v>
      </c>
      <c r="B2243" s="26" t="s">
        <v>3826</v>
      </c>
      <c r="C2243" s="3"/>
      <c r="D2243" s="21" t="s">
        <v>3827</v>
      </c>
      <c r="E2243" s="21" t="s">
        <v>292</v>
      </c>
      <c r="F2243" s="3" t="s">
        <v>78</v>
      </c>
      <c r="G2243" s="3">
        <v>4</v>
      </c>
      <c r="H2243" s="23"/>
      <c r="I2243" s="124">
        <f t="shared" si="87"/>
        <v>0</v>
      </c>
      <c r="J2243" s="21"/>
      <c r="K2243" s="24" t="s">
        <v>3794</v>
      </c>
    </row>
    <row r="2244" spans="1:11" ht="15.75" customHeight="1" x14ac:dyDescent="0.25">
      <c r="A2244" s="21" t="s">
        <v>2016</v>
      </c>
      <c r="B2244" s="26" t="s">
        <v>3832</v>
      </c>
      <c r="C2244" s="3" t="s">
        <v>3833</v>
      </c>
      <c r="D2244" s="21" t="s">
        <v>3834</v>
      </c>
      <c r="E2244" s="21" t="s">
        <v>292</v>
      </c>
      <c r="F2244" s="3" t="s">
        <v>78</v>
      </c>
      <c r="G2244" s="3">
        <v>10</v>
      </c>
      <c r="H2244" s="23"/>
      <c r="I2244" s="124">
        <f t="shared" si="87"/>
        <v>0</v>
      </c>
      <c r="J2244" s="21"/>
      <c r="K2244" s="24" t="s">
        <v>3794</v>
      </c>
    </row>
    <row r="2245" spans="1:11" ht="15.75" customHeight="1" x14ac:dyDescent="0.25">
      <c r="A2245" s="21" t="s">
        <v>2020</v>
      </c>
      <c r="B2245" s="26" t="s">
        <v>3835</v>
      </c>
      <c r="C2245" s="3" t="s">
        <v>3836</v>
      </c>
      <c r="D2245" s="21" t="s">
        <v>3837</v>
      </c>
      <c r="E2245" s="21" t="s">
        <v>292</v>
      </c>
      <c r="F2245" s="3" t="s">
        <v>78</v>
      </c>
      <c r="G2245" s="3">
        <v>10</v>
      </c>
      <c r="H2245" s="23"/>
      <c r="I2245" s="124">
        <f t="shared" si="87"/>
        <v>0</v>
      </c>
      <c r="J2245" s="21"/>
      <c r="K2245" s="24" t="s">
        <v>3794</v>
      </c>
    </row>
    <row r="2246" spans="1:11" ht="15.75" customHeight="1" x14ac:dyDescent="0.25">
      <c r="A2246" s="21" t="s">
        <v>3005</v>
      </c>
      <c r="B2246" s="26" t="s">
        <v>3838</v>
      </c>
      <c r="C2246" s="3" t="s">
        <v>3839</v>
      </c>
      <c r="D2246" s="21" t="s">
        <v>3840</v>
      </c>
      <c r="E2246" s="3" t="s">
        <v>292</v>
      </c>
      <c r="F2246" s="3" t="s">
        <v>78</v>
      </c>
      <c r="G2246" s="3">
        <v>10</v>
      </c>
      <c r="H2246" s="23"/>
      <c r="I2246" s="124">
        <f t="shared" si="87"/>
        <v>0</v>
      </c>
      <c r="J2246" s="21"/>
      <c r="K2246" s="24"/>
    </row>
    <row r="2247" spans="1:11" ht="15.75" customHeight="1" x14ac:dyDescent="0.25">
      <c r="A2247" s="21" t="s">
        <v>3009</v>
      </c>
      <c r="B2247" s="26" t="s">
        <v>3841</v>
      </c>
      <c r="C2247" s="3"/>
      <c r="D2247" s="21" t="s">
        <v>3842</v>
      </c>
      <c r="E2247" s="3" t="s">
        <v>292</v>
      </c>
      <c r="F2247" s="3" t="s">
        <v>78</v>
      </c>
      <c r="G2247" s="3">
        <v>10</v>
      </c>
      <c r="H2247" s="23"/>
      <c r="I2247" s="124">
        <f t="shared" si="87"/>
        <v>0</v>
      </c>
      <c r="J2247" s="21"/>
      <c r="K2247" s="24"/>
    </row>
    <row r="2248" spans="1:11" ht="15.75" customHeight="1" x14ac:dyDescent="0.25">
      <c r="A2248" s="21" t="s">
        <v>3013</v>
      </c>
      <c r="B2248" s="26" t="s">
        <v>3843</v>
      </c>
      <c r="C2248" s="3"/>
      <c r="D2248" s="21" t="s">
        <v>3844</v>
      </c>
      <c r="E2248" s="3" t="s">
        <v>292</v>
      </c>
      <c r="F2248" s="3" t="s">
        <v>78</v>
      </c>
      <c r="G2248" s="3">
        <v>10</v>
      </c>
      <c r="H2248" s="23"/>
      <c r="I2248" s="124">
        <f t="shared" si="87"/>
        <v>0</v>
      </c>
      <c r="J2248" s="21"/>
      <c r="K2248" s="24"/>
    </row>
    <row r="2249" spans="1:11" ht="15.75" customHeight="1" x14ac:dyDescent="0.25">
      <c r="A2249" s="21" t="s">
        <v>3015</v>
      </c>
      <c r="B2249" s="26" t="s">
        <v>3845</v>
      </c>
      <c r="C2249" s="3"/>
      <c r="D2249" s="21" t="s">
        <v>3846</v>
      </c>
      <c r="E2249" s="3" t="s">
        <v>292</v>
      </c>
      <c r="F2249" s="3" t="s">
        <v>78</v>
      </c>
      <c r="G2249" s="3">
        <v>10</v>
      </c>
      <c r="H2249" s="23"/>
      <c r="I2249" s="124">
        <f t="shared" si="87"/>
        <v>0</v>
      </c>
      <c r="J2249" s="21"/>
      <c r="K2249" s="24"/>
    </row>
    <row r="2250" spans="1:11" ht="15.75" customHeight="1" x14ac:dyDescent="0.25">
      <c r="A2250" s="21" t="s">
        <v>3018</v>
      </c>
      <c r="B2250" s="26" t="s">
        <v>3847</v>
      </c>
      <c r="C2250" s="3"/>
      <c r="D2250" s="21"/>
      <c r="E2250" s="3" t="s">
        <v>292</v>
      </c>
      <c r="F2250" s="3" t="s">
        <v>78</v>
      </c>
      <c r="G2250" s="3">
        <v>15</v>
      </c>
      <c r="H2250" s="23"/>
      <c r="I2250" s="124">
        <f t="shared" si="87"/>
        <v>0</v>
      </c>
      <c r="J2250" s="21"/>
      <c r="K2250" s="24"/>
    </row>
    <row r="2251" spans="1:11" ht="15.75" customHeight="1" x14ac:dyDescent="0.25">
      <c r="A2251" s="21" t="s">
        <v>3019</v>
      </c>
      <c r="B2251" s="26" t="s">
        <v>3848</v>
      </c>
      <c r="C2251" s="3" t="s">
        <v>3849</v>
      </c>
      <c r="D2251" s="21" t="s">
        <v>3850</v>
      </c>
      <c r="E2251" s="3" t="s">
        <v>292</v>
      </c>
      <c r="F2251" s="3" t="s">
        <v>78</v>
      </c>
      <c r="G2251" s="3">
        <v>7</v>
      </c>
      <c r="H2251" s="23"/>
      <c r="I2251" s="124">
        <f t="shared" si="87"/>
        <v>0</v>
      </c>
      <c r="J2251" s="21"/>
      <c r="K2251" s="24"/>
    </row>
    <row r="2252" spans="1:11" ht="15.75" customHeight="1" x14ac:dyDescent="0.25">
      <c r="A2252" s="21" t="s">
        <v>3023</v>
      </c>
      <c r="B2252" s="26" t="s">
        <v>3851</v>
      </c>
      <c r="C2252" s="3"/>
      <c r="D2252" s="21"/>
      <c r="E2252" s="3" t="s">
        <v>292</v>
      </c>
      <c r="F2252" s="3" t="s">
        <v>78</v>
      </c>
      <c r="G2252" s="3">
        <v>20</v>
      </c>
      <c r="H2252" s="23"/>
      <c r="I2252" s="124">
        <f t="shared" si="87"/>
        <v>0</v>
      </c>
      <c r="J2252" s="21"/>
      <c r="K2252" s="24"/>
    </row>
    <row r="2253" spans="1:11" ht="15.75" customHeight="1" x14ac:dyDescent="0.25">
      <c r="A2253" s="21" t="s">
        <v>3027</v>
      </c>
      <c r="B2253" s="26" t="s">
        <v>3852</v>
      </c>
      <c r="C2253" s="3"/>
      <c r="D2253" s="21"/>
      <c r="E2253" s="3" t="s">
        <v>292</v>
      </c>
      <c r="F2253" s="3" t="s">
        <v>78</v>
      </c>
      <c r="G2253" s="3">
        <v>20</v>
      </c>
      <c r="H2253" s="23"/>
      <c r="I2253" s="124">
        <f t="shared" si="87"/>
        <v>0</v>
      </c>
      <c r="J2253" s="21"/>
      <c r="K2253" s="24"/>
    </row>
    <row r="2254" spans="1:11" ht="15.75" customHeight="1" x14ac:dyDescent="0.25">
      <c r="A2254" s="21" t="s">
        <v>3030</v>
      </c>
      <c r="B2254" s="26" t="s">
        <v>3853</v>
      </c>
      <c r="C2254" s="3"/>
      <c r="D2254" s="21"/>
      <c r="E2254" s="3" t="s">
        <v>292</v>
      </c>
      <c r="F2254" s="3" t="s">
        <v>78</v>
      </c>
      <c r="G2254" s="3">
        <v>20</v>
      </c>
      <c r="H2254" s="23"/>
      <c r="I2254" s="124">
        <f t="shared" si="87"/>
        <v>0</v>
      </c>
      <c r="J2254" s="21"/>
      <c r="K2254" s="24"/>
    </row>
    <row r="2255" spans="1:11" ht="15.75" customHeight="1" x14ac:dyDescent="0.25">
      <c r="A2255" s="21" t="s">
        <v>3035</v>
      </c>
      <c r="B2255" s="26" t="s">
        <v>3854</v>
      </c>
      <c r="C2255" s="3"/>
      <c r="D2255" s="21"/>
      <c r="E2255" s="3" t="s">
        <v>292</v>
      </c>
      <c r="F2255" s="3" t="s">
        <v>78</v>
      </c>
      <c r="G2255" s="3">
        <v>20</v>
      </c>
      <c r="H2255" s="23"/>
      <c r="I2255" s="124">
        <f t="shared" si="87"/>
        <v>0</v>
      </c>
      <c r="J2255" s="21"/>
      <c r="K2255" s="24"/>
    </row>
    <row r="2256" spans="1:11" ht="15.75" customHeight="1" x14ac:dyDescent="0.25">
      <c r="A2256" s="21" t="s">
        <v>3039</v>
      </c>
      <c r="B2256" s="26" t="s">
        <v>3855</v>
      </c>
      <c r="C2256" s="3"/>
      <c r="D2256" s="21"/>
      <c r="E2256" s="3" t="s">
        <v>292</v>
      </c>
      <c r="F2256" s="3" t="s">
        <v>78</v>
      </c>
      <c r="G2256" s="3">
        <v>20</v>
      </c>
      <c r="H2256" s="23"/>
      <c r="I2256" s="124">
        <f t="shared" si="87"/>
        <v>0</v>
      </c>
      <c r="J2256" s="21"/>
      <c r="K2256" s="24"/>
    </row>
    <row r="2257" spans="1:11" ht="15.75" customHeight="1" x14ac:dyDescent="0.25">
      <c r="A2257" s="21" t="s">
        <v>3042</v>
      </c>
      <c r="B2257" s="26" t="s">
        <v>3856</v>
      </c>
      <c r="C2257" s="3"/>
      <c r="D2257" s="21"/>
      <c r="E2257" s="3" t="s">
        <v>292</v>
      </c>
      <c r="F2257" s="3" t="s">
        <v>78</v>
      </c>
      <c r="G2257" s="3">
        <v>30</v>
      </c>
      <c r="H2257" s="23"/>
      <c r="I2257" s="124">
        <f t="shared" si="87"/>
        <v>0</v>
      </c>
      <c r="J2257" s="21"/>
      <c r="K2257" s="24"/>
    </row>
    <row r="2258" spans="1:11" ht="15.75" customHeight="1" x14ac:dyDescent="0.25">
      <c r="A2258" s="21" t="s">
        <v>3046</v>
      </c>
      <c r="B2258" s="26" t="s">
        <v>3857</v>
      </c>
      <c r="C2258" s="3"/>
      <c r="D2258" s="21"/>
      <c r="E2258" s="3" t="s">
        <v>292</v>
      </c>
      <c r="F2258" s="3" t="s">
        <v>78</v>
      </c>
      <c r="G2258" s="3">
        <v>100</v>
      </c>
      <c r="H2258" s="23"/>
      <c r="I2258" s="124">
        <f t="shared" si="87"/>
        <v>0</v>
      </c>
      <c r="J2258" s="21"/>
      <c r="K2258" s="24"/>
    </row>
    <row r="2259" spans="1:11" ht="15.75" customHeight="1" x14ac:dyDescent="0.25">
      <c r="A2259" s="21" t="s">
        <v>3049</v>
      </c>
      <c r="B2259" s="26" t="s">
        <v>3858</v>
      </c>
      <c r="C2259" s="3"/>
      <c r="D2259" s="21" t="s">
        <v>3859</v>
      </c>
      <c r="E2259" s="3" t="s">
        <v>292</v>
      </c>
      <c r="F2259" s="3" t="s">
        <v>78</v>
      </c>
      <c r="G2259" s="3">
        <v>10</v>
      </c>
      <c r="H2259" s="23"/>
      <c r="I2259" s="124">
        <f t="shared" si="87"/>
        <v>0</v>
      </c>
      <c r="J2259" s="21"/>
      <c r="K2259" s="24"/>
    </row>
    <row r="2260" spans="1:11" ht="15.75" customHeight="1" x14ac:dyDescent="0.25">
      <c r="A2260" s="21" t="s">
        <v>3053</v>
      </c>
      <c r="B2260" s="26" t="s">
        <v>3860</v>
      </c>
      <c r="C2260" s="3"/>
      <c r="D2260" s="21" t="s">
        <v>3861</v>
      </c>
      <c r="E2260" s="3" t="s">
        <v>292</v>
      </c>
      <c r="F2260" s="3" t="s">
        <v>78</v>
      </c>
      <c r="G2260" s="3">
        <v>10</v>
      </c>
      <c r="H2260" s="23"/>
      <c r="I2260" s="124">
        <f t="shared" si="87"/>
        <v>0</v>
      </c>
      <c r="J2260" s="21"/>
      <c r="K2260" s="24"/>
    </row>
    <row r="2261" spans="1:11" ht="15.75" customHeight="1" x14ac:dyDescent="0.25">
      <c r="A2261" s="21" t="s">
        <v>3054</v>
      </c>
      <c r="B2261" s="26" t="s">
        <v>3862</v>
      </c>
      <c r="C2261" s="3"/>
      <c r="D2261" s="21"/>
      <c r="E2261" s="21"/>
      <c r="F2261" s="3" t="s">
        <v>120</v>
      </c>
      <c r="G2261" s="3">
        <v>2</v>
      </c>
      <c r="H2261" s="23"/>
      <c r="I2261" s="124">
        <f t="shared" si="87"/>
        <v>0</v>
      </c>
      <c r="J2261" s="21"/>
      <c r="K2261" s="24"/>
    </row>
    <row r="2262" spans="1:11" ht="28.5" customHeight="1" x14ac:dyDescent="0.25">
      <c r="A2262" s="21" t="s">
        <v>3058</v>
      </c>
      <c r="B2262" s="26" t="s">
        <v>3863</v>
      </c>
      <c r="C2262" s="3" t="s">
        <v>2876</v>
      </c>
      <c r="D2262" s="21"/>
      <c r="E2262" s="21" t="s">
        <v>2586</v>
      </c>
      <c r="F2262" s="3" t="s">
        <v>78</v>
      </c>
      <c r="G2262" s="3">
        <v>100</v>
      </c>
      <c r="H2262" s="23"/>
      <c r="I2262" s="124">
        <f t="shared" si="87"/>
        <v>0</v>
      </c>
      <c r="J2262" s="21"/>
      <c r="K2262" s="24"/>
    </row>
    <row r="2263" spans="1:11" ht="15.75" customHeight="1" x14ac:dyDescent="0.25">
      <c r="A2263" s="42" t="s">
        <v>432</v>
      </c>
      <c r="B2263" s="20" t="s">
        <v>3902</v>
      </c>
      <c r="C2263" s="22"/>
      <c r="D2263" s="21"/>
      <c r="E2263" s="21"/>
      <c r="F2263" s="22"/>
      <c r="G2263" s="21"/>
      <c r="H2263" s="23"/>
      <c r="I2263" s="124"/>
      <c r="J2263" s="21"/>
      <c r="K2263" s="24" t="s">
        <v>3794</v>
      </c>
    </row>
    <row r="2264" spans="1:11" ht="15.75" customHeight="1" x14ac:dyDescent="0.25">
      <c r="A2264" s="42"/>
      <c r="B2264" s="20" t="s">
        <v>3903</v>
      </c>
      <c r="C2264" s="22"/>
      <c r="D2264" s="21"/>
      <c r="E2264" s="21"/>
      <c r="F2264" s="22"/>
      <c r="G2264" s="21"/>
      <c r="H2264" s="23"/>
      <c r="I2264" s="124"/>
      <c r="J2264" s="21"/>
      <c r="K2264" s="24" t="s">
        <v>3794</v>
      </c>
    </row>
    <row r="2265" spans="1:11" ht="42.75" customHeight="1" x14ac:dyDescent="0.25">
      <c r="A2265" s="21" t="s">
        <v>1943</v>
      </c>
      <c r="B2265" s="26" t="s">
        <v>3799</v>
      </c>
      <c r="C2265" s="3" t="s">
        <v>3904</v>
      </c>
      <c r="D2265" s="21"/>
      <c r="E2265" s="21" t="s">
        <v>3797</v>
      </c>
      <c r="F2265" s="3" t="s">
        <v>89</v>
      </c>
      <c r="G2265" s="3">
        <v>600</v>
      </c>
      <c r="H2265" s="23"/>
      <c r="I2265" s="124">
        <f>H2265*G2265</f>
        <v>0</v>
      </c>
      <c r="J2265" s="21"/>
      <c r="K2265" s="24" t="s">
        <v>3794</v>
      </c>
    </row>
    <row r="2266" spans="1:11" ht="42.75" customHeight="1" x14ac:dyDescent="0.25">
      <c r="A2266" s="21" t="s">
        <v>1950</v>
      </c>
      <c r="B2266" s="26" t="s">
        <v>3905</v>
      </c>
      <c r="C2266" s="3" t="s">
        <v>3806</v>
      </c>
      <c r="D2266" s="21"/>
      <c r="E2266" s="21" t="s">
        <v>3797</v>
      </c>
      <c r="F2266" s="3" t="s">
        <v>89</v>
      </c>
      <c r="G2266" s="3">
        <v>600</v>
      </c>
      <c r="H2266" s="23"/>
      <c r="I2266" s="124">
        <f>H2266*G2266</f>
        <v>0</v>
      </c>
      <c r="J2266" s="21"/>
      <c r="K2266" s="24"/>
    </row>
    <row r="2267" spans="1:11" ht="15.75" customHeight="1" x14ac:dyDescent="0.25">
      <c r="A2267" s="42"/>
      <c r="B2267" s="20" t="s">
        <v>3906</v>
      </c>
      <c r="C2267" s="22"/>
      <c r="D2267" s="21"/>
      <c r="E2267" s="21"/>
      <c r="F2267" s="22"/>
      <c r="G2267" s="21"/>
      <c r="H2267" s="23"/>
      <c r="I2267" s="124"/>
      <c r="J2267" s="21"/>
      <c r="K2267" s="24"/>
    </row>
    <row r="2268" spans="1:11" ht="15.75" customHeight="1" x14ac:dyDescent="0.25">
      <c r="A2268" s="21" t="s">
        <v>2086</v>
      </c>
      <c r="B2268" s="26" t="s">
        <v>3808</v>
      </c>
      <c r="C2268" s="3" t="s">
        <v>2867</v>
      </c>
      <c r="D2268" s="21"/>
      <c r="E2268" s="21" t="s">
        <v>292</v>
      </c>
      <c r="F2268" s="3" t="s">
        <v>89</v>
      </c>
      <c r="G2268" s="3">
        <v>50</v>
      </c>
      <c r="H2268" s="23"/>
      <c r="I2268" s="124">
        <f t="shared" ref="I2268:I2287" si="88">H2268*G2268</f>
        <v>0</v>
      </c>
      <c r="J2268" s="21"/>
      <c r="K2268" s="24"/>
    </row>
    <row r="2269" spans="1:11" ht="15.75" customHeight="1" x14ac:dyDescent="0.25">
      <c r="A2269" s="21" t="s">
        <v>2093</v>
      </c>
      <c r="B2269" s="26" t="s">
        <v>3809</v>
      </c>
      <c r="C2269" s="3" t="s">
        <v>3810</v>
      </c>
      <c r="D2269" s="21"/>
      <c r="E2269" s="3" t="s">
        <v>292</v>
      </c>
      <c r="F2269" s="3" t="s">
        <v>78</v>
      </c>
      <c r="G2269" s="3">
        <v>150</v>
      </c>
      <c r="H2269" s="23"/>
      <c r="I2269" s="124">
        <f t="shared" si="88"/>
        <v>0</v>
      </c>
      <c r="J2269" s="21"/>
      <c r="K2269" s="24"/>
    </row>
    <row r="2270" spans="1:11" ht="15.75" customHeight="1" x14ac:dyDescent="0.25">
      <c r="A2270" s="21" t="s">
        <v>2097</v>
      </c>
      <c r="B2270" s="26" t="s">
        <v>3819</v>
      </c>
      <c r="C2270" s="3"/>
      <c r="D2270" s="21" t="s">
        <v>3820</v>
      </c>
      <c r="E2270" s="3" t="s">
        <v>292</v>
      </c>
      <c r="F2270" s="3" t="s">
        <v>78</v>
      </c>
      <c r="G2270" s="3">
        <v>25</v>
      </c>
      <c r="H2270" s="23"/>
      <c r="I2270" s="124">
        <f t="shared" si="88"/>
        <v>0</v>
      </c>
      <c r="J2270" s="21"/>
      <c r="K2270" s="24"/>
    </row>
    <row r="2271" spans="1:11" ht="15.75" customHeight="1" x14ac:dyDescent="0.25">
      <c r="A2271" s="21" t="s">
        <v>2101</v>
      </c>
      <c r="B2271" s="26" t="s">
        <v>3821</v>
      </c>
      <c r="C2271" s="3"/>
      <c r="D2271" s="21" t="s">
        <v>3822</v>
      </c>
      <c r="E2271" s="3" t="s">
        <v>292</v>
      </c>
      <c r="F2271" s="3" t="s">
        <v>78</v>
      </c>
      <c r="G2271" s="3">
        <v>25</v>
      </c>
      <c r="H2271" s="23"/>
      <c r="I2271" s="124">
        <f t="shared" si="88"/>
        <v>0</v>
      </c>
      <c r="J2271" s="21"/>
      <c r="K2271" s="24"/>
    </row>
    <row r="2272" spans="1:11" ht="15.75" customHeight="1" x14ac:dyDescent="0.25">
      <c r="A2272" s="21" t="s">
        <v>2105</v>
      </c>
      <c r="B2272" s="26" t="s">
        <v>3823</v>
      </c>
      <c r="C2272" s="3" t="s">
        <v>3824</v>
      </c>
      <c r="D2272" s="21" t="s">
        <v>3825</v>
      </c>
      <c r="E2272" s="3" t="s">
        <v>292</v>
      </c>
      <c r="F2272" s="3" t="s">
        <v>78</v>
      </c>
      <c r="G2272" s="3">
        <v>4</v>
      </c>
      <c r="H2272" s="23"/>
      <c r="I2272" s="124">
        <f t="shared" si="88"/>
        <v>0</v>
      </c>
      <c r="J2272" s="21"/>
      <c r="K2272" s="24"/>
    </row>
    <row r="2273" spans="1:11" ht="15.75" customHeight="1" x14ac:dyDescent="0.25">
      <c r="A2273" s="21" t="s">
        <v>2106</v>
      </c>
      <c r="B2273" s="26" t="s">
        <v>3826</v>
      </c>
      <c r="C2273" s="3"/>
      <c r="D2273" s="21" t="s">
        <v>3827</v>
      </c>
      <c r="E2273" s="3" t="s">
        <v>292</v>
      </c>
      <c r="F2273" s="3" t="s">
        <v>78</v>
      </c>
      <c r="G2273" s="3">
        <v>4</v>
      </c>
      <c r="H2273" s="23"/>
      <c r="I2273" s="124">
        <f t="shared" si="88"/>
        <v>0</v>
      </c>
      <c r="J2273" s="21"/>
      <c r="K2273" s="24"/>
    </row>
    <row r="2274" spans="1:11" ht="15.75" customHeight="1" x14ac:dyDescent="0.25">
      <c r="A2274" s="21" t="s">
        <v>2108</v>
      </c>
      <c r="B2274" s="26" t="s">
        <v>3832</v>
      </c>
      <c r="C2274" s="3" t="s">
        <v>3833</v>
      </c>
      <c r="D2274" s="21" t="s">
        <v>3834</v>
      </c>
      <c r="E2274" s="3" t="s">
        <v>292</v>
      </c>
      <c r="F2274" s="3" t="s">
        <v>78</v>
      </c>
      <c r="G2274" s="3">
        <v>10</v>
      </c>
      <c r="H2274" s="23"/>
      <c r="I2274" s="124">
        <f t="shared" si="88"/>
        <v>0</v>
      </c>
      <c r="J2274" s="21"/>
      <c r="K2274" s="24"/>
    </row>
    <row r="2275" spans="1:11" ht="15.75" customHeight="1" x14ac:dyDescent="0.25">
      <c r="A2275" s="21" t="s">
        <v>2110</v>
      </c>
      <c r="B2275" s="26" t="s">
        <v>3835</v>
      </c>
      <c r="C2275" s="3" t="s">
        <v>3836</v>
      </c>
      <c r="D2275" s="21" t="s">
        <v>3837</v>
      </c>
      <c r="E2275" s="3" t="s">
        <v>292</v>
      </c>
      <c r="F2275" s="3" t="s">
        <v>78</v>
      </c>
      <c r="G2275" s="3">
        <v>10</v>
      </c>
      <c r="H2275" s="23"/>
      <c r="I2275" s="124">
        <f t="shared" si="88"/>
        <v>0</v>
      </c>
      <c r="J2275" s="21"/>
      <c r="K2275" s="24"/>
    </row>
    <row r="2276" spans="1:11" ht="15.75" customHeight="1" x14ac:dyDescent="0.25">
      <c r="A2276" s="21" t="s">
        <v>2114</v>
      </c>
      <c r="B2276" s="26" t="s">
        <v>3838</v>
      </c>
      <c r="C2276" s="3" t="s">
        <v>3839</v>
      </c>
      <c r="D2276" s="21" t="s">
        <v>3840</v>
      </c>
      <c r="E2276" s="3" t="s">
        <v>292</v>
      </c>
      <c r="F2276" s="3" t="s">
        <v>78</v>
      </c>
      <c r="G2276" s="3">
        <v>10</v>
      </c>
      <c r="H2276" s="23"/>
      <c r="I2276" s="124">
        <f t="shared" si="88"/>
        <v>0</v>
      </c>
      <c r="J2276" s="21"/>
      <c r="K2276" s="24"/>
    </row>
    <row r="2277" spans="1:11" ht="15.75" customHeight="1" x14ac:dyDescent="0.25">
      <c r="A2277" s="21" t="s">
        <v>2917</v>
      </c>
      <c r="B2277" s="26" t="s">
        <v>3841</v>
      </c>
      <c r="C2277" s="3"/>
      <c r="D2277" s="21" t="s">
        <v>3842</v>
      </c>
      <c r="E2277" s="3" t="s">
        <v>292</v>
      </c>
      <c r="F2277" s="3" t="s">
        <v>78</v>
      </c>
      <c r="G2277" s="3">
        <v>10</v>
      </c>
      <c r="H2277" s="23"/>
      <c r="I2277" s="124">
        <f t="shared" si="88"/>
        <v>0</v>
      </c>
      <c r="J2277" s="21"/>
      <c r="K2277" s="24"/>
    </row>
    <row r="2278" spans="1:11" ht="15.75" customHeight="1" x14ac:dyDescent="0.25">
      <c r="A2278" s="21" t="s">
        <v>2920</v>
      </c>
      <c r="B2278" s="26" t="s">
        <v>3852</v>
      </c>
      <c r="C2278" s="3"/>
      <c r="D2278" s="21"/>
      <c r="E2278" s="3" t="s">
        <v>292</v>
      </c>
      <c r="F2278" s="3" t="s">
        <v>78</v>
      </c>
      <c r="G2278" s="3">
        <v>75</v>
      </c>
      <c r="H2278" s="23"/>
      <c r="I2278" s="124">
        <f t="shared" si="88"/>
        <v>0</v>
      </c>
      <c r="J2278" s="21"/>
      <c r="K2278" s="24"/>
    </row>
    <row r="2279" spans="1:11" ht="15.75" customHeight="1" x14ac:dyDescent="0.25">
      <c r="A2279" s="21" t="s">
        <v>2923</v>
      </c>
      <c r="B2279" s="26" t="s">
        <v>3853</v>
      </c>
      <c r="C2279" s="3"/>
      <c r="D2279" s="21"/>
      <c r="E2279" s="3" t="s">
        <v>292</v>
      </c>
      <c r="F2279" s="3" t="s">
        <v>78</v>
      </c>
      <c r="G2279" s="3">
        <v>75</v>
      </c>
      <c r="H2279" s="23"/>
      <c r="I2279" s="124">
        <f t="shared" si="88"/>
        <v>0</v>
      </c>
      <c r="J2279" s="21"/>
      <c r="K2279" s="24"/>
    </row>
    <row r="2280" spans="1:11" ht="15.75" customHeight="1" x14ac:dyDescent="0.25">
      <c r="A2280" s="21" t="s">
        <v>2926</v>
      </c>
      <c r="B2280" s="26" t="s">
        <v>3854</v>
      </c>
      <c r="C2280" s="3"/>
      <c r="D2280" s="21"/>
      <c r="E2280" s="3" t="s">
        <v>292</v>
      </c>
      <c r="F2280" s="3" t="s">
        <v>78</v>
      </c>
      <c r="G2280" s="3">
        <v>75</v>
      </c>
      <c r="H2280" s="23"/>
      <c r="I2280" s="124">
        <f t="shared" si="88"/>
        <v>0</v>
      </c>
      <c r="J2280" s="21"/>
      <c r="K2280" s="24"/>
    </row>
    <row r="2281" spans="1:11" ht="15.75" customHeight="1" x14ac:dyDescent="0.25">
      <c r="A2281" s="21" t="s">
        <v>2929</v>
      </c>
      <c r="B2281" s="26" t="s">
        <v>3855</v>
      </c>
      <c r="C2281" s="3"/>
      <c r="D2281" s="21"/>
      <c r="E2281" s="3" t="s">
        <v>292</v>
      </c>
      <c r="F2281" s="3" t="s">
        <v>78</v>
      </c>
      <c r="G2281" s="3">
        <v>75</v>
      </c>
      <c r="H2281" s="23"/>
      <c r="I2281" s="124">
        <f t="shared" si="88"/>
        <v>0</v>
      </c>
      <c r="J2281" s="21"/>
      <c r="K2281" s="24"/>
    </row>
    <row r="2282" spans="1:11" ht="15.75" customHeight="1" x14ac:dyDescent="0.25">
      <c r="A2282" s="21" t="s">
        <v>2932</v>
      </c>
      <c r="B2282" s="26" t="s">
        <v>3856</v>
      </c>
      <c r="C2282" s="3"/>
      <c r="D2282" s="21"/>
      <c r="E2282" s="3" t="s">
        <v>292</v>
      </c>
      <c r="F2282" s="3" t="s">
        <v>78</v>
      </c>
      <c r="G2282" s="3">
        <v>30</v>
      </c>
      <c r="H2282" s="23"/>
      <c r="I2282" s="124">
        <f t="shared" si="88"/>
        <v>0</v>
      </c>
      <c r="J2282" s="21"/>
      <c r="K2282" s="24"/>
    </row>
    <row r="2283" spans="1:11" ht="15.75" customHeight="1" x14ac:dyDescent="0.25">
      <c r="A2283" s="21" t="s">
        <v>2935</v>
      </c>
      <c r="B2283" s="26" t="s">
        <v>3857</v>
      </c>
      <c r="C2283" s="3"/>
      <c r="D2283" s="21"/>
      <c r="E2283" s="3" t="s">
        <v>292</v>
      </c>
      <c r="F2283" s="3" t="s">
        <v>78</v>
      </c>
      <c r="G2283" s="3">
        <v>100</v>
      </c>
      <c r="H2283" s="23"/>
      <c r="I2283" s="124">
        <f t="shared" si="88"/>
        <v>0</v>
      </c>
      <c r="J2283" s="21"/>
      <c r="K2283" s="24"/>
    </row>
    <row r="2284" spans="1:11" ht="15.75" customHeight="1" x14ac:dyDescent="0.25">
      <c r="A2284" s="21" t="s">
        <v>2938</v>
      </c>
      <c r="B2284" s="26" t="s">
        <v>3858</v>
      </c>
      <c r="C2284" s="3"/>
      <c r="D2284" s="21" t="s">
        <v>3859</v>
      </c>
      <c r="E2284" s="3" t="s">
        <v>292</v>
      </c>
      <c r="F2284" s="3" t="s">
        <v>78</v>
      </c>
      <c r="G2284" s="3">
        <v>20</v>
      </c>
      <c r="H2284" s="23"/>
      <c r="I2284" s="124">
        <f t="shared" si="88"/>
        <v>0</v>
      </c>
      <c r="J2284" s="21"/>
      <c r="K2284" s="24"/>
    </row>
    <row r="2285" spans="1:11" ht="15.75" customHeight="1" x14ac:dyDescent="0.25">
      <c r="A2285" s="21" t="s">
        <v>2941</v>
      </c>
      <c r="B2285" s="26" t="s">
        <v>3860</v>
      </c>
      <c r="C2285" s="3"/>
      <c r="D2285" s="21" t="s">
        <v>3861</v>
      </c>
      <c r="E2285" s="21" t="s">
        <v>292</v>
      </c>
      <c r="F2285" s="3" t="s">
        <v>78</v>
      </c>
      <c r="G2285" s="3">
        <v>20</v>
      </c>
      <c r="H2285" s="23"/>
      <c r="I2285" s="124">
        <f t="shared" si="88"/>
        <v>0</v>
      </c>
      <c r="J2285" s="21"/>
      <c r="K2285" s="24" t="s">
        <v>3794</v>
      </c>
    </row>
    <row r="2286" spans="1:11" ht="15.75" customHeight="1" x14ac:dyDescent="0.25">
      <c r="A2286" s="21" t="s">
        <v>2944</v>
      </c>
      <c r="B2286" s="26" t="s">
        <v>3862</v>
      </c>
      <c r="C2286" s="3"/>
      <c r="D2286" s="21"/>
      <c r="E2286" s="21"/>
      <c r="F2286" s="3" t="s">
        <v>120</v>
      </c>
      <c r="G2286" s="3">
        <v>2</v>
      </c>
      <c r="H2286" s="23"/>
      <c r="I2286" s="124">
        <f t="shared" si="88"/>
        <v>0</v>
      </c>
      <c r="J2286" s="21"/>
      <c r="K2286" s="24" t="s">
        <v>3794</v>
      </c>
    </row>
    <row r="2287" spans="1:11" ht="28.5" customHeight="1" x14ac:dyDescent="0.25">
      <c r="A2287" s="21" t="s">
        <v>2947</v>
      </c>
      <c r="B2287" s="26" t="s">
        <v>3863</v>
      </c>
      <c r="C2287" s="3" t="s">
        <v>2876</v>
      </c>
      <c r="D2287" s="21"/>
      <c r="E2287" s="21" t="s">
        <v>2586</v>
      </c>
      <c r="F2287" s="3" t="s">
        <v>78</v>
      </c>
      <c r="G2287" s="3">
        <v>50</v>
      </c>
      <c r="H2287" s="23"/>
      <c r="I2287" s="124">
        <f t="shared" si="88"/>
        <v>0</v>
      </c>
      <c r="J2287" s="21"/>
      <c r="K2287" s="24" t="s">
        <v>3794</v>
      </c>
    </row>
    <row r="2288" spans="1:11" ht="15.75" customHeight="1" x14ac:dyDescent="0.25">
      <c r="A2288" s="42" t="s">
        <v>459</v>
      </c>
      <c r="B2288" s="20" t="s">
        <v>3907</v>
      </c>
      <c r="C2288" s="22"/>
      <c r="D2288" s="21"/>
      <c r="E2288" s="21"/>
      <c r="F2288" s="22"/>
      <c r="G2288" s="21"/>
      <c r="H2288" s="23"/>
      <c r="I2288" s="124"/>
      <c r="J2288" s="21"/>
      <c r="K2288" s="24" t="s">
        <v>3794</v>
      </c>
    </row>
    <row r="2289" spans="1:11" ht="15.75" customHeight="1" x14ac:dyDescent="0.25">
      <c r="A2289" s="42"/>
      <c r="B2289" s="20" t="s">
        <v>3908</v>
      </c>
      <c r="C2289" s="22"/>
      <c r="D2289" s="21"/>
      <c r="E2289" s="21"/>
      <c r="F2289" s="22"/>
      <c r="G2289" s="21"/>
      <c r="H2289" s="23"/>
      <c r="I2289" s="124"/>
      <c r="J2289" s="21"/>
      <c r="K2289" s="24"/>
    </row>
    <row r="2290" spans="1:11" ht="28.5" customHeight="1" x14ac:dyDescent="0.25">
      <c r="A2290" s="21" t="s">
        <v>1943</v>
      </c>
      <c r="B2290" s="26" t="s">
        <v>3909</v>
      </c>
      <c r="C2290" s="3" t="s">
        <v>3910</v>
      </c>
      <c r="D2290" s="21" t="s">
        <v>3911</v>
      </c>
      <c r="E2290" s="21" t="s">
        <v>3912</v>
      </c>
      <c r="F2290" s="3" t="s">
        <v>78</v>
      </c>
      <c r="G2290" s="3">
        <v>1</v>
      </c>
      <c r="H2290" s="23"/>
      <c r="I2290" s="124">
        <f>H2290*G2290</f>
        <v>0</v>
      </c>
      <c r="J2290" s="21"/>
      <c r="K2290" s="24"/>
    </row>
    <row r="2291" spans="1:11" ht="28.5" customHeight="1" x14ac:dyDescent="0.25">
      <c r="A2291" s="21" t="s">
        <v>1950</v>
      </c>
      <c r="B2291" s="26" t="s">
        <v>3913</v>
      </c>
      <c r="C2291" s="3"/>
      <c r="D2291" s="21" t="s">
        <v>3914</v>
      </c>
      <c r="E2291" s="21" t="s">
        <v>3912</v>
      </c>
      <c r="F2291" s="3" t="s">
        <v>78</v>
      </c>
      <c r="G2291" s="3">
        <v>1</v>
      </c>
      <c r="H2291" s="23"/>
      <c r="I2291" s="124">
        <f>H2291*G2291</f>
        <v>0</v>
      </c>
      <c r="J2291" s="21"/>
      <c r="K2291" s="24"/>
    </row>
    <row r="2292" spans="1:11" ht="28.5" customHeight="1" x14ac:dyDescent="0.25">
      <c r="A2292" s="21" t="s">
        <v>1955</v>
      </c>
      <c r="B2292" s="26" t="s">
        <v>3915</v>
      </c>
      <c r="C2292" s="3" t="s">
        <v>3916</v>
      </c>
      <c r="D2292" s="21" t="s">
        <v>3917</v>
      </c>
      <c r="E2292" s="21" t="s">
        <v>3912</v>
      </c>
      <c r="F2292" s="3" t="s">
        <v>78</v>
      </c>
      <c r="G2292" s="3">
        <v>2</v>
      </c>
      <c r="H2292" s="23"/>
      <c r="I2292" s="124">
        <f>H2292*G2292</f>
        <v>0</v>
      </c>
      <c r="J2292" s="21"/>
      <c r="K2292" s="24"/>
    </row>
    <row r="2293" spans="1:11" ht="28.5" customHeight="1" x14ac:dyDescent="0.25">
      <c r="A2293" s="21" t="s">
        <v>1959</v>
      </c>
      <c r="B2293" s="26" t="s">
        <v>3915</v>
      </c>
      <c r="C2293" s="3" t="s">
        <v>3918</v>
      </c>
      <c r="D2293" s="21" t="s">
        <v>3919</v>
      </c>
      <c r="E2293" s="21" t="s">
        <v>3912</v>
      </c>
      <c r="F2293" s="3" t="s">
        <v>78</v>
      </c>
      <c r="G2293" s="3">
        <v>1</v>
      </c>
      <c r="H2293" s="23"/>
      <c r="I2293" s="124">
        <f>H2293*G2293</f>
        <v>0</v>
      </c>
      <c r="J2293" s="21"/>
      <c r="K2293" s="24"/>
    </row>
    <row r="2294" spans="1:11" ht="15.75" customHeight="1" x14ac:dyDescent="0.25">
      <c r="A2294" s="42"/>
      <c r="B2294" s="20" t="s">
        <v>3920</v>
      </c>
      <c r="C2294" s="22"/>
      <c r="D2294" s="21"/>
      <c r="E2294" s="21"/>
      <c r="F2294" s="22"/>
      <c r="G2294" s="21"/>
      <c r="H2294" s="23"/>
      <c r="I2294" s="124"/>
      <c r="J2294" s="21"/>
      <c r="K2294" s="24"/>
    </row>
    <row r="2295" spans="1:11" ht="15.75" customHeight="1" x14ac:dyDescent="0.25">
      <c r="A2295" s="42"/>
      <c r="B2295" s="20" t="s">
        <v>3921</v>
      </c>
      <c r="C2295" s="22"/>
      <c r="D2295" s="21"/>
      <c r="E2295" s="21"/>
      <c r="F2295" s="22"/>
      <c r="G2295" s="21"/>
      <c r="H2295" s="23"/>
      <c r="I2295" s="124"/>
      <c r="J2295" s="21"/>
      <c r="K2295" s="24"/>
    </row>
    <row r="2296" spans="1:11" ht="30" customHeight="1" x14ac:dyDescent="0.25">
      <c r="A2296" s="21" t="s">
        <v>2086</v>
      </c>
      <c r="B2296" s="26" t="s">
        <v>3922</v>
      </c>
      <c r="C2296" s="3"/>
      <c r="D2296" s="21" t="s">
        <v>3923</v>
      </c>
      <c r="E2296" s="21" t="s">
        <v>3924</v>
      </c>
      <c r="F2296" s="3" t="s">
        <v>78</v>
      </c>
      <c r="G2296" s="3">
        <v>1</v>
      </c>
      <c r="H2296" s="23"/>
      <c r="I2296" s="124">
        <f t="shared" ref="I2296:I2314" si="89">H2296*G2296</f>
        <v>0</v>
      </c>
      <c r="J2296" s="21"/>
      <c r="K2296" s="24"/>
    </row>
    <row r="2297" spans="1:11" ht="15.75" customHeight="1" x14ac:dyDescent="0.25">
      <c r="A2297" s="21" t="s">
        <v>2093</v>
      </c>
      <c r="B2297" s="26" t="s">
        <v>3925</v>
      </c>
      <c r="C2297" s="3"/>
      <c r="D2297" s="21" t="s">
        <v>3926</v>
      </c>
      <c r="E2297" s="3" t="s">
        <v>292</v>
      </c>
      <c r="F2297" s="3" t="s">
        <v>78</v>
      </c>
      <c r="G2297" s="3">
        <v>2</v>
      </c>
      <c r="H2297" s="23"/>
      <c r="I2297" s="124">
        <f t="shared" si="89"/>
        <v>0</v>
      </c>
      <c r="J2297" s="21"/>
      <c r="K2297" s="24"/>
    </row>
    <row r="2298" spans="1:11" ht="15.75" customHeight="1" x14ac:dyDescent="0.25">
      <c r="A2298" s="21" t="s">
        <v>2097</v>
      </c>
      <c r="B2298" s="26" t="s">
        <v>3927</v>
      </c>
      <c r="C2298" s="3" t="s">
        <v>3928</v>
      </c>
      <c r="D2298" s="21" t="s">
        <v>3929</v>
      </c>
      <c r="E2298" s="21" t="s">
        <v>3930</v>
      </c>
      <c r="F2298" s="3" t="s">
        <v>78</v>
      </c>
      <c r="G2298" s="3">
        <v>7</v>
      </c>
      <c r="H2298" s="23"/>
      <c r="I2298" s="124">
        <f t="shared" si="89"/>
        <v>0</v>
      </c>
      <c r="J2298" s="21"/>
      <c r="K2298" s="24"/>
    </row>
    <row r="2299" spans="1:11" ht="15.75" customHeight="1" x14ac:dyDescent="0.25">
      <c r="A2299" s="21" t="s">
        <v>2101</v>
      </c>
      <c r="B2299" s="26" t="s">
        <v>3931</v>
      </c>
      <c r="C2299" s="3"/>
      <c r="D2299" s="21" t="s">
        <v>3932</v>
      </c>
      <c r="E2299" s="3" t="s">
        <v>292</v>
      </c>
      <c r="F2299" s="3" t="s">
        <v>78</v>
      </c>
      <c r="G2299" s="3">
        <v>2</v>
      </c>
      <c r="H2299" s="23"/>
      <c r="I2299" s="124">
        <f t="shared" si="89"/>
        <v>0</v>
      </c>
      <c r="J2299" s="21"/>
      <c r="K2299" s="24"/>
    </row>
    <row r="2300" spans="1:11" ht="15.75" customHeight="1" x14ac:dyDescent="0.25">
      <c r="A2300" s="21" t="s">
        <v>2105</v>
      </c>
      <c r="B2300" s="26" t="s">
        <v>3933</v>
      </c>
      <c r="C2300" s="3"/>
      <c r="D2300" s="21" t="s">
        <v>3934</v>
      </c>
      <c r="E2300" s="21" t="s">
        <v>3924</v>
      </c>
      <c r="F2300" s="3" t="s">
        <v>78</v>
      </c>
      <c r="G2300" s="3">
        <v>1</v>
      </c>
      <c r="H2300" s="23"/>
      <c r="I2300" s="124">
        <f t="shared" si="89"/>
        <v>0</v>
      </c>
      <c r="J2300" s="21"/>
      <c r="K2300" s="24"/>
    </row>
    <row r="2301" spans="1:11" ht="15.75" customHeight="1" x14ac:dyDescent="0.25">
      <c r="A2301" s="21" t="s">
        <v>2106</v>
      </c>
      <c r="B2301" s="26" t="s">
        <v>3935</v>
      </c>
      <c r="C2301" s="3"/>
      <c r="D2301" s="21" t="s">
        <v>3936</v>
      </c>
      <c r="E2301" s="21" t="s">
        <v>3924</v>
      </c>
      <c r="F2301" s="3" t="s">
        <v>78</v>
      </c>
      <c r="G2301" s="3">
        <v>3</v>
      </c>
      <c r="H2301" s="23"/>
      <c r="I2301" s="124">
        <f t="shared" si="89"/>
        <v>0</v>
      </c>
      <c r="J2301" s="21"/>
      <c r="K2301" s="24"/>
    </row>
    <row r="2302" spans="1:11" ht="15.75" customHeight="1" x14ac:dyDescent="0.25">
      <c r="A2302" s="21" t="s">
        <v>2108</v>
      </c>
      <c r="B2302" s="26" t="s">
        <v>3937</v>
      </c>
      <c r="C2302" s="3"/>
      <c r="D2302" s="21" t="s">
        <v>3938</v>
      </c>
      <c r="E2302" s="21" t="s">
        <v>3924</v>
      </c>
      <c r="F2302" s="3" t="s">
        <v>78</v>
      </c>
      <c r="G2302" s="3">
        <v>1</v>
      </c>
      <c r="H2302" s="23">
        <v>400</v>
      </c>
      <c r="I2302" s="124">
        <f t="shared" si="89"/>
        <v>400</v>
      </c>
      <c r="J2302" s="21"/>
      <c r="K2302" s="24"/>
    </row>
    <row r="2303" spans="1:11" ht="15.75" customHeight="1" x14ac:dyDescent="0.25">
      <c r="A2303" s="21" t="s">
        <v>2110</v>
      </c>
      <c r="B2303" s="26" t="s">
        <v>3939</v>
      </c>
      <c r="C2303" s="3" t="s">
        <v>3940</v>
      </c>
      <c r="D2303" s="21"/>
      <c r="E2303" s="21" t="s">
        <v>3924</v>
      </c>
      <c r="F2303" s="3" t="s">
        <v>78</v>
      </c>
      <c r="G2303" s="3">
        <v>1</v>
      </c>
      <c r="H2303" s="23"/>
      <c r="I2303" s="124">
        <f t="shared" si="89"/>
        <v>0</v>
      </c>
      <c r="J2303" s="21"/>
      <c r="K2303" s="24"/>
    </row>
    <row r="2304" spans="1:11" ht="15.75" customHeight="1" x14ac:dyDescent="0.25">
      <c r="A2304" s="21" t="s">
        <v>2114</v>
      </c>
      <c r="B2304" s="26" t="s">
        <v>3941</v>
      </c>
      <c r="C2304" s="3" t="s">
        <v>3942</v>
      </c>
      <c r="D2304" s="21"/>
      <c r="E2304" s="21" t="s">
        <v>3943</v>
      </c>
      <c r="F2304" s="3" t="s">
        <v>78</v>
      </c>
      <c r="G2304" s="3">
        <v>1</v>
      </c>
      <c r="H2304" s="23"/>
      <c r="I2304" s="124">
        <f t="shared" si="89"/>
        <v>0</v>
      </c>
      <c r="J2304" s="21"/>
      <c r="K2304" s="24"/>
    </row>
    <row r="2305" spans="1:11" ht="15.75" customHeight="1" x14ac:dyDescent="0.25">
      <c r="A2305" s="21" t="s">
        <v>2917</v>
      </c>
      <c r="B2305" s="26" t="s">
        <v>3944</v>
      </c>
      <c r="C2305" s="3" t="s">
        <v>3945</v>
      </c>
      <c r="D2305" s="21"/>
      <c r="E2305" s="21" t="s">
        <v>3946</v>
      </c>
      <c r="F2305" s="3" t="s">
        <v>78</v>
      </c>
      <c r="G2305" s="3">
        <v>1</v>
      </c>
      <c r="H2305" s="23"/>
      <c r="I2305" s="124">
        <f t="shared" si="89"/>
        <v>0</v>
      </c>
      <c r="J2305" s="21"/>
      <c r="K2305" s="24"/>
    </row>
    <row r="2306" spans="1:11" ht="15.75" customHeight="1" x14ac:dyDescent="0.25">
      <c r="A2306" s="21" t="s">
        <v>2920</v>
      </c>
      <c r="B2306" s="26" t="s">
        <v>3947</v>
      </c>
      <c r="C2306" s="3"/>
      <c r="D2306" s="21" t="s">
        <v>3948</v>
      </c>
      <c r="E2306" s="21" t="s">
        <v>3924</v>
      </c>
      <c r="F2306" s="3" t="s">
        <v>78</v>
      </c>
      <c r="G2306" s="3">
        <v>1</v>
      </c>
      <c r="H2306" s="23"/>
      <c r="I2306" s="124">
        <f t="shared" si="89"/>
        <v>0</v>
      </c>
      <c r="J2306" s="21"/>
      <c r="K2306" s="24"/>
    </row>
    <row r="2307" spans="1:11" ht="15.75" customHeight="1" x14ac:dyDescent="0.25">
      <c r="A2307" s="21" t="s">
        <v>2923</v>
      </c>
      <c r="B2307" s="26" t="s">
        <v>3949</v>
      </c>
      <c r="C2307" s="3"/>
      <c r="D2307" s="21" t="s">
        <v>3950</v>
      </c>
      <c r="E2307" s="21" t="s">
        <v>3924</v>
      </c>
      <c r="F2307" s="3" t="s">
        <v>78</v>
      </c>
      <c r="G2307" s="3">
        <v>50</v>
      </c>
      <c r="H2307" s="23"/>
      <c r="I2307" s="124">
        <f t="shared" si="89"/>
        <v>0</v>
      </c>
      <c r="J2307" s="21"/>
      <c r="K2307" s="24"/>
    </row>
    <row r="2308" spans="1:11" ht="15.75" customHeight="1" x14ac:dyDescent="0.25">
      <c r="A2308" s="21" t="s">
        <v>2926</v>
      </c>
      <c r="B2308" s="26" t="s">
        <v>3951</v>
      </c>
      <c r="C2308" s="3"/>
      <c r="D2308" s="21" t="s">
        <v>3952</v>
      </c>
      <c r="E2308" s="21" t="s">
        <v>3924</v>
      </c>
      <c r="F2308" s="3" t="s">
        <v>78</v>
      </c>
      <c r="G2308" s="3">
        <v>1</v>
      </c>
      <c r="H2308" s="23"/>
      <c r="I2308" s="124">
        <f t="shared" si="89"/>
        <v>0</v>
      </c>
      <c r="J2308" s="21"/>
      <c r="K2308" s="24" t="s">
        <v>3794</v>
      </c>
    </row>
    <row r="2309" spans="1:11" ht="15.75" customHeight="1" x14ac:dyDescent="0.25">
      <c r="A2309" s="21" t="s">
        <v>2929</v>
      </c>
      <c r="B2309" s="26" t="s">
        <v>3953</v>
      </c>
      <c r="C2309" s="3"/>
      <c r="D2309" s="21" t="s">
        <v>3954</v>
      </c>
      <c r="E2309" s="21" t="s">
        <v>3924</v>
      </c>
      <c r="F2309" s="3" t="s">
        <v>78</v>
      </c>
      <c r="G2309" s="3">
        <v>1</v>
      </c>
      <c r="H2309" s="23"/>
      <c r="I2309" s="124">
        <f t="shared" si="89"/>
        <v>0</v>
      </c>
      <c r="J2309" s="21"/>
      <c r="K2309" s="24" t="s">
        <v>3794</v>
      </c>
    </row>
    <row r="2310" spans="1:11" ht="15.75" customHeight="1" x14ac:dyDescent="0.25">
      <c r="A2310" s="21" t="s">
        <v>2932</v>
      </c>
      <c r="B2310" s="26" t="s">
        <v>3955</v>
      </c>
      <c r="C2310" s="3"/>
      <c r="D2310" s="21"/>
      <c r="E2310" s="21"/>
      <c r="F2310" s="3" t="s">
        <v>78</v>
      </c>
      <c r="G2310" s="3">
        <v>1</v>
      </c>
      <c r="H2310" s="23"/>
      <c r="I2310" s="124">
        <f t="shared" si="89"/>
        <v>0</v>
      </c>
      <c r="J2310" s="21"/>
      <c r="K2310" s="24" t="s">
        <v>3794</v>
      </c>
    </row>
    <row r="2311" spans="1:11" ht="15.75" customHeight="1" x14ac:dyDescent="0.25">
      <c r="A2311" s="21" t="s">
        <v>2935</v>
      </c>
      <c r="B2311" s="26" t="s">
        <v>3956</v>
      </c>
      <c r="C2311" s="3" t="s">
        <v>3957</v>
      </c>
      <c r="D2311" s="21"/>
      <c r="E2311" s="21"/>
      <c r="F2311" s="3" t="s">
        <v>89</v>
      </c>
      <c r="G2311" s="3">
        <v>20</v>
      </c>
      <c r="H2311" s="23"/>
      <c r="I2311" s="124">
        <f t="shared" si="89"/>
        <v>0</v>
      </c>
      <c r="J2311" s="21"/>
      <c r="K2311" s="24" t="s">
        <v>3794</v>
      </c>
    </row>
    <row r="2312" spans="1:11" ht="15.75" customHeight="1" x14ac:dyDescent="0.25">
      <c r="A2312" s="21" t="s">
        <v>2938</v>
      </c>
      <c r="B2312" s="26" t="s">
        <v>3958</v>
      </c>
      <c r="C2312" s="3" t="s">
        <v>3957</v>
      </c>
      <c r="D2312" s="21"/>
      <c r="E2312" s="21"/>
      <c r="F2312" s="3" t="s">
        <v>89</v>
      </c>
      <c r="G2312" s="3">
        <v>20</v>
      </c>
      <c r="H2312" s="23"/>
      <c r="I2312" s="124">
        <f t="shared" si="89"/>
        <v>0</v>
      </c>
      <c r="J2312" s="21"/>
      <c r="K2312" s="24"/>
    </row>
    <row r="2313" spans="1:11" ht="15.75" customHeight="1" x14ac:dyDescent="0.25">
      <c r="A2313" s="21" t="s">
        <v>2941</v>
      </c>
      <c r="B2313" s="26" t="s">
        <v>3959</v>
      </c>
      <c r="C2313" s="3" t="s">
        <v>3957</v>
      </c>
      <c r="D2313" s="21"/>
      <c r="E2313" s="21"/>
      <c r="F2313" s="3" t="s">
        <v>89</v>
      </c>
      <c r="G2313" s="3">
        <v>20</v>
      </c>
      <c r="H2313" s="23"/>
      <c r="I2313" s="124">
        <f t="shared" si="89"/>
        <v>0</v>
      </c>
      <c r="J2313" s="21"/>
      <c r="K2313" s="24"/>
    </row>
    <row r="2314" spans="1:11" ht="15.75" customHeight="1" x14ac:dyDescent="0.25">
      <c r="A2314" s="21" t="s">
        <v>2944</v>
      </c>
      <c r="B2314" s="26" t="s">
        <v>3960</v>
      </c>
      <c r="C2314" s="3" t="s">
        <v>3961</v>
      </c>
      <c r="D2314" s="21" t="s">
        <v>3962</v>
      </c>
      <c r="E2314" s="21" t="s">
        <v>3963</v>
      </c>
      <c r="F2314" s="3" t="s">
        <v>120</v>
      </c>
      <c r="G2314" s="3">
        <v>2</v>
      </c>
      <c r="H2314" s="23"/>
      <c r="I2314" s="124">
        <f t="shared" si="89"/>
        <v>0</v>
      </c>
      <c r="J2314" s="21"/>
      <c r="K2314" s="24"/>
    </row>
    <row r="2315" spans="1:11" ht="15.75" customHeight="1" x14ac:dyDescent="0.25">
      <c r="A2315" s="42"/>
      <c r="B2315" s="20" t="s">
        <v>3964</v>
      </c>
      <c r="C2315" s="22"/>
      <c r="D2315" s="21"/>
      <c r="E2315" s="21"/>
      <c r="F2315" s="22"/>
      <c r="G2315" s="21"/>
      <c r="H2315" s="23"/>
      <c r="I2315" s="124"/>
      <c r="J2315" s="21"/>
      <c r="K2315" s="24"/>
    </row>
    <row r="2316" spans="1:11" ht="28.5" customHeight="1" x14ac:dyDescent="0.25">
      <c r="A2316" s="21" t="s">
        <v>1995</v>
      </c>
      <c r="B2316" s="26" t="s">
        <v>3965</v>
      </c>
      <c r="C2316" s="3"/>
      <c r="D2316" s="21"/>
      <c r="E2316" s="21"/>
      <c r="F2316" s="3" t="s">
        <v>47</v>
      </c>
      <c r="G2316" s="3">
        <v>1</v>
      </c>
      <c r="H2316" s="23"/>
      <c r="I2316" s="124">
        <f t="shared" ref="I2316:I2324" si="90">H2316*G2316</f>
        <v>0</v>
      </c>
      <c r="J2316" s="21"/>
      <c r="K2316" s="24"/>
    </row>
    <row r="2317" spans="1:11" ht="71.25" customHeight="1" x14ac:dyDescent="0.25">
      <c r="A2317" s="21" t="s">
        <v>3966</v>
      </c>
      <c r="B2317" s="26" t="s">
        <v>3967</v>
      </c>
      <c r="C2317" s="3" t="s">
        <v>3968</v>
      </c>
      <c r="D2317" s="21"/>
      <c r="E2317" s="21" t="s">
        <v>3969</v>
      </c>
      <c r="F2317" s="3" t="s">
        <v>78</v>
      </c>
      <c r="G2317" s="3">
        <v>1</v>
      </c>
      <c r="H2317" s="23">
        <f>4012.29*100</f>
        <v>401229</v>
      </c>
      <c r="I2317" s="124">
        <f t="shared" si="90"/>
        <v>401229</v>
      </c>
      <c r="J2317" s="21"/>
      <c r="K2317" s="24" t="s">
        <v>6862</v>
      </c>
    </row>
    <row r="2318" spans="1:11" ht="71.25" customHeight="1" x14ac:dyDescent="0.25">
      <c r="A2318" s="21" t="s">
        <v>3970</v>
      </c>
      <c r="B2318" s="26" t="s">
        <v>3971</v>
      </c>
      <c r="C2318" s="3" t="s">
        <v>3972</v>
      </c>
      <c r="D2318" s="21"/>
      <c r="E2318" s="21" t="s">
        <v>3969</v>
      </c>
      <c r="F2318" s="3" t="s">
        <v>78</v>
      </c>
      <c r="G2318" s="3">
        <v>1</v>
      </c>
      <c r="H2318" s="23">
        <f>1337.17*100</f>
        <v>133717</v>
      </c>
      <c r="I2318" s="124">
        <f t="shared" si="90"/>
        <v>133717</v>
      </c>
      <c r="J2318" s="21"/>
      <c r="K2318" s="24" t="s">
        <v>6863</v>
      </c>
    </row>
    <row r="2319" spans="1:11" ht="15.75" customHeight="1" x14ac:dyDescent="0.25">
      <c r="A2319" s="21" t="s">
        <v>1999</v>
      </c>
      <c r="B2319" s="26" t="s">
        <v>3973</v>
      </c>
      <c r="C2319" s="3"/>
      <c r="D2319" s="21"/>
      <c r="E2319" s="21"/>
      <c r="F2319" s="3" t="s">
        <v>47</v>
      </c>
      <c r="G2319" s="3">
        <v>1</v>
      </c>
      <c r="H2319" s="23"/>
      <c r="I2319" s="124">
        <f t="shared" si="90"/>
        <v>0</v>
      </c>
      <c r="J2319" s="21"/>
      <c r="K2319" s="24"/>
    </row>
    <row r="2320" spans="1:11" ht="85.5" customHeight="1" x14ac:dyDescent="0.25">
      <c r="A2320" s="21" t="s">
        <v>3974</v>
      </c>
      <c r="B2320" s="26" t="s">
        <v>3975</v>
      </c>
      <c r="C2320" s="3" t="s">
        <v>3976</v>
      </c>
      <c r="D2320" s="21"/>
      <c r="E2320" s="21" t="s">
        <v>3969</v>
      </c>
      <c r="F2320" s="3" t="s">
        <v>78</v>
      </c>
      <c r="G2320" s="3">
        <v>1</v>
      </c>
      <c r="H2320" s="23">
        <f>2099.52*100</f>
        <v>209952</v>
      </c>
      <c r="I2320" s="124">
        <f t="shared" si="90"/>
        <v>209952</v>
      </c>
      <c r="J2320" s="21"/>
      <c r="K2320" s="24" t="s">
        <v>6864</v>
      </c>
    </row>
    <row r="2321" spans="1:11" ht="15.75" customHeight="1" x14ac:dyDescent="0.25">
      <c r="A2321" s="21" t="s">
        <v>3977</v>
      </c>
      <c r="B2321" s="26" t="s">
        <v>3978</v>
      </c>
      <c r="C2321" s="3" t="s">
        <v>3979</v>
      </c>
      <c r="D2321" s="21"/>
      <c r="E2321" s="21" t="s">
        <v>3980</v>
      </c>
      <c r="F2321" s="3" t="s">
        <v>78</v>
      </c>
      <c r="G2321" s="3">
        <v>2</v>
      </c>
      <c r="H2321" s="23"/>
      <c r="I2321" s="124">
        <f t="shared" si="90"/>
        <v>0</v>
      </c>
      <c r="J2321" s="21"/>
      <c r="K2321" s="24"/>
    </row>
    <row r="2322" spans="1:11" ht="15.75" customHeight="1" x14ac:dyDescent="0.25">
      <c r="A2322" s="21" t="s">
        <v>3981</v>
      </c>
      <c r="B2322" s="26" t="s">
        <v>3982</v>
      </c>
      <c r="C2322" s="3" t="s">
        <v>3983</v>
      </c>
      <c r="D2322" s="21"/>
      <c r="E2322" s="21" t="s">
        <v>3984</v>
      </c>
      <c r="F2322" s="3" t="s">
        <v>78</v>
      </c>
      <c r="G2322" s="3">
        <v>1</v>
      </c>
      <c r="H2322" s="23"/>
      <c r="I2322" s="124">
        <f t="shared" si="90"/>
        <v>0</v>
      </c>
      <c r="J2322" s="21"/>
      <c r="K2322" s="24"/>
    </row>
    <row r="2323" spans="1:11" ht="28.5" customHeight="1" x14ac:dyDescent="0.25">
      <c r="A2323" s="21" t="s">
        <v>3985</v>
      </c>
      <c r="B2323" s="26" t="s">
        <v>3986</v>
      </c>
      <c r="C2323" s="3" t="s">
        <v>3987</v>
      </c>
      <c r="D2323" s="21"/>
      <c r="E2323" s="21" t="s">
        <v>3988</v>
      </c>
      <c r="F2323" s="3" t="s">
        <v>78</v>
      </c>
      <c r="G2323" s="3">
        <v>2</v>
      </c>
      <c r="H2323" s="23"/>
      <c r="I2323" s="124">
        <f t="shared" si="90"/>
        <v>0</v>
      </c>
      <c r="J2323" s="21"/>
      <c r="K2323" s="24"/>
    </row>
    <row r="2324" spans="1:11" ht="15.75" customHeight="1" x14ac:dyDescent="0.25">
      <c r="A2324" s="21" t="s">
        <v>3989</v>
      </c>
      <c r="B2324" s="26" t="s">
        <v>3990</v>
      </c>
      <c r="C2324" s="3" t="s">
        <v>3991</v>
      </c>
      <c r="D2324" s="21"/>
      <c r="E2324" s="21" t="s">
        <v>3992</v>
      </c>
      <c r="F2324" s="3" t="s">
        <v>78</v>
      </c>
      <c r="G2324" s="3">
        <v>1</v>
      </c>
      <c r="H2324" s="23"/>
      <c r="I2324" s="124">
        <f t="shared" si="90"/>
        <v>0</v>
      </c>
      <c r="J2324" s="21"/>
      <c r="K2324" s="24"/>
    </row>
    <row r="2325" spans="1:11" ht="15.75" customHeight="1" x14ac:dyDescent="0.25">
      <c r="A2325" s="42"/>
      <c r="B2325" s="20" t="s">
        <v>3993</v>
      </c>
      <c r="C2325" s="22"/>
      <c r="D2325" s="21"/>
      <c r="E2325" s="21"/>
      <c r="F2325" s="22"/>
      <c r="G2325" s="21"/>
      <c r="H2325" s="23"/>
      <c r="I2325" s="124"/>
      <c r="J2325" s="21"/>
      <c r="K2325" s="24" t="s">
        <v>3794</v>
      </c>
    </row>
    <row r="2326" spans="1:11" ht="42.75" customHeight="1" x14ac:dyDescent="0.25">
      <c r="A2326" s="21" t="s">
        <v>2035</v>
      </c>
      <c r="B2326" s="26" t="s">
        <v>3994</v>
      </c>
      <c r="C2326" s="3" t="s">
        <v>3995</v>
      </c>
      <c r="D2326" s="21"/>
      <c r="E2326" s="21" t="s">
        <v>3996</v>
      </c>
      <c r="F2326" s="3" t="s">
        <v>78</v>
      </c>
      <c r="G2326" s="3">
        <v>1</v>
      </c>
      <c r="H2326" s="23"/>
      <c r="I2326" s="124">
        <f>H2326*G2326</f>
        <v>0</v>
      </c>
      <c r="J2326" s="21"/>
      <c r="K2326" s="24" t="s">
        <v>3794</v>
      </c>
    </row>
    <row r="2327" spans="1:11" ht="28.5" customHeight="1" x14ac:dyDescent="0.25">
      <c r="A2327" s="21" t="s">
        <v>2039</v>
      </c>
      <c r="B2327" s="26" t="s">
        <v>3997</v>
      </c>
      <c r="C2327" s="3" t="s">
        <v>3998</v>
      </c>
      <c r="D2327" s="21"/>
      <c r="E2327" s="21" t="s">
        <v>3996</v>
      </c>
      <c r="F2327" s="3" t="s">
        <v>78</v>
      </c>
      <c r="G2327" s="3">
        <v>1</v>
      </c>
      <c r="H2327" s="23"/>
      <c r="I2327" s="124">
        <f>H2327*G2327</f>
        <v>0</v>
      </c>
      <c r="J2327" s="21"/>
      <c r="K2327" s="24" t="s">
        <v>3794</v>
      </c>
    </row>
    <row r="2328" spans="1:11" ht="42.75" customHeight="1" x14ac:dyDescent="0.25">
      <c r="A2328" s="21" t="s">
        <v>2044</v>
      </c>
      <c r="B2328" s="26" t="s">
        <v>3999</v>
      </c>
      <c r="C2328" s="3" t="s">
        <v>4000</v>
      </c>
      <c r="D2328" s="21"/>
      <c r="E2328" s="21" t="s">
        <v>3996</v>
      </c>
      <c r="F2328" s="3" t="s">
        <v>78</v>
      </c>
      <c r="G2328" s="3">
        <v>1</v>
      </c>
      <c r="H2328" s="23"/>
      <c r="I2328" s="124">
        <f>H2328*G2328</f>
        <v>0</v>
      </c>
      <c r="J2328" s="21"/>
      <c r="K2328" s="24"/>
    </row>
    <row r="2329" spans="1:11" ht="15.75" customHeight="1" x14ac:dyDescent="0.25">
      <c r="A2329" s="42"/>
      <c r="B2329" s="20" t="s">
        <v>3793</v>
      </c>
      <c r="C2329" s="22"/>
      <c r="D2329" s="21"/>
      <c r="E2329" s="21"/>
      <c r="F2329" s="22"/>
      <c r="G2329" s="21"/>
      <c r="H2329" s="23"/>
      <c r="I2329" s="124"/>
      <c r="J2329" s="21"/>
      <c r="K2329" s="24"/>
    </row>
    <row r="2330" spans="1:11" ht="42.75" customHeight="1" x14ac:dyDescent="0.25">
      <c r="A2330" s="21" t="s">
        <v>2086</v>
      </c>
      <c r="B2330" s="26" t="s">
        <v>4001</v>
      </c>
      <c r="C2330" s="3" t="s">
        <v>4002</v>
      </c>
      <c r="D2330" s="21"/>
      <c r="E2330" s="21" t="s">
        <v>3797</v>
      </c>
      <c r="F2330" s="3" t="s">
        <v>89</v>
      </c>
      <c r="G2330" s="3">
        <v>400</v>
      </c>
      <c r="H2330" s="23"/>
      <c r="I2330" s="124">
        <f>H2330*G2330</f>
        <v>0</v>
      </c>
      <c r="J2330" s="21"/>
      <c r="K2330" s="24"/>
    </row>
    <row r="2331" spans="1:11" ht="15.75" customHeight="1" x14ac:dyDescent="0.25">
      <c r="A2331" s="42" t="s">
        <v>2093</v>
      </c>
      <c r="B2331" s="20" t="s">
        <v>4003</v>
      </c>
      <c r="C2331" s="22"/>
      <c r="D2331" s="21"/>
      <c r="E2331" s="21"/>
      <c r="F2331" s="22"/>
      <c r="G2331" s="21"/>
      <c r="H2331" s="23"/>
      <c r="I2331" s="124"/>
      <c r="J2331" s="21"/>
      <c r="K2331" s="24"/>
    </row>
    <row r="2332" spans="1:11" ht="15.75" customHeight="1" x14ac:dyDescent="0.25">
      <c r="A2332" s="21"/>
      <c r="B2332" s="26" t="s">
        <v>4004</v>
      </c>
      <c r="C2332" s="3" t="s">
        <v>4005</v>
      </c>
      <c r="D2332" s="21"/>
      <c r="E2332" s="21" t="s">
        <v>4006</v>
      </c>
      <c r="F2332" s="3" t="s">
        <v>89</v>
      </c>
      <c r="G2332" s="3">
        <v>80</v>
      </c>
      <c r="H2332" s="23"/>
      <c r="I2332" s="124">
        <f>H2332*G2332</f>
        <v>0</v>
      </c>
      <c r="J2332" s="21"/>
      <c r="K2332" s="24"/>
    </row>
    <row r="2333" spans="1:11" ht="15.75" customHeight="1" x14ac:dyDescent="0.25">
      <c r="A2333" s="21"/>
      <c r="B2333" s="26" t="s">
        <v>4007</v>
      </c>
      <c r="C2333" s="3"/>
      <c r="D2333" s="21"/>
      <c r="E2333" s="21"/>
      <c r="F2333" s="3" t="s">
        <v>89</v>
      </c>
      <c r="G2333" s="3">
        <v>80</v>
      </c>
      <c r="H2333" s="23"/>
      <c r="I2333" s="124">
        <f>H2333*G2333</f>
        <v>0</v>
      </c>
      <c r="J2333" s="21"/>
      <c r="K2333" s="24"/>
    </row>
    <row r="2334" spans="1:11" ht="15.75" customHeight="1" x14ac:dyDescent="0.25">
      <c r="A2334" s="21"/>
      <c r="B2334" s="26" t="s">
        <v>4008</v>
      </c>
      <c r="C2334" s="3"/>
      <c r="D2334" s="21"/>
      <c r="E2334" s="21"/>
      <c r="F2334" s="3" t="s">
        <v>78</v>
      </c>
      <c r="G2334" s="3">
        <v>240</v>
      </c>
      <c r="H2334" s="23"/>
      <c r="I2334" s="124">
        <f>H2334*G2334</f>
        <v>0</v>
      </c>
      <c r="J2334" s="21"/>
      <c r="K2334" s="24"/>
    </row>
    <row r="2335" spans="1:11" ht="15.75" customHeight="1" x14ac:dyDescent="0.25">
      <c r="A2335" s="21"/>
      <c r="B2335" s="26" t="s">
        <v>4009</v>
      </c>
      <c r="C2335" s="3"/>
      <c r="D2335" s="21"/>
      <c r="E2335" s="21"/>
      <c r="F2335" s="3" t="s">
        <v>78</v>
      </c>
      <c r="G2335" s="3">
        <v>240</v>
      </c>
      <c r="H2335" s="23"/>
      <c r="I2335" s="124">
        <f>H2335*G2335</f>
        <v>0</v>
      </c>
      <c r="J2335" s="21"/>
      <c r="K2335" s="24"/>
    </row>
    <row r="2336" spans="1:11" ht="15.75" customHeight="1" x14ac:dyDescent="0.25">
      <c r="A2336" s="42"/>
      <c r="B2336" s="20" t="s">
        <v>3807</v>
      </c>
      <c r="C2336" s="22"/>
      <c r="D2336" s="21"/>
      <c r="E2336" s="21"/>
      <c r="F2336" s="22"/>
      <c r="G2336" s="21"/>
      <c r="H2336" s="23"/>
      <c r="I2336" s="124"/>
      <c r="J2336" s="21"/>
      <c r="K2336" s="24"/>
    </row>
    <row r="2337" spans="1:11" ht="15.75" customHeight="1" x14ac:dyDescent="0.25">
      <c r="A2337" s="21" t="s">
        <v>1995</v>
      </c>
      <c r="B2337" s="26" t="s">
        <v>3808</v>
      </c>
      <c r="C2337" s="3" t="s">
        <v>2867</v>
      </c>
      <c r="D2337" s="21"/>
      <c r="E2337" s="21" t="s">
        <v>4010</v>
      </c>
      <c r="F2337" s="3" t="s">
        <v>89</v>
      </c>
      <c r="G2337" s="3">
        <v>400</v>
      </c>
      <c r="H2337" s="23"/>
      <c r="I2337" s="124">
        <f>H2337*G2337</f>
        <v>0</v>
      </c>
      <c r="J2337" s="21"/>
      <c r="K2337" s="24"/>
    </row>
    <row r="2338" spans="1:11" ht="15.75" customHeight="1" x14ac:dyDescent="0.25">
      <c r="A2338" s="21" t="s">
        <v>1999</v>
      </c>
      <c r="B2338" s="26" t="s">
        <v>3809</v>
      </c>
      <c r="C2338" s="3" t="s">
        <v>3810</v>
      </c>
      <c r="D2338" s="21"/>
      <c r="E2338" s="3" t="s">
        <v>292</v>
      </c>
      <c r="F2338" s="3" t="s">
        <v>78</v>
      </c>
      <c r="G2338" s="3">
        <v>1200</v>
      </c>
      <c r="H2338" s="23"/>
      <c r="I2338" s="124">
        <f>H2338*G2338</f>
        <v>0</v>
      </c>
      <c r="J2338" s="21"/>
      <c r="K2338" s="24"/>
    </row>
    <row r="2339" spans="1:11" ht="15.75" customHeight="1" x14ac:dyDescent="0.25">
      <c r="A2339" s="42" t="s">
        <v>485</v>
      </c>
      <c r="B2339" s="20" t="s">
        <v>4011</v>
      </c>
      <c r="C2339" s="22"/>
      <c r="D2339" s="21"/>
      <c r="E2339" s="21"/>
      <c r="F2339" s="22"/>
      <c r="G2339" s="21"/>
      <c r="H2339" s="23"/>
      <c r="I2339" s="124"/>
      <c r="J2339" s="21"/>
      <c r="K2339" s="24"/>
    </row>
    <row r="2340" spans="1:11" ht="15.75" customHeight="1" x14ac:dyDescent="0.25">
      <c r="A2340" s="42"/>
      <c r="B2340" s="20" t="s">
        <v>3908</v>
      </c>
      <c r="C2340" s="22"/>
      <c r="D2340" s="21"/>
      <c r="E2340" s="21"/>
      <c r="F2340" s="22"/>
      <c r="G2340" s="21"/>
      <c r="H2340" s="23"/>
      <c r="I2340" s="124"/>
      <c r="J2340" s="21"/>
      <c r="K2340" s="24"/>
    </row>
    <row r="2341" spans="1:11" ht="15.75" customHeight="1" x14ac:dyDescent="0.25">
      <c r="A2341" s="21" t="s">
        <v>1943</v>
      </c>
      <c r="B2341" s="26" t="s">
        <v>4012</v>
      </c>
      <c r="C2341" s="3" t="s">
        <v>4013</v>
      </c>
      <c r="D2341" s="21"/>
      <c r="E2341" s="21" t="s">
        <v>4014</v>
      </c>
      <c r="F2341" s="3" t="s">
        <v>78</v>
      </c>
      <c r="G2341" s="3">
        <v>2</v>
      </c>
      <c r="H2341" s="23"/>
      <c r="I2341" s="124">
        <f>H2341*G2341</f>
        <v>0</v>
      </c>
      <c r="J2341" s="21"/>
      <c r="K2341" s="24" t="s">
        <v>4015</v>
      </c>
    </row>
    <row r="2342" spans="1:11" ht="15.75" customHeight="1" x14ac:dyDescent="0.25">
      <c r="A2342" s="42"/>
      <c r="B2342" s="20" t="s">
        <v>3920</v>
      </c>
      <c r="C2342" s="22"/>
      <c r="D2342" s="21"/>
      <c r="E2342" s="21"/>
      <c r="F2342" s="22"/>
      <c r="G2342" s="21"/>
      <c r="H2342" s="23"/>
      <c r="I2342" s="124"/>
      <c r="J2342" s="21"/>
      <c r="K2342" s="24" t="s">
        <v>3794</v>
      </c>
    </row>
    <row r="2343" spans="1:11" ht="28.5" customHeight="1" x14ac:dyDescent="0.25">
      <c r="A2343" s="21" t="s">
        <v>2086</v>
      </c>
      <c r="B2343" s="26" t="s">
        <v>4016</v>
      </c>
      <c r="C2343" s="3"/>
      <c r="D2343" s="21"/>
      <c r="E2343" s="21"/>
      <c r="F2343" s="3"/>
      <c r="G2343" s="3"/>
      <c r="H2343" s="23"/>
      <c r="I2343" s="124"/>
      <c r="J2343" s="21"/>
      <c r="K2343" s="24" t="s">
        <v>4017</v>
      </c>
    </row>
    <row r="2344" spans="1:11" ht="28.5" customHeight="1" x14ac:dyDescent="0.25">
      <c r="A2344" s="21" t="s">
        <v>2093</v>
      </c>
      <c r="B2344" s="26" t="s">
        <v>4018</v>
      </c>
      <c r="C2344" s="3" t="s">
        <v>4019</v>
      </c>
      <c r="D2344" s="21"/>
      <c r="E2344" s="21" t="s">
        <v>4020</v>
      </c>
      <c r="F2344" s="3" t="s">
        <v>78</v>
      </c>
      <c r="G2344" s="3">
        <v>1</v>
      </c>
      <c r="H2344" s="23"/>
      <c r="I2344" s="124">
        <f t="shared" ref="I2344:I2378" si="91">H2344*G2344</f>
        <v>0</v>
      </c>
      <c r="J2344" s="21"/>
      <c r="K2344" s="24" t="s">
        <v>3794</v>
      </c>
    </row>
    <row r="2345" spans="1:11" ht="15.75" customHeight="1" x14ac:dyDescent="0.25">
      <c r="A2345" s="21" t="s">
        <v>2097</v>
      </c>
      <c r="B2345" s="26" t="s">
        <v>3925</v>
      </c>
      <c r="C2345" s="3"/>
      <c r="D2345" s="21" t="s">
        <v>3926</v>
      </c>
      <c r="E2345" s="21" t="s">
        <v>4020</v>
      </c>
      <c r="F2345" s="3" t="s">
        <v>78</v>
      </c>
      <c r="G2345" s="3">
        <v>5</v>
      </c>
      <c r="H2345" s="23"/>
      <c r="I2345" s="124">
        <f t="shared" si="91"/>
        <v>0</v>
      </c>
      <c r="J2345" s="21"/>
      <c r="K2345" s="24" t="s">
        <v>3794</v>
      </c>
    </row>
    <row r="2346" spans="1:11" ht="15.75" customHeight="1" x14ac:dyDescent="0.25">
      <c r="A2346" s="21" t="s">
        <v>2101</v>
      </c>
      <c r="B2346" s="26" t="s">
        <v>3927</v>
      </c>
      <c r="C2346" s="3" t="s">
        <v>3928</v>
      </c>
      <c r="D2346" s="21" t="s">
        <v>3929</v>
      </c>
      <c r="E2346" s="21" t="s">
        <v>3930</v>
      </c>
      <c r="F2346" s="3" t="s">
        <v>78</v>
      </c>
      <c r="G2346" s="3">
        <v>20</v>
      </c>
      <c r="H2346" s="23"/>
      <c r="I2346" s="124">
        <f t="shared" si="91"/>
        <v>0</v>
      </c>
      <c r="J2346" s="21"/>
      <c r="K2346" s="24"/>
    </row>
    <row r="2347" spans="1:11" ht="15.75" customHeight="1" x14ac:dyDescent="0.25">
      <c r="A2347" s="21" t="s">
        <v>2105</v>
      </c>
      <c r="B2347" s="26" t="s">
        <v>3931</v>
      </c>
      <c r="C2347" s="3"/>
      <c r="D2347" s="21" t="s">
        <v>4021</v>
      </c>
      <c r="E2347" s="3" t="s">
        <v>292</v>
      </c>
      <c r="F2347" s="3" t="s">
        <v>78</v>
      </c>
      <c r="G2347" s="3">
        <v>4</v>
      </c>
      <c r="H2347" s="23"/>
      <c r="I2347" s="124">
        <f t="shared" si="91"/>
        <v>0</v>
      </c>
      <c r="J2347" s="21"/>
      <c r="K2347" s="24"/>
    </row>
    <row r="2348" spans="1:11" ht="15.75" customHeight="1" x14ac:dyDescent="0.25">
      <c r="A2348" s="21" t="s">
        <v>2106</v>
      </c>
      <c r="B2348" s="26" t="s">
        <v>3955</v>
      </c>
      <c r="C2348" s="3"/>
      <c r="D2348" s="21"/>
      <c r="E2348" s="21"/>
      <c r="F2348" s="3" t="s">
        <v>78</v>
      </c>
      <c r="G2348" s="3">
        <v>35</v>
      </c>
      <c r="H2348" s="23"/>
      <c r="I2348" s="124">
        <f t="shared" si="91"/>
        <v>0</v>
      </c>
      <c r="J2348" s="21"/>
      <c r="K2348" s="24"/>
    </row>
    <row r="2349" spans="1:11" ht="15.75" customHeight="1" x14ac:dyDescent="0.25">
      <c r="A2349" s="21" t="s">
        <v>2108</v>
      </c>
      <c r="B2349" s="26" t="s">
        <v>4022</v>
      </c>
      <c r="C2349" s="3" t="s">
        <v>4023</v>
      </c>
      <c r="D2349" s="21"/>
      <c r="E2349" s="21" t="s">
        <v>4014</v>
      </c>
      <c r="F2349" s="3" t="s">
        <v>78</v>
      </c>
      <c r="G2349" s="3">
        <v>1</v>
      </c>
      <c r="H2349" s="23"/>
      <c r="I2349" s="124">
        <f t="shared" si="91"/>
        <v>0</v>
      </c>
      <c r="J2349" s="21"/>
      <c r="K2349" s="24"/>
    </row>
    <row r="2350" spans="1:11" ht="15.75" customHeight="1" x14ac:dyDescent="0.25">
      <c r="A2350" s="21" t="s">
        <v>2110</v>
      </c>
      <c r="B2350" s="26" t="s">
        <v>4024</v>
      </c>
      <c r="C2350" s="3" t="s">
        <v>4025</v>
      </c>
      <c r="D2350" s="21"/>
      <c r="E2350" s="21" t="s">
        <v>4014</v>
      </c>
      <c r="F2350" s="3" t="s">
        <v>78</v>
      </c>
      <c r="G2350" s="3">
        <v>1</v>
      </c>
      <c r="H2350" s="23"/>
      <c r="I2350" s="124">
        <f t="shared" si="91"/>
        <v>0</v>
      </c>
      <c r="J2350" s="21"/>
      <c r="K2350" s="24"/>
    </row>
    <row r="2351" spans="1:11" ht="15.75" customHeight="1" x14ac:dyDescent="0.25">
      <c r="A2351" s="21" t="s">
        <v>2114</v>
      </c>
      <c r="B2351" s="26" t="s">
        <v>4026</v>
      </c>
      <c r="C2351" s="3" t="s">
        <v>4027</v>
      </c>
      <c r="D2351" s="21"/>
      <c r="E2351" s="21" t="s">
        <v>4014</v>
      </c>
      <c r="F2351" s="3" t="s">
        <v>78</v>
      </c>
      <c r="G2351" s="3">
        <v>1</v>
      </c>
      <c r="H2351" s="23"/>
      <c r="I2351" s="124">
        <f t="shared" si="91"/>
        <v>0</v>
      </c>
      <c r="J2351" s="21"/>
      <c r="K2351" s="24"/>
    </row>
    <row r="2352" spans="1:11" ht="15.75" customHeight="1" x14ac:dyDescent="0.25">
      <c r="A2352" s="21" t="s">
        <v>2917</v>
      </c>
      <c r="B2352" s="26" t="s">
        <v>4028</v>
      </c>
      <c r="C2352" s="3" t="s">
        <v>4029</v>
      </c>
      <c r="D2352" s="21"/>
      <c r="E2352" s="21" t="s">
        <v>4030</v>
      </c>
      <c r="F2352" s="3" t="s">
        <v>78</v>
      </c>
      <c r="G2352" s="3">
        <v>16</v>
      </c>
      <c r="H2352" s="23"/>
      <c r="I2352" s="124">
        <f t="shared" si="91"/>
        <v>0</v>
      </c>
      <c r="J2352" s="21"/>
      <c r="K2352" s="24"/>
    </row>
    <row r="2353" spans="1:11" ht="15.75" customHeight="1" x14ac:dyDescent="0.25">
      <c r="A2353" s="21" t="s">
        <v>2920</v>
      </c>
      <c r="B2353" s="26" t="s">
        <v>4031</v>
      </c>
      <c r="C2353" s="3" t="s">
        <v>4032</v>
      </c>
      <c r="D2353" s="21"/>
      <c r="E2353" s="21" t="s">
        <v>4030</v>
      </c>
      <c r="F2353" s="3" t="s">
        <v>78</v>
      </c>
      <c r="G2353" s="3">
        <v>16</v>
      </c>
      <c r="H2353" s="23"/>
      <c r="I2353" s="124">
        <f t="shared" si="91"/>
        <v>0</v>
      </c>
      <c r="J2353" s="21"/>
      <c r="K2353" s="24"/>
    </row>
    <row r="2354" spans="1:11" ht="28.5" customHeight="1" x14ac:dyDescent="0.25">
      <c r="A2354" s="21" t="s">
        <v>2923</v>
      </c>
      <c r="B2354" s="26" t="s">
        <v>4033</v>
      </c>
      <c r="C2354" s="3" t="s">
        <v>4034</v>
      </c>
      <c r="D2354" s="21"/>
      <c r="E2354" s="21" t="s">
        <v>4035</v>
      </c>
      <c r="F2354" s="3" t="s">
        <v>78</v>
      </c>
      <c r="G2354" s="3">
        <v>15</v>
      </c>
      <c r="H2354" s="23"/>
      <c r="I2354" s="124">
        <f t="shared" si="91"/>
        <v>0</v>
      </c>
      <c r="J2354" s="21"/>
      <c r="K2354" s="24"/>
    </row>
    <row r="2355" spans="1:11" ht="15.75" customHeight="1" x14ac:dyDescent="0.25">
      <c r="A2355" s="21" t="s">
        <v>2926</v>
      </c>
      <c r="B2355" s="26" t="s">
        <v>4036</v>
      </c>
      <c r="C2355" s="3" t="s">
        <v>4037</v>
      </c>
      <c r="D2355" s="21"/>
      <c r="E2355" s="21" t="s">
        <v>4035</v>
      </c>
      <c r="F2355" s="3" t="s">
        <v>78</v>
      </c>
      <c r="G2355" s="3">
        <v>15</v>
      </c>
      <c r="H2355" s="23"/>
      <c r="I2355" s="124">
        <f t="shared" si="91"/>
        <v>0</v>
      </c>
      <c r="J2355" s="21"/>
      <c r="K2355" s="24"/>
    </row>
    <row r="2356" spans="1:11" ht="15.75" customHeight="1" x14ac:dyDescent="0.25">
      <c r="A2356" s="21" t="s">
        <v>2929</v>
      </c>
      <c r="B2356" s="26" t="s">
        <v>4038</v>
      </c>
      <c r="C2356" s="3" t="s">
        <v>4039</v>
      </c>
      <c r="D2356" s="21"/>
      <c r="E2356" s="21" t="s">
        <v>4035</v>
      </c>
      <c r="F2356" s="3" t="s">
        <v>78</v>
      </c>
      <c r="G2356" s="3">
        <v>15</v>
      </c>
      <c r="H2356" s="23"/>
      <c r="I2356" s="124">
        <f t="shared" si="91"/>
        <v>0</v>
      </c>
      <c r="J2356" s="21"/>
      <c r="K2356" s="24"/>
    </row>
    <row r="2357" spans="1:11" ht="15.75" customHeight="1" x14ac:dyDescent="0.25">
      <c r="A2357" s="21" t="s">
        <v>2932</v>
      </c>
      <c r="B2357" s="26" t="s">
        <v>4040</v>
      </c>
      <c r="C2357" s="3" t="s">
        <v>4041</v>
      </c>
      <c r="D2357" s="21"/>
      <c r="E2357" s="21" t="s">
        <v>4035</v>
      </c>
      <c r="F2357" s="3" t="s">
        <v>78</v>
      </c>
      <c r="G2357" s="3">
        <v>15</v>
      </c>
      <c r="H2357" s="23"/>
      <c r="I2357" s="124">
        <f t="shared" si="91"/>
        <v>0</v>
      </c>
      <c r="J2357" s="21"/>
      <c r="K2357" s="24"/>
    </row>
    <row r="2358" spans="1:11" ht="15.75" customHeight="1" x14ac:dyDescent="0.25">
      <c r="A2358" s="21" t="s">
        <v>2935</v>
      </c>
      <c r="B2358" s="26" t="s">
        <v>4042</v>
      </c>
      <c r="C2358" s="3" t="s">
        <v>4043</v>
      </c>
      <c r="D2358" s="21" t="s">
        <v>4044</v>
      </c>
      <c r="E2358" s="21" t="s">
        <v>4045</v>
      </c>
      <c r="F2358" s="3" t="s">
        <v>78</v>
      </c>
      <c r="G2358" s="3">
        <v>15</v>
      </c>
      <c r="H2358" s="23"/>
      <c r="I2358" s="124">
        <f t="shared" si="91"/>
        <v>0</v>
      </c>
      <c r="J2358" s="21"/>
      <c r="K2358" s="24"/>
    </row>
    <row r="2359" spans="1:11" ht="28.5" customHeight="1" x14ac:dyDescent="0.25">
      <c r="A2359" s="21" t="s">
        <v>2938</v>
      </c>
      <c r="B2359" s="26" t="s">
        <v>4046</v>
      </c>
      <c r="C2359" s="3" t="s">
        <v>4047</v>
      </c>
      <c r="D2359" s="21"/>
      <c r="E2359" s="21" t="s">
        <v>4048</v>
      </c>
      <c r="F2359" s="3" t="s">
        <v>78</v>
      </c>
      <c r="G2359" s="3">
        <v>5</v>
      </c>
      <c r="H2359" s="23"/>
      <c r="I2359" s="124">
        <f t="shared" si="91"/>
        <v>0</v>
      </c>
      <c r="J2359" s="21"/>
      <c r="K2359" s="24"/>
    </row>
    <row r="2360" spans="1:11" ht="15.75" customHeight="1" x14ac:dyDescent="0.25">
      <c r="A2360" s="21" t="s">
        <v>2941</v>
      </c>
      <c r="B2360" s="26" t="s">
        <v>3935</v>
      </c>
      <c r="C2360" s="3"/>
      <c r="D2360" s="21" t="s">
        <v>3936</v>
      </c>
      <c r="E2360" s="21" t="s">
        <v>3924</v>
      </c>
      <c r="F2360" s="3" t="s">
        <v>78</v>
      </c>
      <c r="G2360" s="3">
        <v>1</v>
      </c>
      <c r="H2360" s="23"/>
      <c r="I2360" s="124">
        <f t="shared" si="91"/>
        <v>0</v>
      </c>
      <c r="J2360" s="21"/>
      <c r="K2360" s="24"/>
    </row>
    <row r="2361" spans="1:11" ht="15.75" customHeight="1" x14ac:dyDescent="0.25">
      <c r="A2361" s="21" t="s">
        <v>2944</v>
      </c>
      <c r="B2361" s="26" t="s">
        <v>3937</v>
      </c>
      <c r="C2361" s="3"/>
      <c r="D2361" s="21" t="s">
        <v>3938</v>
      </c>
      <c r="E2361" s="21" t="s">
        <v>3924</v>
      </c>
      <c r="F2361" s="3" t="s">
        <v>78</v>
      </c>
      <c r="G2361" s="3">
        <v>1</v>
      </c>
      <c r="H2361" s="23">
        <v>400</v>
      </c>
      <c r="I2361" s="124">
        <f t="shared" si="91"/>
        <v>400</v>
      </c>
      <c r="J2361" s="21"/>
      <c r="K2361" s="24"/>
    </row>
    <row r="2362" spans="1:11" ht="15.75" customHeight="1" x14ac:dyDescent="0.25">
      <c r="A2362" s="21" t="s">
        <v>2947</v>
      </c>
      <c r="B2362" s="26" t="s">
        <v>4049</v>
      </c>
      <c r="C2362" s="3" t="s">
        <v>4050</v>
      </c>
      <c r="D2362" s="21" t="s">
        <v>4051</v>
      </c>
      <c r="E2362" s="21" t="s">
        <v>4045</v>
      </c>
      <c r="F2362" s="3" t="s">
        <v>78</v>
      </c>
      <c r="G2362" s="3">
        <v>15</v>
      </c>
      <c r="H2362" s="23"/>
      <c r="I2362" s="124">
        <f t="shared" si="91"/>
        <v>0</v>
      </c>
      <c r="J2362" s="21"/>
      <c r="K2362" s="24"/>
    </row>
    <row r="2363" spans="1:11" ht="15.75" customHeight="1" x14ac:dyDescent="0.25">
      <c r="A2363" s="21" t="s">
        <v>2951</v>
      </c>
      <c r="B2363" s="26" t="s">
        <v>4052</v>
      </c>
      <c r="C2363" s="3"/>
      <c r="D2363" s="21" t="s">
        <v>3934</v>
      </c>
      <c r="E2363" s="21" t="s">
        <v>3924</v>
      </c>
      <c r="F2363" s="3" t="s">
        <v>78</v>
      </c>
      <c r="G2363" s="3">
        <v>1</v>
      </c>
      <c r="H2363" s="23"/>
      <c r="I2363" s="124">
        <f t="shared" si="91"/>
        <v>0</v>
      </c>
      <c r="J2363" s="21"/>
      <c r="K2363" s="24"/>
    </row>
    <row r="2364" spans="1:11" ht="15.75" customHeight="1" x14ac:dyDescent="0.25">
      <c r="A2364" s="21" t="s">
        <v>2956</v>
      </c>
      <c r="B2364" s="26" t="s">
        <v>4053</v>
      </c>
      <c r="C2364" s="3" t="s">
        <v>4054</v>
      </c>
      <c r="D2364" s="21" t="s">
        <v>4055</v>
      </c>
      <c r="E2364" s="21" t="s">
        <v>4045</v>
      </c>
      <c r="F2364" s="3" t="s">
        <v>78</v>
      </c>
      <c r="G2364" s="3">
        <v>4</v>
      </c>
      <c r="H2364" s="23"/>
      <c r="I2364" s="124">
        <f t="shared" si="91"/>
        <v>0</v>
      </c>
      <c r="J2364" s="21"/>
      <c r="K2364" s="24"/>
    </row>
    <row r="2365" spans="1:11" ht="15.75" customHeight="1" x14ac:dyDescent="0.25">
      <c r="A2365" s="21" t="s">
        <v>2959</v>
      </c>
      <c r="B2365" s="26" t="s">
        <v>4056</v>
      </c>
      <c r="C2365" s="3" t="s">
        <v>4057</v>
      </c>
      <c r="D2365" s="21"/>
      <c r="E2365" s="21" t="s">
        <v>4030</v>
      </c>
      <c r="F2365" s="3" t="s">
        <v>78</v>
      </c>
      <c r="G2365" s="3">
        <v>60</v>
      </c>
      <c r="H2365" s="23"/>
      <c r="I2365" s="124">
        <f t="shared" si="91"/>
        <v>0</v>
      </c>
      <c r="J2365" s="21"/>
      <c r="K2365" s="24"/>
    </row>
    <row r="2366" spans="1:11" ht="15.75" customHeight="1" x14ac:dyDescent="0.25">
      <c r="A2366" s="21" t="s">
        <v>2963</v>
      </c>
      <c r="B2366" s="26" t="s">
        <v>4058</v>
      </c>
      <c r="C2366" s="3" t="s">
        <v>4059</v>
      </c>
      <c r="D2366" s="21"/>
      <c r="E2366" s="21" t="s">
        <v>4030</v>
      </c>
      <c r="F2366" s="3" t="s">
        <v>78</v>
      </c>
      <c r="G2366" s="3">
        <v>15</v>
      </c>
      <c r="H2366" s="23"/>
      <c r="I2366" s="124">
        <f t="shared" si="91"/>
        <v>0</v>
      </c>
      <c r="J2366" s="21"/>
      <c r="K2366" s="24" t="s">
        <v>3794</v>
      </c>
    </row>
    <row r="2367" spans="1:11" ht="15.75" customHeight="1" x14ac:dyDescent="0.25">
      <c r="A2367" s="21" t="s">
        <v>2966</v>
      </c>
      <c r="B2367" s="26" t="s">
        <v>4060</v>
      </c>
      <c r="C2367" s="3" t="s">
        <v>4061</v>
      </c>
      <c r="D2367" s="21"/>
      <c r="E2367" s="21" t="s">
        <v>4030</v>
      </c>
      <c r="F2367" s="3" t="s">
        <v>78</v>
      </c>
      <c r="G2367" s="3">
        <v>15</v>
      </c>
      <c r="H2367" s="23"/>
      <c r="I2367" s="124">
        <f t="shared" si="91"/>
        <v>0</v>
      </c>
      <c r="J2367" s="21"/>
      <c r="K2367" s="24" t="s">
        <v>3794</v>
      </c>
    </row>
    <row r="2368" spans="1:11" ht="15.75" customHeight="1" x14ac:dyDescent="0.25">
      <c r="A2368" s="21" t="s">
        <v>2969</v>
      </c>
      <c r="B2368" s="26" t="s">
        <v>4062</v>
      </c>
      <c r="C2368" s="3" t="s">
        <v>4063</v>
      </c>
      <c r="D2368" s="21"/>
      <c r="E2368" s="21" t="s">
        <v>4030</v>
      </c>
      <c r="F2368" s="3" t="s">
        <v>78</v>
      </c>
      <c r="G2368" s="3">
        <v>2</v>
      </c>
      <c r="H2368" s="23"/>
      <c r="I2368" s="124">
        <f t="shared" si="91"/>
        <v>0</v>
      </c>
      <c r="J2368" s="21"/>
      <c r="K2368" s="24" t="s">
        <v>3794</v>
      </c>
    </row>
    <row r="2369" spans="1:11" ht="15.75" customHeight="1" x14ac:dyDescent="0.25">
      <c r="A2369" s="21" t="s">
        <v>2972</v>
      </c>
      <c r="B2369" s="26" t="s">
        <v>4064</v>
      </c>
      <c r="C2369" s="3"/>
      <c r="D2369" s="21"/>
      <c r="E2369" s="21" t="s">
        <v>4048</v>
      </c>
      <c r="F2369" s="3" t="s">
        <v>78</v>
      </c>
      <c r="G2369" s="3">
        <v>45</v>
      </c>
      <c r="H2369" s="23"/>
      <c r="I2369" s="124">
        <f t="shared" si="91"/>
        <v>0</v>
      </c>
      <c r="J2369" s="21"/>
      <c r="K2369" s="24" t="s">
        <v>3794</v>
      </c>
    </row>
    <row r="2370" spans="1:11" ht="15.75" customHeight="1" x14ac:dyDescent="0.25">
      <c r="A2370" s="21" t="s">
        <v>2975</v>
      </c>
      <c r="B2370" s="26" t="s">
        <v>4065</v>
      </c>
      <c r="C2370" s="3"/>
      <c r="D2370" s="21"/>
      <c r="E2370" s="21" t="s">
        <v>4048</v>
      </c>
      <c r="F2370" s="3" t="s">
        <v>78</v>
      </c>
      <c r="G2370" s="3">
        <v>1</v>
      </c>
      <c r="H2370" s="23"/>
      <c r="I2370" s="124">
        <f t="shared" si="91"/>
        <v>0</v>
      </c>
      <c r="J2370" s="21"/>
      <c r="K2370" s="24" t="s">
        <v>3794</v>
      </c>
    </row>
    <row r="2371" spans="1:11" ht="15.75" customHeight="1" x14ac:dyDescent="0.25">
      <c r="A2371" s="21" t="s">
        <v>2975</v>
      </c>
      <c r="B2371" s="26" t="s">
        <v>4066</v>
      </c>
      <c r="C2371" s="3"/>
      <c r="D2371" s="21"/>
      <c r="E2371" s="21" t="s">
        <v>4048</v>
      </c>
      <c r="F2371" s="3" t="s">
        <v>78</v>
      </c>
      <c r="G2371" s="3">
        <v>1</v>
      </c>
      <c r="H2371" s="23"/>
      <c r="I2371" s="124">
        <f t="shared" si="91"/>
        <v>0</v>
      </c>
      <c r="J2371" s="21"/>
      <c r="K2371" s="24"/>
    </row>
    <row r="2372" spans="1:11" ht="15.75" customHeight="1" x14ac:dyDescent="0.25">
      <c r="A2372" s="21" t="s">
        <v>2976</v>
      </c>
      <c r="B2372" s="26" t="s">
        <v>4067</v>
      </c>
      <c r="C2372" s="3" t="s">
        <v>4068</v>
      </c>
      <c r="D2372" s="21"/>
      <c r="E2372" s="21" t="s">
        <v>4048</v>
      </c>
      <c r="F2372" s="3" t="s">
        <v>78</v>
      </c>
      <c r="G2372" s="3">
        <v>1</v>
      </c>
      <c r="H2372" s="23"/>
      <c r="I2372" s="124">
        <f t="shared" si="91"/>
        <v>0</v>
      </c>
      <c r="J2372" s="21"/>
      <c r="K2372" s="24"/>
    </row>
    <row r="2373" spans="1:11" ht="15.75" customHeight="1" x14ac:dyDescent="0.25">
      <c r="A2373" s="21" t="s">
        <v>2978</v>
      </c>
      <c r="B2373" s="26" t="s">
        <v>4067</v>
      </c>
      <c r="C2373" s="3" t="s">
        <v>4069</v>
      </c>
      <c r="D2373" s="21"/>
      <c r="E2373" s="21" t="s">
        <v>4048</v>
      </c>
      <c r="F2373" s="3" t="s">
        <v>78</v>
      </c>
      <c r="G2373" s="3">
        <v>15</v>
      </c>
      <c r="H2373" s="23"/>
      <c r="I2373" s="124">
        <f t="shared" si="91"/>
        <v>0</v>
      </c>
      <c r="J2373" s="21"/>
      <c r="K2373" s="24"/>
    </row>
    <row r="2374" spans="1:11" ht="15.75" customHeight="1" x14ac:dyDescent="0.25">
      <c r="A2374" s="21" t="s">
        <v>2979</v>
      </c>
      <c r="B2374" s="26" t="s">
        <v>4067</v>
      </c>
      <c r="C2374" s="3" t="s">
        <v>4070</v>
      </c>
      <c r="D2374" s="21"/>
      <c r="E2374" s="21" t="s">
        <v>4048</v>
      </c>
      <c r="F2374" s="3" t="s">
        <v>78</v>
      </c>
      <c r="G2374" s="3">
        <v>1</v>
      </c>
      <c r="H2374" s="23"/>
      <c r="I2374" s="124">
        <f t="shared" si="91"/>
        <v>0</v>
      </c>
      <c r="J2374" s="21"/>
      <c r="K2374" s="24"/>
    </row>
    <row r="2375" spans="1:11" ht="15.75" customHeight="1" x14ac:dyDescent="0.25">
      <c r="A2375" s="21" t="s">
        <v>2980</v>
      </c>
      <c r="B2375" s="26" t="s">
        <v>3956</v>
      </c>
      <c r="C2375" s="3" t="s">
        <v>3957</v>
      </c>
      <c r="D2375" s="21"/>
      <c r="E2375" s="21"/>
      <c r="F2375" s="3" t="s">
        <v>89</v>
      </c>
      <c r="G2375" s="3">
        <v>20</v>
      </c>
      <c r="H2375" s="23"/>
      <c r="I2375" s="124">
        <f t="shared" si="91"/>
        <v>0</v>
      </c>
      <c r="J2375" s="21"/>
      <c r="K2375" s="24"/>
    </row>
    <row r="2376" spans="1:11" ht="15.75" customHeight="1" x14ac:dyDescent="0.25">
      <c r="A2376" s="21" t="s">
        <v>3629</v>
      </c>
      <c r="B2376" s="26" t="s">
        <v>3958</v>
      </c>
      <c r="C2376" s="3" t="s">
        <v>3957</v>
      </c>
      <c r="D2376" s="21"/>
      <c r="E2376" s="21"/>
      <c r="F2376" s="3" t="s">
        <v>89</v>
      </c>
      <c r="G2376" s="3">
        <v>20</v>
      </c>
      <c r="H2376" s="23"/>
      <c r="I2376" s="124">
        <f t="shared" si="91"/>
        <v>0</v>
      </c>
      <c r="J2376" s="21"/>
      <c r="K2376" s="24"/>
    </row>
    <row r="2377" spans="1:11" ht="15.75" customHeight="1" x14ac:dyDescent="0.25">
      <c r="A2377" s="21" t="s">
        <v>3632</v>
      </c>
      <c r="B2377" s="26" t="s">
        <v>3959</v>
      </c>
      <c r="C2377" s="3" t="s">
        <v>3957</v>
      </c>
      <c r="D2377" s="21"/>
      <c r="E2377" s="21"/>
      <c r="F2377" s="3" t="s">
        <v>89</v>
      </c>
      <c r="G2377" s="3">
        <v>20</v>
      </c>
      <c r="H2377" s="23"/>
      <c r="I2377" s="124">
        <f t="shared" si="91"/>
        <v>0</v>
      </c>
      <c r="J2377" s="21"/>
      <c r="K2377" s="24"/>
    </row>
    <row r="2378" spans="1:11" ht="15.75" customHeight="1" x14ac:dyDescent="0.25">
      <c r="A2378" s="21" t="s">
        <v>3634</v>
      </c>
      <c r="B2378" s="26" t="s">
        <v>3960</v>
      </c>
      <c r="C2378" s="3" t="s">
        <v>3961</v>
      </c>
      <c r="D2378" s="21" t="s">
        <v>3962</v>
      </c>
      <c r="E2378" s="21" t="s">
        <v>3963</v>
      </c>
      <c r="F2378" s="3" t="s">
        <v>120</v>
      </c>
      <c r="G2378" s="3">
        <v>2</v>
      </c>
      <c r="H2378" s="23"/>
      <c r="I2378" s="124">
        <f t="shared" si="91"/>
        <v>0</v>
      </c>
      <c r="J2378" s="21"/>
      <c r="K2378" s="24"/>
    </row>
    <row r="2379" spans="1:11" ht="15.75" customHeight="1" x14ac:dyDescent="0.25">
      <c r="A2379" s="42" t="s">
        <v>3637</v>
      </c>
      <c r="B2379" s="20" t="s">
        <v>4071</v>
      </c>
      <c r="C2379" s="22"/>
      <c r="D2379" s="21"/>
      <c r="E2379" s="21"/>
      <c r="F2379" s="22"/>
      <c r="G2379" s="21"/>
      <c r="H2379" s="23"/>
      <c r="I2379" s="124"/>
      <c r="J2379" s="21"/>
      <c r="K2379" s="24" t="s">
        <v>4072</v>
      </c>
    </row>
    <row r="2380" spans="1:11" ht="28.5" customHeight="1" x14ac:dyDescent="0.25">
      <c r="A2380" s="21" t="s">
        <v>3640</v>
      </c>
      <c r="B2380" s="26" t="s">
        <v>4018</v>
      </c>
      <c r="C2380" s="3" t="s">
        <v>4019</v>
      </c>
      <c r="D2380" s="21" t="s">
        <v>4019</v>
      </c>
      <c r="E2380" s="3" t="s">
        <v>292</v>
      </c>
      <c r="F2380" s="3" t="s">
        <v>78</v>
      </c>
      <c r="G2380" s="3">
        <v>1</v>
      </c>
      <c r="H2380" s="23"/>
      <c r="I2380" s="124">
        <f t="shared" ref="I2380:I2414" si="92">H2380*G2380</f>
        <v>0</v>
      </c>
      <c r="J2380" s="21"/>
      <c r="K2380" s="24"/>
    </row>
    <row r="2381" spans="1:11" ht="15.75" customHeight="1" x14ac:dyDescent="0.25">
      <c r="A2381" s="21" t="s">
        <v>3641</v>
      </c>
      <c r="B2381" s="26" t="s">
        <v>3925</v>
      </c>
      <c r="C2381" s="3"/>
      <c r="D2381" s="21" t="s">
        <v>3926</v>
      </c>
      <c r="E2381" s="3" t="s">
        <v>292</v>
      </c>
      <c r="F2381" s="3" t="s">
        <v>78</v>
      </c>
      <c r="G2381" s="3">
        <v>5</v>
      </c>
      <c r="H2381" s="23"/>
      <c r="I2381" s="124">
        <f t="shared" si="92"/>
        <v>0</v>
      </c>
      <c r="J2381" s="21"/>
      <c r="K2381" s="24"/>
    </row>
    <row r="2382" spans="1:11" ht="15.75" customHeight="1" x14ac:dyDescent="0.25">
      <c r="A2382" s="21" t="s">
        <v>3642</v>
      </c>
      <c r="B2382" s="26" t="s">
        <v>3927</v>
      </c>
      <c r="C2382" s="3" t="s">
        <v>3928</v>
      </c>
      <c r="D2382" s="21" t="s">
        <v>3929</v>
      </c>
      <c r="E2382" s="21" t="s">
        <v>3930</v>
      </c>
      <c r="F2382" s="3" t="s">
        <v>78</v>
      </c>
      <c r="G2382" s="3">
        <v>20</v>
      </c>
      <c r="H2382" s="23"/>
      <c r="I2382" s="124">
        <f t="shared" si="92"/>
        <v>0</v>
      </c>
      <c r="J2382" s="21"/>
      <c r="K2382" s="24"/>
    </row>
    <row r="2383" spans="1:11" ht="15.75" customHeight="1" x14ac:dyDescent="0.25">
      <c r="A2383" s="21" t="s">
        <v>3643</v>
      </c>
      <c r="B2383" s="26" t="s">
        <v>3931</v>
      </c>
      <c r="C2383" s="3"/>
      <c r="D2383" s="21" t="s">
        <v>4021</v>
      </c>
      <c r="E2383" s="3" t="s">
        <v>292</v>
      </c>
      <c r="F2383" s="3" t="s">
        <v>78</v>
      </c>
      <c r="G2383" s="3">
        <v>4</v>
      </c>
      <c r="H2383" s="23"/>
      <c r="I2383" s="124">
        <f t="shared" si="92"/>
        <v>0</v>
      </c>
      <c r="J2383" s="21"/>
      <c r="K2383" s="24"/>
    </row>
    <row r="2384" spans="1:11" ht="15.75" customHeight="1" x14ac:dyDescent="0.25">
      <c r="A2384" s="21" t="s">
        <v>3644</v>
      </c>
      <c r="B2384" s="26" t="s">
        <v>3955</v>
      </c>
      <c r="C2384" s="3"/>
      <c r="D2384" s="21"/>
      <c r="E2384" s="21"/>
      <c r="F2384" s="3" t="s">
        <v>78</v>
      </c>
      <c r="G2384" s="3">
        <v>30</v>
      </c>
      <c r="H2384" s="23"/>
      <c r="I2384" s="124">
        <f t="shared" si="92"/>
        <v>0</v>
      </c>
      <c r="J2384" s="21"/>
      <c r="K2384" s="24"/>
    </row>
    <row r="2385" spans="1:11" ht="15.75" customHeight="1" x14ac:dyDescent="0.25">
      <c r="A2385" s="21" t="s">
        <v>3645</v>
      </c>
      <c r="B2385" s="26" t="s">
        <v>4022</v>
      </c>
      <c r="C2385" s="3" t="s">
        <v>4023</v>
      </c>
      <c r="D2385" s="21"/>
      <c r="E2385" s="21" t="s">
        <v>4014</v>
      </c>
      <c r="F2385" s="3" t="s">
        <v>78</v>
      </c>
      <c r="G2385" s="3">
        <v>1</v>
      </c>
      <c r="H2385" s="23"/>
      <c r="I2385" s="124">
        <f t="shared" si="92"/>
        <v>0</v>
      </c>
      <c r="J2385" s="21"/>
      <c r="K2385" s="24"/>
    </row>
    <row r="2386" spans="1:11" ht="15.75" customHeight="1" x14ac:dyDescent="0.25">
      <c r="A2386" s="21" t="s">
        <v>3646</v>
      </c>
      <c r="B2386" s="26" t="s">
        <v>4024</v>
      </c>
      <c r="C2386" s="3" t="s">
        <v>4025</v>
      </c>
      <c r="D2386" s="21"/>
      <c r="E2386" s="21" t="s">
        <v>4014</v>
      </c>
      <c r="F2386" s="3" t="s">
        <v>78</v>
      </c>
      <c r="G2386" s="3">
        <v>1</v>
      </c>
      <c r="H2386" s="23"/>
      <c r="I2386" s="124">
        <f t="shared" si="92"/>
        <v>0</v>
      </c>
      <c r="J2386" s="21"/>
      <c r="K2386" s="24"/>
    </row>
    <row r="2387" spans="1:11" ht="15.75" customHeight="1" x14ac:dyDescent="0.25">
      <c r="A2387" s="21" t="s">
        <v>3647</v>
      </c>
      <c r="B2387" s="26" t="s">
        <v>4026</v>
      </c>
      <c r="C2387" s="3" t="s">
        <v>4027</v>
      </c>
      <c r="D2387" s="21"/>
      <c r="E2387" s="21" t="s">
        <v>4014</v>
      </c>
      <c r="F2387" s="3" t="s">
        <v>78</v>
      </c>
      <c r="G2387" s="3">
        <v>1</v>
      </c>
      <c r="H2387" s="23"/>
      <c r="I2387" s="124">
        <f t="shared" si="92"/>
        <v>0</v>
      </c>
      <c r="J2387" s="21"/>
      <c r="K2387" s="24"/>
    </row>
    <row r="2388" spans="1:11" ht="15.75" customHeight="1" x14ac:dyDescent="0.25">
      <c r="A2388" s="21" t="s">
        <v>3648</v>
      </c>
      <c r="B2388" s="26" t="s">
        <v>4028</v>
      </c>
      <c r="C2388" s="3" t="s">
        <v>4029</v>
      </c>
      <c r="D2388" s="21"/>
      <c r="E2388" s="21" t="s">
        <v>4030</v>
      </c>
      <c r="F2388" s="3" t="s">
        <v>78</v>
      </c>
      <c r="G2388" s="3">
        <v>13</v>
      </c>
      <c r="H2388" s="23"/>
      <c r="I2388" s="124">
        <f t="shared" si="92"/>
        <v>0</v>
      </c>
      <c r="J2388" s="21"/>
      <c r="K2388" s="24"/>
    </row>
    <row r="2389" spans="1:11" ht="15.75" customHeight="1" x14ac:dyDescent="0.25">
      <c r="A2389" s="21" t="s">
        <v>3649</v>
      </c>
      <c r="B2389" s="26" t="s">
        <v>4031</v>
      </c>
      <c r="C2389" s="3" t="s">
        <v>4032</v>
      </c>
      <c r="D2389" s="21"/>
      <c r="E2389" s="21" t="s">
        <v>4030</v>
      </c>
      <c r="F2389" s="3" t="s">
        <v>78</v>
      </c>
      <c r="G2389" s="3">
        <v>13</v>
      </c>
      <c r="H2389" s="23"/>
      <c r="I2389" s="124">
        <f t="shared" si="92"/>
        <v>0</v>
      </c>
      <c r="J2389" s="21"/>
      <c r="K2389" s="24"/>
    </row>
    <row r="2390" spans="1:11" ht="28.5" customHeight="1" x14ac:dyDescent="0.25">
      <c r="A2390" s="21" t="s">
        <v>3650</v>
      </c>
      <c r="B2390" s="26" t="s">
        <v>4033</v>
      </c>
      <c r="C2390" s="3" t="s">
        <v>4034</v>
      </c>
      <c r="D2390" s="21"/>
      <c r="E2390" s="21" t="s">
        <v>4035</v>
      </c>
      <c r="F2390" s="3" t="s">
        <v>78</v>
      </c>
      <c r="G2390" s="3">
        <v>12</v>
      </c>
      <c r="H2390" s="23"/>
      <c r="I2390" s="124">
        <f t="shared" si="92"/>
        <v>0</v>
      </c>
      <c r="J2390" s="21"/>
      <c r="K2390" s="24"/>
    </row>
    <row r="2391" spans="1:11" ht="15.75" customHeight="1" x14ac:dyDescent="0.25">
      <c r="A2391" s="21" t="s">
        <v>3651</v>
      </c>
      <c r="B2391" s="26" t="s">
        <v>4036</v>
      </c>
      <c r="C2391" s="3" t="s">
        <v>4037</v>
      </c>
      <c r="D2391" s="21"/>
      <c r="E2391" s="21" t="s">
        <v>4035</v>
      </c>
      <c r="F2391" s="3" t="s">
        <v>78</v>
      </c>
      <c r="G2391" s="3">
        <v>12</v>
      </c>
      <c r="H2391" s="23"/>
      <c r="I2391" s="124">
        <f t="shared" si="92"/>
        <v>0</v>
      </c>
      <c r="J2391" s="21"/>
      <c r="K2391" s="24" t="s">
        <v>3794</v>
      </c>
    </row>
    <row r="2392" spans="1:11" ht="15.75" customHeight="1" x14ac:dyDescent="0.25">
      <c r="A2392" s="21" t="s">
        <v>3652</v>
      </c>
      <c r="B2392" s="26" t="s">
        <v>4038</v>
      </c>
      <c r="C2392" s="3" t="s">
        <v>4039</v>
      </c>
      <c r="D2392" s="21"/>
      <c r="E2392" s="21" t="s">
        <v>4035</v>
      </c>
      <c r="F2392" s="3" t="s">
        <v>78</v>
      </c>
      <c r="G2392" s="3">
        <v>12</v>
      </c>
      <c r="H2392" s="23"/>
      <c r="I2392" s="124">
        <f t="shared" si="92"/>
        <v>0</v>
      </c>
      <c r="J2392" s="21"/>
      <c r="K2392" s="24" t="s">
        <v>3794</v>
      </c>
    </row>
    <row r="2393" spans="1:11" ht="15.75" customHeight="1" x14ac:dyDescent="0.25">
      <c r="A2393" s="21" t="s">
        <v>3653</v>
      </c>
      <c r="B2393" s="26" t="s">
        <v>4040</v>
      </c>
      <c r="C2393" s="3" t="s">
        <v>4041</v>
      </c>
      <c r="D2393" s="21"/>
      <c r="E2393" s="21" t="s">
        <v>4035</v>
      </c>
      <c r="F2393" s="3" t="s">
        <v>78</v>
      </c>
      <c r="G2393" s="3">
        <v>12</v>
      </c>
      <c r="H2393" s="23"/>
      <c r="I2393" s="124">
        <f t="shared" si="92"/>
        <v>0</v>
      </c>
      <c r="J2393" s="21"/>
      <c r="K2393" s="24" t="s">
        <v>3794</v>
      </c>
    </row>
    <row r="2394" spans="1:11" ht="15.75" customHeight="1" x14ac:dyDescent="0.25">
      <c r="A2394" s="21" t="s">
        <v>3654</v>
      </c>
      <c r="B2394" s="26" t="s">
        <v>4042</v>
      </c>
      <c r="C2394" s="3" t="s">
        <v>4043</v>
      </c>
      <c r="D2394" s="21" t="s">
        <v>4044</v>
      </c>
      <c r="E2394" s="21" t="s">
        <v>4045</v>
      </c>
      <c r="F2394" s="3" t="s">
        <v>78</v>
      </c>
      <c r="G2394" s="3">
        <v>12</v>
      </c>
      <c r="H2394" s="23"/>
      <c r="I2394" s="124">
        <f t="shared" si="92"/>
        <v>0</v>
      </c>
      <c r="J2394" s="21"/>
      <c r="K2394" s="24" t="s">
        <v>3794</v>
      </c>
    </row>
    <row r="2395" spans="1:11" ht="28.5" customHeight="1" x14ac:dyDescent="0.25">
      <c r="A2395" s="21" t="s">
        <v>4073</v>
      </c>
      <c r="B2395" s="26" t="s">
        <v>4046</v>
      </c>
      <c r="C2395" s="3" t="s">
        <v>4047</v>
      </c>
      <c r="D2395" s="21"/>
      <c r="E2395" s="21" t="s">
        <v>4048</v>
      </c>
      <c r="F2395" s="3" t="s">
        <v>78</v>
      </c>
      <c r="G2395" s="3">
        <v>4</v>
      </c>
      <c r="H2395" s="23"/>
      <c r="I2395" s="124">
        <f t="shared" si="92"/>
        <v>0</v>
      </c>
      <c r="J2395" s="21"/>
      <c r="K2395" s="24"/>
    </row>
    <row r="2396" spans="1:11" ht="15.75" customHeight="1" x14ac:dyDescent="0.25">
      <c r="A2396" s="21" t="s">
        <v>4074</v>
      </c>
      <c r="B2396" s="26" t="s">
        <v>3935</v>
      </c>
      <c r="C2396" s="3"/>
      <c r="D2396" s="21" t="s">
        <v>3936</v>
      </c>
      <c r="E2396" s="21" t="s">
        <v>3924</v>
      </c>
      <c r="F2396" s="3" t="s">
        <v>78</v>
      </c>
      <c r="G2396" s="3">
        <v>1</v>
      </c>
      <c r="H2396" s="23"/>
      <c r="I2396" s="124">
        <f t="shared" si="92"/>
        <v>0</v>
      </c>
      <c r="J2396" s="21"/>
      <c r="K2396" s="24"/>
    </row>
    <row r="2397" spans="1:11" ht="15.75" customHeight="1" x14ac:dyDescent="0.25">
      <c r="A2397" s="21" t="s">
        <v>4075</v>
      </c>
      <c r="B2397" s="26" t="s">
        <v>3937</v>
      </c>
      <c r="C2397" s="3"/>
      <c r="D2397" s="21" t="s">
        <v>3938</v>
      </c>
      <c r="E2397" s="21" t="s">
        <v>3924</v>
      </c>
      <c r="F2397" s="3" t="s">
        <v>78</v>
      </c>
      <c r="G2397" s="3">
        <v>1</v>
      </c>
      <c r="H2397" s="23">
        <v>400</v>
      </c>
      <c r="I2397" s="124">
        <f t="shared" si="92"/>
        <v>400</v>
      </c>
      <c r="J2397" s="21"/>
      <c r="K2397" s="24"/>
    </row>
    <row r="2398" spans="1:11" ht="15.75" customHeight="1" x14ac:dyDescent="0.25">
      <c r="A2398" s="21" t="s">
        <v>4076</v>
      </c>
      <c r="B2398" s="26" t="s">
        <v>4049</v>
      </c>
      <c r="C2398" s="3" t="s">
        <v>4050</v>
      </c>
      <c r="D2398" s="21" t="s">
        <v>4051</v>
      </c>
      <c r="E2398" s="21" t="s">
        <v>4045</v>
      </c>
      <c r="F2398" s="3" t="s">
        <v>78</v>
      </c>
      <c r="G2398" s="3">
        <v>12</v>
      </c>
      <c r="H2398" s="23"/>
      <c r="I2398" s="124">
        <f t="shared" si="92"/>
        <v>0</v>
      </c>
      <c r="J2398" s="21"/>
      <c r="K2398" s="24"/>
    </row>
    <row r="2399" spans="1:11" ht="15.75" customHeight="1" x14ac:dyDescent="0.25">
      <c r="A2399" s="21" t="s">
        <v>4077</v>
      </c>
      <c r="B2399" s="26" t="s">
        <v>4052</v>
      </c>
      <c r="C2399" s="3"/>
      <c r="D2399" s="21" t="s">
        <v>3934</v>
      </c>
      <c r="E2399" s="21" t="s">
        <v>3924</v>
      </c>
      <c r="F2399" s="3" t="s">
        <v>78</v>
      </c>
      <c r="G2399" s="3">
        <v>1</v>
      </c>
      <c r="H2399" s="23"/>
      <c r="I2399" s="124">
        <f t="shared" si="92"/>
        <v>0</v>
      </c>
      <c r="J2399" s="21"/>
      <c r="K2399" s="24"/>
    </row>
    <row r="2400" spans="1:11" ht="15.75" customHeight="1" x14ac:dyDescent="0.25">
      <c r="A2400" s="21" t="s">
        <v>4078</v>
      </c>
      <c r="B2400" s="26" t="s">
        <v>4053</v>
      </c>
      <c r="C2400" s="3" t="s">
        <v>4054</v>
      </c>
      <c r="D2400" s="21" t="s">
        <v>4055</v>
      </c>
      <c r="E2400" s="21" t="s">
        <v>4045</v>
      </c>
      <c r="F2400" s="3" t="s">
        <v>78</v>
      </c>
      <c r="G2400" s="3">
        <v>4</v>
      </c>
      <c r="H2400" s="23"/>
      <c r="I2400" s="124">
        <f t="shared" si="92"/>
        <v>0</v>
      </c>
      <c r="J2400" s="21"/>
      <c r="K2400" s="24"/>
    </row>
    <row r="2401" spans="1:11" ht="15.75" customHeight="1" x14ac:dyDescent="0.25">
      <c r="A2401" s="21" t="s">
        <v>4079</v>
      </c>
      <c r="B2401" s="26" t="s">
        <v>4056</v>
      </c>
      <c r="C2401" s="3" t="s">
        <v>4057</v>
      </c>
      <c r="D2401" s="21"/>
      <c r="E2401" s="21" t="s">
        <v>4030</v>
      </c>
      <c r="F2401" s="3" t="s">
        <v>78</v>
      </c>
      <c r="G2401" s="3">
        <v>48</v>
      </c>
      <c r="H2401" s="23"/>
      <c r="I2401" s="124">
        <f t="shared" si="92"/>
        <v>0</v>
      </c>
      <c r="J2401" s="21"/>
      <c r="K2401" s="24"/>
    </row>
    <row r="2402" spans="1:11" ht="15.75" customHeight="1" x14ac:dyDescent="0.25">
      <c r="A2402" s="21" t="s">
        <v>4080</v>
      </c>
      <c r="B2402" s="26" t="s">
        <v>4058</v>
      </c>
      <c r="C2402" s="3" t="s">
        <v>4059</v>
      </c>
      <c r="D2402" s="21"/>
      <c r="E2402" s="21" t="s">
        <v>4030</v>
      </c>
      <c r="F2402" s="3" t="s">
        <v>78</v>
      </c>
      <c r="G2402" s="3">
        <v>12</v>
      </c>
      <c r="H2402" s="23"/>
      <c r="I2402" s="124">
        <f t="shared" si="92"/>
        <v>0</v>
      </c>
      <c r="J2402" s="21"/>
      <c r="K2402" s="24"/>
    </row>
    <row r="2403" spans="1:11" ht="15.75" customHeight="1" x14ac:dyDescent="0.25">
      <c r="A2403" s="21" t="s">
        <v>4081</v>
      </c>
      <c r="B2403" s="26" t="s">
        <v>4060</v>
      </c>
      <c r="C2403" s="3" t="s">
        <v>4061</v>
      </c>
      <c r="D2403" s="21"/>
      <c r="E2403" s="21" t="s">
        <v>4030</v>
      </c>
      <c r="F2403" s="3" t="s">
        <v>78</v>
      </c>
      <c r="G2403" s="3">
        <v>12</v>
      </c>
      <c r="H2403" s="23"/>
      <c r="I2403" s="124">
        <f t="shared" si="92"/>
        <v>0</v>
      </c>
      <c r="J2403" s="21"/>
      <c r="K2403" s="24"/>
    </row>
    <row r="2404" spans="1:11" ht="15.75" customHeight="1" x14ac:dyDescent="0.25">
      <c r="A2404" s="21" t="s">
        <v>4082</v>
      </c>
      <c r="B2404" s="26" t="s">
        <v>4062</v>
      </c>
      <c r="C2404" s="3" t="s">
        <v>4063</v>
      </c>
      <c r="D2404" s="21"/>
      <c r="E2404" s="21" t="s">
        <v>4030</v>
      </c>
      <c r="F2404" s="3" t="s">
        <v>78</v>
      </c>
      <c r="G2404" s="3">
        <v>2</v>
      </c>
      <c r="H2404" s="23"/>
      <c r="I2404" s="124">
        <f t="shared" si="92"/>
        <v>0</v>
      </c>
      <c r="J2404" s="21"/>
      <c r="K2404" s="24"/>
    </row>
    <row r="2405" spans="1:11" ht="15.75" customHeight="1" x14ac:dyDescent="0.25">
      <c r="A2405" s="21" t="s">
        <v>4083</v>
      </c>
      <c r="B2405" s="26" t="s">
        <v>4064</v>
      </c>
      <c r="C2405" s="3"/>
      <c r="D2405" s="21"/>
      <c r="E2405" s="21" t="s">
        <v>4048</v>
      </c>
      <c r="F2405" s="3" t="s">
        <v>78</v>
      </c>
      <c r="G2405" s="3">
        <v>36</v>
      </c>
      <c r="H2405" s="23"/>
      <c r="I2405" s="124">
        <f t="shared" si="92"/>
        <v>0</v>
      </c>
      <c r="J2405" s="21"/>
      <c r="K2405" s="24"/>
    </row>
    <row r="2406" spans="1:11" ht="15.75" customHeight="1" x14ac:dyDescent="0.25">
      <c r="A2406" s="21" t="s">
        <v>4084</v>
      </c>
      <c r="B2406" s="26" t="s">
        <v>4065</v>
      </c>
      <c r="C2406" s="3"/>
      <c r="D2406" s="21"/>
      <c r="E2406" s="21" t="s">
        <v>4048</v>
      </c>
      <c r="F2406" s="3" t="s">
        <v>78</v>
      </c>
      <c r="G2406" s="3">
        <v>1</v>
      </c>
      <c r="H2406" s="23"/>
      <c r="I2406" s="124">
        <f t="shared" si="92"/>
        <v>0</v>
      </c>
      <c r="J2406" s="21"/>
      <c r="K2406" s="24"/>
    </row>
    <row r="2407" spans="1:11" ht="15.75" customHeight="1" x14ac:dyDescent="0.25">
      <c r="A2407" s="21" t="s">
        <v>4085</v>
      </c>
      <c r="B2407" s="26" t="s">
        <v>4066</v>
      </c>
      <c r="C2407" s="3"/>
      <c r="D2407" s="21"/>
      <c r="E2407" s="21" t="s">
        <v>4048</v>
      </c>
      <c r="F2407" s="3" t="s">
        <v>78</v>
      </c>
      <c r="G2407" s="3">
        <v>1</v>
      </c>
      <c r="H2407" s="23"/>
      <c r="I2407" s="124">
        <f t="shared" si="92"/>
        <v>0</v>
      </c>
      <c r="J2407" s="21"/>
      <c r="K2407" s="24"/>
    </row>
    <row r="2408" spans="1:11" ht="15.75" customHeight="1" x14ac:dyDescent="0.25">
      <c r="A2408" s="21" t="s">
        <v>4086</v>
      </c>
      <c r="B2408" s="26" t="s">
        <v>4067</v>
      </c>
      <c r="C2408" s="3" t="s">
        <v>4068</v>
      </c>
      <c r="D2408" s="21"/>
      <c r="E2408" s="21" t="s">
        <v>4048</v>
      </c>
      <c r="F2408" s="3" t="s">
        <v>78</v>
      </c>
      <c r="G2408" s="3">
        <v>1</v>
      </c>
      <c r="H2408" s="23"/>
      <c r="I2408" s="124">
        <f t="shared" si="92"/>
        <v>0</v>
      </c>
      <c r="J2408" s="21"/>
      <c r="K2408" s="24"/>
    </row>
    <row r="2409" spans="1:11" ht="15.75" customHeight="1" x14ac:dyDescent="0.25">
      <c r="A2409" s="21" t="s">
        <v>4087</v>
      </c>
      <c r="B2409" s="26" t="s">
        <v>4067</v>
      </c>
      <c r="C2409" s="3" t="s">
        <v>4069</v>
      </c>
      <c r="D2409" s="21"/>
      <c r="E2409" s="21" t="s">
        <v>4048</v>
      </c>
      <c r="F2409" s="3" t="s">
        <v>78</v>
      </c>
      <c r="G2409" s="3">
        <v>12</v>
      </c>
      <c r="H2409" s="23"/>
      <c r="I2409" s="124">
        <f t="shared" si="92"/>
        <v>0</v>
      </c>
      <c r="J2409" s="21"/>
      <c r="K2409" s="24"/>
    </row>
    <row r="2410" spans="1:11" ht="15.75" customHeight="1" x14ac:dyDescent="0.25">
      <c r="A2410" s="21" t="s">
        <v>4088</v>
      </c>
      <c r="B2410" s="26" t="s">
        <v>4067</v>
      </c>
      <c r="C2410" s="3" t="s">
        <v>4070</v>
      </c>
      <c r="D2410" s="21"/>
      <c r="E2410" s="21" t="s">
        <v>4048</v>
      </c>
      <c r="F2410" s="3" t="s">
        <v>78</v>
      </c>
      <c r="G2410" s="3">
        <v>1</v>
      </c>
      <c r="H2410" s="23"/>
      <c r="I2410" s="124">
        <f t="shared" si="92"/>
        <v>0</v>
      </c>
      <c r="J2410" s="21"/>
      <c r="K2410" s="24"/>
    </row>
    <row r="2411" spans="1:11" ht="15.75" customHeight="1" x14ac:dyDescent="0.25">
      <c r="A2411" s="21" t="s">
        <v>4089</v>
      </c>
      <c r="B2411" s="26" t="s">
        <v>3956</v>
      </c>
      <c r="C2411" s="3" t="s">
        <v>3957</v>
      </c>
      <c r="D2411" s="21"/>
      <c r="E2411" s="21"/>
      <c r="F2411" s="3" t="s">
        <v>89</v>
      </c>
      <c r="G2411" s="3">
        <v>20</v>
      </c>
      <c r="H2411" s="23"/>
      <c r="I2411" s="124">
        <f t="shared" si="92"/>
        <v>0</v>
      </c>
      <c r="J2411" s="21"/>
      <c r="K2411" s="24"/>
    </row>
    <row r="2412" spans="1:11" ht="15.75" customHeight="1" x14ac:dyDescent="0.25">
      <c r="A2412" s="21" t="s">
        <v>4090</v>
      </c>
      <c r="B2412" s="26" t="s">
        <v>3958</v>
      </c>
      <c r="C2412" s="3" t="s">
        <v>3957</v>
      </c>
      <c r="D2412" s="21"/>
      <c r="E2412" s="21"/>
      <c r="F2412" s="3" t="s">
        <v>89</v>
      </c>
      <c r="G2412" s="3">
        <v>20</v>
      </c>
      <c r="H2412" s="23"/>
      <c r="I2412" s="124">
        <f t="shared" si="92"/>
        <v>0</v>
      </c>
      <c r="J2412" s="21"/>
      <c r="K2412" s="24"/>
    </row>
    <row r="2413" spans="1:11" ht="15.75" customHeight="1" x14ac:dyDescent="0.25">
      <c r="A2413" s="21" t="s">
        <v>4091</v>
      </c>
      <c r="B2413" s="26" t="s">
        <v>3959</v>
      </c>
      <c r="C2413" s="3" t="s">
        <v>3957</v>
      </c>
      <c r="D2413" s="21"/>
      <c r="E2413" s="21"/>
      <c r="F2413" s="3" t="s">
        <v>89</v>
      </c>
      <c r="G2413" s="3">
        <v>20</v>
      </c>
      <c r="H2413" s="23"/>
      <c r="I2413" s="124">
        <f t="shared" si="92"/>
        <v>0</v>
      </c>
      <c r="J2413" s="21"/>
      <c r="K2413" s="24"/>
    </row>
    <row r="2414" spans="1:11" ht="15.75" customHeight="1" x14ac:dyDescent="0.25">
      <c r="A2414" s="21" t="s">
        <v>4092</v>
      </c>
      <c r="B2414" s="26" t="s">
        <v>3960</v>
      </c>
      <c r="C2414" s="3" t="s">
        <v>3961</v>
      </c>
      <c r="D2414" s="21" t="s">
        <v>3962</v>
      </c>
      <c r="E2414" s="21" t="s">
        <v>3963</v>
      </c>
      <c r="F2414" s="3" t="s">
        <v>120</v>
      </c>
      <c r="G2414" s="3">
        <v>2</v>
      </c>
      <c r="H2414" s="23"/>
      <c r="I2414" s="124">
        <f t="shared" si="92"/>
        <v>0</v>
      </c>
      <c r="J2414" s="21"/>
      <c r="K2414" s="24"/>
    </row>
    <row r="2415" spans="1:11" ht="15.75" customHeight="1" x14ac:dyDescent="0.25">
      <c r="A2415" s="42"/>
      <c r="B2415" s="20" t="s">
        <v>4093</v>
      </c>
      <c r="C2415" s="22"/>
      <c r="D2415" s="21"/>
      <c r="E2415" s="21"/>
      <c r="F2415" s="22"/>
      <c r="G2415" s="21"/>
      <c r="H2415" s="23"/>
      <c r="I2415" s="124"/>
      <c r="J2415" s="21"/>
      <c r="K2415" s="24" t="s">
        <v>3794</v>
      </c>
    </row>
    <row r="2416" spans="1:11" ht="42.75" customHeight="1" x14ac:dyDescent="0.25">
      <c r="A2416" s="21" t="s">
        <v>1995</v>
      </c>
      <c r="B2416" s="26" t="s">
        <v>3799</v>
      </c>
      <c r="C2416" s="3" t="s">
        <v>3904</v>
      </c>
      <c r="D2416" s="21"/>
      <c r="E2416" s="21" t="s">
        <v>3797</v>
      </c>
      <c r="F2416" s="3" t="s">
        <v>89</v>
      </c>
      <c r="G2416" s="3">
        <v>480</v>
      </c>
      <c r="H2416" s="23"/>
      <c r="I2416" s="124">
        <f>H2416*G2416</f>
        <v>0</v>
      </c>
      <c r="J2416" s="21"/>
      <c r="K2416" s="24" t="s">
        <v>3794</v>
      </c>
    </row>
    <row r="2417" spans="1:11" ht="15.75" customHeight="1" x14ac:dyDescent="0.25">
      <c r="A2417" s="42"/>
      <c r="B2417" s="20" t="s">
        <v>4094</v>
      </c>
      <c r="C2417" s="22"/>
      <c r="D2417" s="21"/>
      <c r="E2417" s="21"/>
      <c r="F2417" s="22"/>
      <c r="G2417" s="21"/>
      <c r="H2417" s="23"/>
      <c r="I2417" s="124"/>
      <c r="J2417" s="21"/>
      <c r="K2417" s="24" t="s">
        <v>3794</v>
      </c>
    </row>
    <row r="2418" spans="1:11" ht="15.75" customHeight="1" x14ac:dyDescent="0.25">
      <c r="A2418" s="21" t="s">
        <v>2035</v>
      </c>
      <c r="B2418" s="26" t="s">
        <v>3808</v>
      </c>
      <c r="C2418" s="3" t="s">
        <v>2867</v>
      </c>
      <c r="D2418" s="21"/>
      <c r="E2418" s="21" t="s">
        <v>4010</v>
      </c>
      <c r="F2418" s="3" t="s">
        <v>89</v>
      </c>
      <c r="G2418" s="3">
        <v>480</v>
      </c>
      <c r="H2418" s="23"/>
      <c r="I2418" s="124">
        <f>H2418*G2418</f>
        <v>0</v>
      </c>
      <c r="J2418" s="21"/>
      <c r="K2418" s="24"/>
    </row>
    <row r="2419" spans="1:11" ht="15.75" customHeight="1" x14ac:dyDescent="0.25">
      <c r="A2419" s="21" t="s">
        <v>2039</v>
      </c>
      <c r="B2419" s="26" t="s">
        <v>3809</v>
      </c>
      <c r="C2419" s="3" t="s">
        <v>3810</v>
      </c>
      <c r="D2419" s="21"/>
      <c r="E2419" s="3" t="s">
        <v>292</v>
      </c>
      <c r="F2419" s="3" t="s">
        <v>78</v>
      </c>
      <c r="G2419" s="3">
        <v>1440</v>
      </c>
      <c r="H2419" s="23"/>
      <c r="I2419" s="124">
        <f>H2419*G2419</f>
        <v>0</v>
      </c>
      <c r="J2419" s="21"/>
      <c r="K2419" s="24"/>
    </row>
    <row r="2420" spans="1:11" ht="15.75" customHeight="1" x14ac:dyDescent="0.25">
      <c r="A2420" s="21" t="s">
        <v>2044</v>
      </c>
      <c r="B2420" s="26" t="s">
        <v>4095</v>
      </c>
      <c r="C2420" s="3" t="s">
        <v>4096</v>
      </c>
      <c r="D2420" s="21" t="s">
        <v>4097</v>
      </c>
      <c r="E2420" s="21" t="s">
        <v>4098</v>
      </c>
      <c r="F2420" s="3" t="s">
        <v>78</v>
      </c>
      <c r="G2420" s="3">
        <v>29</v>
      </c>
      <c r="H2420" s="23"/>
      <c r="I2420" s="124">
        <f>H2420*G2420</f>
        <v>0</v>
      </c>
      <c r="J2420" s="21"/>
      <c r="K2420" s="24"/>
    </row>
    <row r="2421" spans="1:11" ht="15.75" customHeight="1" x14ac:dyDescent="0.25"/>
    <row r="2422" spans="1:11" ht="30" customHeight="1" x14ac:dyDescent="0.25">
      <c r="A2422" s="58" t="s">
        <v>4099</v>
      </c>
      <c r="B2422" s="59" t="s">
        <v>4100</v>
      </c>
      <c r="C2422" s="60"/>
      <c r="D2422" s="60"/>
      <c r="E2422" s="60"/>
      <c r="F2422" s="60"/>
      <c r="G2422" s="60"/>
      <c r="H2422" s="61"/>
      <c r="I2422" s="131"/>
      <c r="J2422" s="60"/>
      <c r="K2422" s="59"/>
    </row>
    <row r="2423" spans="1:11" ht="15.75" customHeight="1" x14ac:dyDescent="0.25">
      <c r="A2423" s="62"/>
      <c r="B2423" s="20" t="s">
        <v>4101</v>
      </c>
      <c r="C2423" s="42"/>
      <c r="D2423" s="42"/>
      <c r="E2423" s="42"/>
      <c r="F2423" s="42"/>
      <c r="G2423" s="42"/>
      <c r="H2423" s="63"/>
      <c r="I2423" s="132"/>
      <c r="J2423" s="42"/>
      <c r="K2423" s="20"/>
    </row>
    <row r="2424" spans="1:11" ht="15.75" customHeight="1" x14ac:dyDescent="0.25">
      <c r="A2424" s="64" t="s">
        <v>1943</v>
      </c>
      <c r="B2424" s="65" t="s">
        <v>3566</v>
      </c>
      <c r="C2424" s="66" t="s">
        <v>4102</v>
      </c>
      <c r="D2424" s="66"/>
      <c r="E2424" s="21" t="s">
        <v>3569</v>
      </c>
      <c r="F2424" s="66" t="s">
        <v>78</v>
      </c>
      <c r="G2424" s="66">
        <v>1</v>
      </c>
      <c r="H2424" s="67">
        <v>10764.18</v>
      </c>
      <c r="I2424" s="133">
        <f t="shared" ref="I2424:I2455" si="93">H2424*G2424</f>
        <v>10764.18</v>
      </c>
      <c r="J2424" s="66"/>
      <c r="K2424" s="65"/>
    </row>
    <row r="2425" spans="1:11" ht="15.75" customHeight="1" x14ac:dyDescent="0.25">
      <c r="A2425" s="68" t="s">
        <v>1950</v>
      </c>
      <c r="B2425" s="69" t="s">
        <v>3572</v>
      </c>
      <c r="C2425" s="70" t="s">
        <v>3573</v>
      </c>
      <c r="D2425" s="70"/>
      <c r="E2425" s="21" t="s">
        <v>3569</v>
      </c>
      <c r="F2425" s="70" t="s">
        <v>78</v>
      </c>
      <c r="G2425" s="70">
        <v>2</v>
      </c>
      <c r="H2425" s="71">
        <v>7258.88</v>
      </c>
      <c r="I2425" s="134">
        <f t="shared" si="93"/>
        <v>14517.76</v>
      </c>
      <c r="J2425" s="70"/>
      <c r="K2425" s="69"/>
    </row>
    <row r="2426" spans="1:11" ht="15.75" customHeight="1" x14ac:dyDescent="0.25">
      <c r="A2426" s="68" t="s">
        <v>1955</v>
      </c>
      <c r="B2426" s="69" t="s">
        <v>3593</v>
      </c>
      <c r="C2426" s="70" t="s">
        <v>4103</v>
      </c>
      <c r="D2426" s="70"/>
      <c r="E2426" s="21" t="s">
        <v>3569</v>
      </c>
      <c r="F2426" s="70" t="s">
        <v>78</v>
      </c>
      <c r="G2426" s="70">
        <v>17</v>
      </c>
      <c r="H2426" s="71">
        <v>4737.26</v>
      </c>
      <c r="I2426" s="134">
        <f t="shared" si="93"/>
        <v>80533.42</v>
      </c>
      <c r="J2426" s="70"/>
      <c r="K2426" s="69"/>
    </row>
    <row r="2427" spans="1:11" ht="15.75" customHeight="1" x14ac:dyDescent="0.25">
      <c r="A2427" s="68" t="s">
        <v>1959</v>
      </c>
      <c r="B2427" s="69" t="s">
        <v>4104</v>
      </c>
      <c r="C2427" s="70" t="s">
        <v>4105</v>
      </c>
      <c r="D2427" s="70"/>
      <c r="E2427" s="21" t="s">
        <v>3569</v>
      </c>
      <c r="F2427" s="70" t="s">
        <v>78</v>
      </c>
      <c r="G2427" s="70">
        <v>1</v>
      </c>
      <c r="H2427" s="71">
        <v>7839.96</v>
      </c>
      <c r="I2427" s="134">
        <f t="shared" si="93"/>
        <v>7839.96</v>
      </c>
      <c r="J2427" s="70"/>
      <c r="K2427" s="69"/>
    </row>
    <row r="2428" spans="1:11" ht="15.75" customHeight="1" x14ac:dyDescent="0.25">
      <c r="A2428" s="68" t="s">
        <v>1963</v>
      </c>
      <c r="B2428" s="69" t="s">
        <v>3582</v>
      </c>
      <c r="C2428" s="70" t="s">
        <v>3583</v>
      </c>
      <c r="D2428" s="70"/>
      <c r="E2428" s="21" t="s">
        <v>3569</v>
      </c>
      <c r="F2428" s="70" t="s">
        <v>78</v>
      </c>
      <c r="G2428" s="70">
        <v>1</v>
      </c>
      <c r="H2428" s="71">
        <v>9070.58</v>
      </c>
      <c r="I2428" s="134">
        <f t="shared" si="93"/>
        <v>9070.58</v>
      </c>
      <c r="J2428" s="70"/>
      <c r="K2428" s="69"/>
    </row>
    <row r="2429" spans="1:11" ht="15.75" customHeight="1" x14ac:dyDescent="0.25">
      <c r="A2429" s="68" t="s">
        <v>1966</v>
      </c>
      <c r="B2429" s="69" t="s">
        <v>4106</v>
      </c>
      <c r="C2429" s="70" t="s">
        <v>4107</v>
      </c>
      <c r="D2429" s="70"/>
      <c r="E2429" s="21" t="s">
        <v>3569</v>
      </c>
      <c r="F2429" s="70" t="s">
        <v>78</v>
      </c>
      <c r="G2429" s="70">
        <v>1</v>
      </c>
      <c r="H2429" s="71">
        <v>4539.99</v>
      </c>
      <c r="I2429" s="134">
        <f t="shared" si="93"/>
        <v>4539.99</v>
      </c>
      <c r="J2429" s="70"/>
      <c r="K2429" s="69"/>
    </row>
    <row r="2430" spans="1:11" ht="15.75" customHeight="1" x14ac:dyDescent="0.25">
      <c r="A2430" s="68" t="s">
        <v>1970</v>
      </c>
      <c r="B2430" s="69" t="s">
        <v>4106</v>
      </c>
      <c r="C2430" s="70" t="s">
        <v>4108</v>
      </c>
      <c r="D2430" s="70"/>
      <c r="E2430" s="21" t="s">
        <v>3569</v>
      </c>
      <c r="F2430" s="70" t="s">
        <v>78</v>
      </c>
      <c r="G2430" s="70">
        <v>1</v>
      </c>
      <c r="H2430" s="71">
        <v>3651.58</v>
      </c>
      <c r="I2430" s="134">
        <f t="shared" si="93"/>
        <v>3651.58</v>
      </c>
      <c r="J2430" s="70"/>
      <c r="K2430" s="69"/>
    </row>
    <row r="2431" spans="1:11" ht="15.75" customHeight="1" x14ac:dyDescent="0.25">
      <c r="A2431" s="68" t="s">
        <v>1974</v>
      </c>
      <c r="B2431" s="69" t="s">
        <v>4106</v>
      </c>
      <c r="C2431" s="70" t="s">
        <v>4109</v>
      </c>
      <c r="D2431" s="70"/>
      <c r="E2431" s="21" t="s">
        <v>3569</v>
      </c>
      <c r="F2431" s="70" t="s">
        <v>78</v>
      </c>
      <c r="G2431" s="70">
        <v>11</v>
      </c>
      <c r="H2431" s="71">
        <v>3328.16</v>
      </c>
      <c r="I2431" s="134">
        <f t="shared" si="93"/>
        <v>36609.759999999995</v>
      </c>
      <c r="J2431" s="70"/>
      <c r="K2431" s="69"/>
    </row>
    <row r="2432" spans="1:11" ht="15.75" customHeight="1" x14ac:dyDescent="0.25">
      <c r="A2432" s="68" t="s">
        <v>1978</v>
      </c>
      <c r="B2432" s="69" t="s">
        <v>4110</v>
      </c>
      <c r="C2432" s="70" t="s">
        <v>4111</v>
      </c>
      <c r="D2432" s="70"/>
      <c r="E2432" s="21" t="s">
        <v>3569</v>
      </c>
      <c r="F2432" s="70" t="s">
        <v>78</v>
      </c>
      <c r="G2432" s="70">
        <v>3</v>
      </c>
      <c r="H2432" s="71">
        <v>4319.8999999999996</v>
      </c>
      <c r="I2432" s="134">
        <f t="shared" si="93"/>
        <v>12959.699999999999</v>
      </c>
      <c r="J2432" s="70"/>
      <c r="K2432" s="69"/>
    </row>
    <row r="2433" spans="1:11" ht="15.75" customHeight="1" x14ac:dyDescent="0.25">
      <c r="A2433" s="68" t="s">
        <v>2551</v>
      </c>
      <c r="B2433" s="69" t="s">
        <v>4112</v>
      </c>
      <c r="C2433" s="70" t="s">
        <v>4113</v>
      </c>
      <c r="D2433" s="70"/>
      <c r="E2433" s="21" t="s">
        <v>3569</v>
      </c>
      <c r="F2433" s="70" t="s">
        <v>78</v>
      </c>
      <c r="G2433" s="70">
        <v>75</v>
      </c>
      <c r="H2433" s="71">
        <v>1790.23</v>
      </c>
      <c r="I2433" s="134">
        <f t="shared" si="93"/>
        <v>134267.25</v>
      </c>
      <c r="J2433" s="70"/>
      <c r="K2433" s="69"/>
    </row>
    <row r="2434" spans="1:11" ht="15.75" customHeight="1" x14ac:dyDescent="0.25">
      <c r="A2434" s="68" t="s">
        <v>2555</v>
      </c>
      <c r="B2434" s="69" t="s">
        <v>4112</v>
      </c>
      <c r="C2434" s="70" t="s">
        <v>4114</v>
      </c>
      <c r="D2434" s="70"/>
      <c r="E2434" s="21" t="s">
        <v>3569</v>
      </c>
      <c r="F2434" s="70" t="s">
        <v>78</v>
      </c>
      <c r="G2434" s="70">
        <v>1</v>
      </c>
      <c r="H2434" s="71">
        <v>2387.42</v>
      </c>
      <c r="I2434" s="134">
        <f t="shared" si="93"/>
        <v>2387.42</v>
      </c>
      <c r="J2434" s="70"/>
      <c r="K2434" s="69"/>
    </row>
    <row r="2435" spans="1:11" ht="15.75" customHeight="1" x14ac:dyDescent="0.25">
      <c r="A2435" s="68" t="s">
        <v>2559</v>
      </c>
      <c r="B2435" s="69" t="s">
        <v>4112</v>
      </c>
      <c r="C2435" s="70" t="s">
        <v>4115</v>
      </c>
      <c r="D2435" s="70"/>
      <c r="E2435" s="21" t="s">
        <v>3569</v>
      </c>
      <c r="F2435" s="70" t="s">
        <v>78</v>
      </c>
      <c r="G2435" s="70">
        <v>197</v>
      </c>
      <c r="H2435" s="71">
        <v>3377.81</v>
      </c>
      <c r="I2435" s="134">
        <f t="shared" si="93"/>
        <v>665428.56999999995</v>
      </c>
      <c r="J2435" s="70"/>
      <c r="K2435" s="69"/>
    </row>
    <row r="2436" spans="1:11" ht="15.75" customHeight="1" x14ac:dyDescent="0.25">
      <c r="A2436" s="68" t="s">
        <v>2563</v>
      </c>
      <c r="B2436" s="69" t="s">
        <v>4116</v>
      </c>
      <c r="C2436" s="70" t="s">
        <v>4117</v>
      </c>
      <c r="D2436" s="70"/>
      <c r="E2436" s="70" t="s">
        <v>4118</v>
      </c>
      <c r="F2436" s="70" t="s">
        <v>78</v>
      </c>
      <c r="G2436" s="70">
        <v>197</v>
      </c>
      <c r="H2436" s="71"/>
      <c r="I2436" s="134">
        <f t="shared" si="93"/>
        <v>0</v>
      </c>
      <c r="J2436" s="70"/>
      <c r="K2436" s="69"/>
    </row>
    <row r="2437" spans="1:11" ht="15.75" customHeight="1" x14ac:dyDescent="0.25">
      <c r="A2437" s="68" t="s">
        <v>2567</v>
      </c>
      <c r="B2437" s="69" t="s">
        <v>4119</v>
      </c>
      <c r="C2437" s="70" t="s">
        <v>4120</v>
      </c>
      <c r="D2437" s="70"/>
      <c r="E2437" s="21" t="s">
        <v>3569</v>
      </c>
      <c r="F2437" s="70" t="s">
        <v>78</v>
      </c>
      <c r="G2437" s="70">
        <v>13</v>
      </c>
      <c r="H2437" s="71">
        <v>23820.5</v>
      </c>
      <c r="I2437" s="134">
        <f t="shared" si="93"/>
        <v>309666.5</v>
      </c>
      <c r="J2437" s="70"/>
      <c r="K2437" s="69"/>
    </row>
    <row r="2438" spans="1:11" ht="15.75" customHeight="1" x14ac:dyDescent="0.25">
      <c r="A2438" s="68" t="s">
        <v>2571</v>
      </c>
      <c r="B2438" s="69" t="s">
        <v>3582</v>
      </c>
      <c r="C2438" s="70" t="s">
        <v>3583</v>
      </c>
      <c r="D2438" s="70"/>
      <c r="E2438" s="21" t="s">
        <v>3569</v>
      </c>
      <c r="F2438" s="70" t="s">
        <v>78</v>
      </c>
      <c r="G2438" s="70">
        <v>26</v>
      </c>
      <c r="H2438" s="71">
        <v>9070.58</v>
      </c>
      <c r="I2438" s="134">
        <f t="shared" si="93"/>
        <v>235835.08</v>
      </c>
      <c r="J2438" s="70"/>
      <c r="K2438" s="69"/>
    </row>
    <row r="2439" spans="1:11" ht="15.75" customHeight="1" x14ac:dyDescent="0.25">
      <c r="A2439" s="68" t="s">
        <v>2575</v>
      </c>
      <c r="B2439" s="69" t="s">
        <v>3589</v>
      </c>
      <c r="C2439" s="70" t="s">
        <v>3590</v>
      </c>
      <c r="D2439" s="70"/>
      <c r="E2439" s="21" t="s">
        <v>3569</v>
      </c>
      <c r="F2439" s="70" t="s">
        <v>78</v>
      </c>
      <c r="G2439" s="70">
        <v>1</v>
      </c>
      <c r="H2439" s="71">
        <v>4133.3599999999997</v>
      </c>
      <c r="I2439" s="134">
        <f t="shared" si="93"/>
        <v>4133.3599999999997</v>
      </c>
      <c r="J2439" s="70"/>
      <c r="K2439" s="69"/>
    </row>
    <row r="2440" spans="1:11" ht="15.75" customHeight="1" x14ac:dyDescent="0.25">
      <c r="A2440" s="68" t="s">
        <v>2579</v>
      </c>
      <c r="B2440" s="69" t="s">
        <v>3595</v>
      </c>
      <c r="C2440" s="70" t="s">
        <v>3596</v>
      </c>
      <c r="D2440" s="70"/>
      <c r="E2440" s="21" t="s">
        <v>3569</v>
      </c>
      <c r="F2440" s="70" t="s">
        <v>78</v>
      </c>
      <c r="G2440" s="70">
        <v>50</v>
      </c>
      <c r="H2440" s="71">
        <v>606.58000000000004</v>
      </c>
      <c r="I2440" s="134">
        <f t="shared" si="93"/>
        <v>30329.000000000004</v>
      </c>
      <c r="J2440" s="70"/>
      <c r="K2440" s="69"/>
    </row>
    <row r="2441" spans="1:11" ht="28.5" customHeight="1" x14ac:dyDescent="0.25">
      <c r="A2441" s="68" t="s">
        <v>2583</v>
      </c>
      <c r="B2441" s="69" t="s">
        <v>4121</v>
      </c>
      <c r="C2441" s="70" t="s">
        <v>4122</v>
      </c>
      <c r="D2441" s="70"/>
      <c r="E2441" s="21" t="s">
        <v>3569</v>
      </c>
      <c r="F2441" s="70" t="s">
        <v>78</v>
      </c>
      <c r="G2441" s="70">
        <v>218</v>
      </c>
      <c r="H2441" s="71">
        <v>1704.34</v>
      </c>
      <c r="I2441" s="134">
        <f t="shared" si="93"/>
        <v>371546.12</v>
      </c>
      <c r="J2441" s="70"/>
      <c r="K2441" s="69"/>
    </row>
    <row r="2442" spans="1:11" ht="28.5" customHeight="1" x14ac:dyDescent="0.25">
      <c r="A2442" s="68" t="s">
        <v>2587</v>
      </c>
      <c r="B2442" s="69" t="s">
        <v>4123</v>
      </c>
      <c r="C2442" s="70" t="s">
        <v>4124</v>
      </c>
      <c r="D2442" s="70"/>
      <c r="E2442" s="21" t="s">
        <v>3569</v>
      </c>
      <c r="F2442" s="70" t="s">
        <v>78</v>
      </c>
      <c r="G2442" s="70">
        <v>4</v>
      </c>
      <c r="H2442" s="71">
        <v>1186.33</v>
      </c>
      <c r="I2442" s="134">
        <f t="shared" si="93"/>
        <v>4745.32</v>
      </c>
      <c r="J2442" s="70"/>
      <c r="K2442" s="69"/>
    </row>
    <row r="2443" spans="1:11" ht="15.75" customHeight="1" x14ac:dyDescent="0.25">
      <c r="A2443" s="68" t="s">
        <v>2590</v>
      </c>
      <c r="B2443" s="69" t="s">
        <v>4125</v>
      </c>
      <c r="C2443" s="70" t="s">
        <v>4126</v>
      </c>
      <c r="D2443" s="70"/>
      <c r="E2443" s="21" t="s">
        <v>3569</v>
      </c>
      <c r="F2443" s="70" t="s">
        <v>78</v>
      </c>
      <c r="G2443" s="70">
        <v>32</v>
      </c>
      <c r="H2443" s="71">
        <v>966.24</v>
      </c>
      <c r="I2443" s="134">
        <f t="shared" si="93"/>
        <v>30919.68</v>
      </c>
      <c r="J2443" s="70"/>
      <c r="K2443" s="69"/>
    </row>
    <row r="2444" spans="1:11" ht="28.5" customHeight="1" x14ac:dyDescent="0.25">
      <c r="A2444" s="68" t="s">
        <v>2594</v>
      </c>
      <c r="B2444" s="69" t="s">
        <v>4127</v>
      </c>
      <c r="C2444" s="70" t="s">
        <v>4128</v>
      </c>
      <c r="D2444" s="70"/>
      <c r="E2444" s="21" t="s">
        <v>3569</v>
      </c>
      <c r="F2444" s="70" t="s">
        <v>78</v>
      </c>
      <c r="G2444" s="70">
        <v>30</v>
      </c>
      <c r="H2444" s="71">
        <v>966.24</v>
      </c>
      <c r="I2444" s="134">
        <f t="shared" si="93"/>
        <v>28987.200000000001</v>
      </c>
      <c r="J2444" s="70"/>
      <c r="K2444" s="69"/>
    </row>
    <row r="2445" spans="1:11" ht="28.5" customHeight="1" x14ac:dyDescent="0.25">
      <c r="A2445" s="68" t="s">
        <v>2597</v>
      </c>
      <c r="B2445" s="69" t="s">
        <v>4129</v>
      </c>
      <c r="C2445" s="70" t="s">
        <v>4130</v>
      </c>
      <c r="D2445" s="70"/>
      <c r="E2445" s="21" t="s">
        <v>3569</v>
      </c>
      <c r="F2445" s="70" t="s">
        <v>78</v>
      </c>
      <c r="G2445" s="70">
        <v>48</v>
      </c>
      <c r="H2445" s="71">
        <v>966.24</v>
      </c>
      <c r="I2445" s="134">
        <f t="shared" si="93"/>
        <v>46379.520000000004</v>
      </c>
      <c r="J2445" s="70"/>
      <c r="K2445" s="69"/>
    </row>
    <row r="2446" spans="1:11" ht="15.75" customHeight="1" x14ac:dyDescent="0.25">
      <c r="A2446" s="68" t="s">
        <v>2602</v>
      </c>
      <c r="B2446" s="69" t="s">
        <v>4131</v>
      </c>
      <c r="C2446" s="70" t="s">
        <v>4132</v>
      </c>
      <c r="D2446" s="70"/>
      <c r="E2446" s="21" t="s">
        <v>3569</v>
      </c>
      <c r="F2446" s="70" t="s">
        <v>78</v>
      </c>
      <c r="G2446" s="70">
        <v>6</v>
      </c>
      <c r="H2446" s="71">
        <v>794.46</v>
      </c>
      <c r="I2446" s="134">
        <f t="shared" si="93"/>
        <v>4766.76</v>
      </c>
      <c r="J2446" s="70"/>
      <c r="K2446" s="69"/>
    </row>
    <row r="2447" spans="1:11" ht="15.75" customHeight="1" x14ac:dyDescent="0.25">
      <c r="A2447" s="68" t="s">
        <v>2606</v>
      </c>
      <c r="B2447" s="69" t="s">
        <v>4133</v>
      </c>
      <c r="C2447" s="70" t="s">
        <v>4134</v>
      </c>
      <c r="D2447" s="70"/>
      <c r="E2447" s="70" t="s">
        <v>4135</v>
      </c>
      <c r="F2447" s="70" t="s">
        <v>78</v>
      </c>
      <c r="G2447" s="70">
        <v>12</v>
      </c>
      <c r="H2447" s="71"/>
      <c r="I2447" s="134">
        <f t="shared" si="93"/>
        <v>0</v>
      </c>
      <c r="J2447" s="70"/>
      <c r="K2447" s="69"/>
    </row>
    <row r="2448" spans="1:11" ht="28.5" customHeight="1" x14ac:dyDescent="0.25">
      <c r="A2448" s="68" t="s">
        <v>2609</v>
      </c>
      <c r="B2448" s="69" t="s">
        <v>4136</v>
      </c>
      <c r="C2448" s="70" t="s">
        <v>4137</v>
      </c>
      <c r="D2448" s="70"/>
      <c r="E2448" s="21" t="s">
        <v>3569</v>
      </c>
      <c r="F2448" s="70" t="s">
        <v>78</v>
      </c>
      <c r="G2448" s="70">
        <v>15</v>
      </c>
      <c r="H2448" s="71">
        <v>16792.45</v>
      </c>
      <c r="I2448" s="134">
        <f t="shared" si="93"/>
        <v>251886.75</v>
      </c>
      <c r="J2448" s="70"/>
      <c r="K2448" s="69"/>
    </row>
    <row r="2449" spans="1:11" ht="15.75" customHeight="1" x14ac:dyDescent="0.25">
      <c r="A2449" s="68" t="s">
        <v>2613</v>
      </c>
      <c r="B2449" s="69" t="s">
        <v>4138</v>
      </c>
      <c r="C2449" s="70" t="s">
        <v>4139</v>
      </c>
      <c r="D2449" s="70"/>
      <c r="E2449" s="21" t="s">
        <v>3569</v>
      </c>
      <c r="F2449" s="70" t="s">
        <v>78</v>
      </c>
      <c r="G2449" s="70">
        <v>80</v>
      </c>
      <c r="H2449" s="71">
        <v>203</v>
      </c>
      <c r="I2449" s="134">
        <f t="shared" si="93"/>
        <v>16240</v>
      </c>
      <c r="J2449" s="70"/>
      <c r="K2449" s="69"/>
    </row>
    <row r="2450" spans="1:11" ht="28.5" customHeight="1" x14ac:dyDescent="0.25">
      <c r="A2450" s="68" t="s">
        <v>2617</v>
      </c>
      <c r="B2450" s="69" t="s">
        <v>4140</v>
      </c>
      <c r="C2450" s="70" t="s">
        <v>4141</v>
      </c>
      <c r="D2450" s="70"/>
      <c r="E2450" s="70" t="s">
        <v>4142</v>
      </c>
      <c r="F2450" s="70" t="s">
        <v>78</v>
      </c>
      <c r="G2450" s="70">
        <v>53</v>
      </c>
      <c r="H2450" s="71"/>
      <c r="I2450" s="134">
        <f t="shared" si="93"/>
        <v>0</v>
      </c>
      <c r="J2450" s="70"/>
      <c r="K2450" s="69"/>
    </row>
    <row r="2451" spans="1:11" ht="28.5" customHeight="1" x14ac:dyDescent="0.25">
      <c r="A2451" s="68" t="s">
        <v>2621</v>
      </c>
      <c r="B2451" s="69" t="s">
        <v>4143</v>
      </c>
      <c r="C2451" s="70" t="s">
        <v>4144</v>
      </c>
      <c r="D2451" s="70"/>
      <c r="E2451" s="70" t="s">
        <v>4142</v>
      </c>
      <c r="F2451" s="70" t="s">
        <v>78</v>
      </c>
      <c r="G2451" s="70">
        <v>1</v>
      </c>
      <c r="H2451" s="71"/>
      <c r="I2451" s="134">
        <f t="shared" si="93"/>
        <v>0</v>
      </c>
      <c r="J2451" s="70"/>
      <c r="K2451" s="69"/>
    </row>
    <row r="2452" spans="1:11" ht="28.5" customHeight="1" x14ac:dyDescent="0.25">
      <c r="A2452" s="68" t="s">
        <v>2624</v>
      </c>
      <c r="B2452" s="69" t="s">
        <v>4145</v>
      </c>
      <c r="C2452" s="70" t="s">
        <v>4146</v>
      </c>
      <c r="D2452" s="70"/>
      <c r="E2452" s="70" t="s">
        <v>4142</v>
      </c>
      <c r="F2452" s="70" t="s">
        <v>78</v>
      </c>
      <c r="G2452" s="70">
        <v>1</v>
      </c>
      <c r="H2452" s="71"/>
      <c r="I2452" s="134">
        <f t="shared" si="93"/>
        <v>0</v>
      </c>
      <c r="J2452" s="70"/>
      <c r="K2452" s="69"/>
    </row>
    <row r="2453" spans="1:11" ht="28.5" customHeight="1" x14ac:dyDescent="0.25">
      <c r="A2453" s="68" t="s">
        <v>2627</v>
      </c>
      <c r="B2453" s="69" t="s">
        <v>4147</v>
      </c>
      <c r="C2453" s="70" t="s">
        <v>4148</v>
      </c>
      <c r="D2453" s="70"/>
      <c r="E2453" s="70" t="s">
        <v>4142</v>
      </c>
      <c r="F2453" s="70" t="s">
        <v>78</v>
      </c>
      <c r="G2453" s="70">
        <v>1</v>
      </c>
      <c r="H2453" s="71"/>
      <c r="I2453" s="134">
        <f t="shared" si="93"/>
        <v>0</v>
      </c>
      <c r="J2453" s="70"/>
      <c r="K2453" s="69"/>
    </row>
    <row r="2454" spans="1:11" ht="28.5" customHeight="1" x14ac:dyDescent="0.25">
      <c r="A2454" s="68" t="s">
        <v>2630</v>
      </c>
      <c r="B2454" s="69" t="s">
        <v>4149</v>
      </c>
      <c r="C2454" s="70" t="s">
        <v>4150</v>
      </c>
      <c r="D2454" s="70"/>
      <c r="E2454" s="70" t="s">
        <v>4151</v>
      </c>
      <c r="F2454" s="70" t="s">
        <v>78</v>
      </c>
      <c r="G2454" s="70">
        <v>1</v>
      </c>
      <c r="H2454" s="71"/>
      <c r="I2454" s="134">
        <f t="shared" si="93"/>
        <v>0</v>
      </c>
      <c r="J2454" s="70"/>
      <c r="K2454" s="69"/>
    </row>
    <row r="2455" spans="1:11" ht="28.5" customHeight="1" x14ac:dyDescent="0.25">
      <c r="A2455" s="68" t="s">
        <v>2633</v>
      </c>
      <c r="B2455" s="69" t="s">
        <v>4152</v>
      </c>
      <c r="C2455" s="70" t="s">
        <v>4153</v>
      </c>
      <c r="D2455" s="70"/>
      <c r="E2455" s="70" t="s">
        <v>4142</v>
      </c>
      <c r="F2455" s="70" t="s">
        <v>78</v>
      </c>
      <c r="G2455" s="70">
        <v>8</v>
      </c>
      <c r="H2455" s="71"/>
      <c r="I2455" s="134">
        <f t="shared" si="93"/>
        <v>0</v>
      </c>
      <c r="J2455" s="70"/>
      <c r="K2455" s="69"/>
    </row>
    <row r="2456" spans="1:11" ht="15.75" customHeight="1" x14ac:dyDescent="0.25">
      <c r="A2456" s="68" t="s">
        <v>2636</v>
      </c>
      <c r="B2456" s="69" t="s">
        <v>4154</v>
      </c>
      <c r="C2456" s="70" t="s">
        <v>4155</v>
      </c>
      <c r="D2456" s="70"/>
      <c r="E2456" s="21" t="s">
        <v>3569</v>
      </c>
      <c r="F2456" s="70" t="s">
        <v>78</v>
      </c>
      <c r="G2456" s="70">
        <v>2</v>
      </c>
      <c r="H2456" s="71">
        <v>750</v>
      </c>
      <c r="I2456" s="134">
        <f t="shared" ref="I2456:I2477" si="94">H2456*G2456</f>
        <v>1500</v>
      </c>
      <c r="J2456" s="70"/>
      <c r="K2456" s="69"/>
    </row>
    <row r="2457" spans="1:11" ht="28.5" customHeight="1" x14ac:dyDescent="0.25">
      <c r="A2457" s="68" t="s">
        <v>2637</v>
      </c>
      <c r="B2457" s="69" t="s">
        <v>4156</v>
      </c>
      <c r="C2457" s="70" t="s">
        <v>4157</v>
      </c>
      <c r="D2457" s="70"/>
      <c r="E2457" s="21" t="s">
        <v>3569</v>
      </c>
      <c r="F2457" s="70" t="s">
        <v>78</v>
      </c>
      <c r="G2457" s="70">
        <v>7</v>
      </c>
      <c r="H2457" s="71">
        <v>30000</v>
      </c>
      <c r="I2457" s="134">
        <f t="shared" si="94"/>
        <v>210000</v>
      </c>
      <c r="J2457" s="70"/>
      <c r="K2457" s="69"/>
    </row>
    <row r="2458" spans="1:11" ht="28.5" customHeight="1" x14ac:dyDescent="0.25">
      <c r="A2458" s="68" t="s">
        <v>2640</v>
      </c>
      <c r="B2458" s="69" t="s">
        <v>4158</v>
      </c>
      <c r="C2458" s="70" t="s">
        <v>4159</v>
      </c>
      <c r="D2458" s="70"/>
      <c r="E2458" s="21" t="s">
        <v>3569</v>
      </c>
      <c r="F2458" s="70" t="s">
        <v>78</v>
      </c>
      <c r="G2458" s="70">
        <v>4</v>
      </c>
      <c r="H2458" s="71">
        <v>32000</v>
      </c>
      <c r="I2458" s="134">
        <f t="shared" si="94"/>
        <v>128000</v>
      </c>
      <c r="J2458" s="70"/>
      <c r="K2458" s="69"/>
    </row>
    <row r="2459" spans="1:11" ht="41.25" customHeight="1" x14ac:dyDescent="0.25">
      <c r="A2459" s="68" t="s">
        <v>2643</v>
      </c>
      <c r="B2459" s="69" t="s">
        <v>4160</v>
      </c>
      <c r="C2459" s="70" t="s">
        <v>4161</v>
      </c>
      <c r="D2459" s="70"/>
      <c r="E2459" s="70" t="s">
        <v>4162</v>
      </c>
      <c r="F2459" s="70" t="s">
        <v>78</v>
      </c>
      <c r="G2459" s="70">
        <v>1</v>
      </c>
      <c r="H2459" s="71"/>
      <c r="I2459" s="134">
        <f t="shared" si="94"/>
        <v>0</v>
      </c>
      <c r="J2459" s="70"/>
      <c r="K2459" s="69"/>
    </row>
    <row r="2460" spans="1:11" ht="28.5" customHeight="1" x14ac:dyDescent="0.25">
      <c r="A2460" s="68" t="s">
        <v>2644</v>
      </c>
      <c r="B2460" s="69" t="s">
        <v>4163</v>
      </c>
      <c r="C2460" s="70" t="s">
        <v>4164</v>
      </c>
      <c r="D2460" s="70"/>
      <c r="E2460" s="70" t="s">
        <v>4165</v>
      </c>
      <c r="F2460" s="70" t="s">
        <v>78</v>
      </c>
      <c r="G2460" s="70">
        <v>1</v>
      </c>
      <c r="H2460" s="71"/>
      <c r="I2460" s="134">
        <f t="shared" si="94"/>
        <v>0</v>
      </c>
      <c r="J2460" s="70"/>
      <c r="K2460" s="69"/>
    </row>
    <row r="2461" spans="1:11" ht="28.5" customHeight="1" x14ac:dyDescent="0.25">
      <c r="A2461" s="68" t="s">
        <v>2645</v>
      </c>
      <c r="B2461" s="69" t="s">
        <v>4166</v>
      </c>
      <c r="C2461" s="70" t="s">
        <v>4167</v>
      </c>
      <c r="D2461" s="70"/>
      <c r="E2461" s="70" t="s">
        <v>4168</v>
      </c>
      <c r="F2461" s="70" t="s">
        <v>78</v>
      </c>
      <c r="G2461" s="70">
        <v>197</v>
      </c>
      <c r="H2461" s="71"/>
      <c r="I2461" s="134">
        <f t="shared" si="94"/>
        <v>0</v>
      </c>
      <c r="J2461" s="70"/>
      <c r="K2461" s="69" t="s">
        <v>4169</v>
      </c>
    </row>
    <row r="2462" spans="1:11" ht="15.75" customHeight="1" x14ac:dyDescent="0.25">
      <c r="A2462" s="68" t="s">
        <v>2646</v>
      </c>
      <c r="B2462" s="69" t="s">
        <v>4166</v>
      </c>
      <c r="C2462" s="70" t="s">
        <v>4170</v>
      </c>
      <c r="D2462" s="70"/>
      <c r="E2462" s="70" t="s">
        <v>4168</v>
      </c>
      <c r="F2462" s="70" t="s">
        <v>78</v>
      </c>
      <c r="G2462" s="70">
        <v>2</v>
      </c>
      <c r="H2462" s="71"/>
      <c r="I2462" s="134">
        <f t="shared" si="94"/>
        <v>0</v>
      </c>
      <c r="J2462" s="70"/>
      <c r="K2462" s="69" t="s">
        <v>4171</v>
      </c>
    </row>
    <row r="2463" spans="1:11" ht="28.5" customHeight="1" x14ac:dyDescent="0.25">
      <c r="A2463" s="68" t="s">
        <v>2649</v>
      </c>
      <c r="B2463" s="69" t="s">
        <v>4172</v>
      </c>
      <c r="C2463" s="70" t="s">
        <v>3138</v>
      </c>
      <c r="D2463" s="70"/>
      <c r="E2463" s="70" t="s">
        <v>3139</v>
      </c>
      <c r="F2463" s="70" t="s">
        <v>89</v>
      </c>
      <c r="G2463" s="70">
        <v>450</v>
      </c>
      <c r="H2463" s="71"/>
      <c r="I2463" s="134">
        <f t="shared" si="94"/>
        <v>0</v>
      </c>
      <c r="J2463" s="70"/>
      <c r="K2463" s="69" t="s">
        <v>4173</v>
      </c>
    </row>
    <row r="2464" spans="1:11" ht="28.5" customHeight="1" x14ac:dyDescent="0.25">
      <c r="A2464" s="68" t="s">
        <v>2652</v>
      </c>
      <c r="B2464" s="69" t="s">
        <v>4174</v>
      </c>
      <c r="C2464" s="70" t="s">
        <v>3138</v>
      </c>
      <c r="D2464" s="70"/>
      <c r="E2464" s="70" t="s">
        <v>3139</v>
      </c>
      <c r="F2464" s="70" t="s">
        <v>89</v>
      </c>
      <c r="G2464" s="70">
        <v>580</v>
      </c>
      <c r="H2464" s="71"/>
      <c r="I2464" s="134">
        <f t="shared" si="94"/>
        <v>0</v>
      </c>
      <c r="J2464" s="70"/>
      <c r="K2464" s="69" t="s">
        <v>4175</v>
      </c>
    </row>
    <row r="2465" spans="1:11" ht="28.5" customHeight="1" x14ac:dyDescent="0.25">
      <c r="A2465" s="68" t="s">
        <v>2655</v>
      </c>
      <c r="B2465" s="69" t="s">
        <v>4176</v>
      </c>
      <c r="C2465" s="70" t="s">
        <v>3138</v>
      </c>
      <c r="D2465" s="70"/>
      <c r="E2465" s="70" t="s">
        <v>3139</v>
      </c>
      <c r="F2465" s="70" t="s">
        <v>89</v>
      </c>
      <c r="G2465" s="70">
        <v>150</v>
      </c>
      <c r="H2465" s="71"/>
      <c r="I2465" s="134">
        <f t="shared" si="94"/>
        <v>0</v>
      </c>
      <c r="J2465" s="70"/>
      <c r="K2465" s="69" t="s">
        <v>4177</v>
      </c>
    </row>
    <row r="2466" spans="1:11" ht="28.5" customHeight="1" x14ac:dyDescent="0.25">
      <c r="A2466" s="68" t="s">
        <v>2658</v>
      </c>
      <c r="B2466" s="69" t="s">
        <v>4178</v>
      </c>
      <c r="C2466" s="70" t="s">
        <v>3138</v>
      </c>
      <c r="D2466" s="70"/>
      <c r="E2466" s="70" t="s">
        <v>3139</v>
      </c>
      <c r="F2466" s="70" t="s">
        <v>89</v>
      </c>
      <c r="G2466" s="70">
        <v>400</v>
      </c>
      <c r="H2466" s="71"/>
      <c r="I2466" s="134">
        <f t="shared" si="94"/>
        <v>0</v>
      </c>
      <c r="J2466" s="70"/>
      <c r="K2466" s="69" t="s">
        <v>4179</v>
      </c>
    </row>
    <row r="2467" spans="1:11" ht="28.5" customHeight="1" x14ac:dyDescent="0.25">
      <c r="A2467" s="68" t="s">
        <v>2660</v>
      </c>
      <c r="B2467" s="69" t="s">
        <v>4180</v>
      </c>
      <c r="C2467" s="70" t="s">
        <v>3138</v>
      </c>
      <c r="D2467" s="70"/>
      <c r="E2467" s="70" t="s">
        <v>3139</v>
      </c>
      <c r="F2467" s="70" t="s">
        <v>89</v>
      </c>
      <c r="G2467" s="70">
        <v>5420</v>
      </c>
      <c r="H2467" s="71"/>
      <c r="I2467" s="134">
        <f t="shared" si="94"/>
        <v>0</v>
      </c>
      <c r="J2467" s="70"/>
      <c r="K2467" s="69" t="s">
        <v>4181</v>
      </c>
    </row>
    <row r="2468" spans="1:11" ht="28.5" customHeight="1" x14ac:dyDescent="0.25">
      <c r="A2468" s="68" t="s">
        <v>2664</v>
      </c>
      <c r="B2468" s="69" t="s">
        <v>4182</v>
      </c>
      <c r="C2468" s="70" t="s">
        <v>3138</v>
      </c>
      <c r="D2468" s="70"/>
      <c r="E2468" s="70" t="s">
        <v>3139</v>
      </c>
      <c r="F2468" s="70" t="s">
        <v>89</v>
      </c>
      <c r="G2468" s="70">
        <v>1650</v>
      </c>
      <c r="H2468" s="71"/>
      <c r="I2468" s="134">
        <f t="shared" si="94"/>
        <v>0</v>
      </c>
      <c r="J2468" s="70"/>
      <c r="K2468" s="69" t="s">
        <v>4183</v>
      </c>
    </row>
    <row r="2469" spans="1:11" ht="28.5" customHeight="1" x14ac:dyDescent="0.25">
      <c r="A2469" s="68" t="s">
        <v>2667</v>
      </c>
      <c r="B2469" s="69" t="s">
        <v>4184</v>
      </c>
      <c r="C2469" s="70" t="s">
        <v>3138</v>
      </c>
      <c r="D2469" s="70"/>
      <c r="E2469" s="70" t="s">
        <v>3139</v>
      </c>
      <c r="F2469" s="70" t="s">
        <v>89</v>
      </c>
      <c r="G2469" s="70">
        <v>500</v>
      </c>
      <c r="H2469" s="71"/>
      <c r="I2469" s="134">
        <f t="shared" si="94"/>
        <v>0</v>
      </c>
      <c r="J2469" s="70"/>
      <c r="K2469" s="69" t="s">
        <v>4185</v>
      </c>
    </row>
    <row r="2470" spans="1:11" ht="28.5" customHeight="1" x14ac:dyDescent="0.25">
      <c r="A2470" s="68" t="s">
        <v>2670</v>
      </c>
      <c r="B2470" s="69" t="s">
        <v>4186</v>
      </c>
      <c r="C2470" s="70" t="s">
        <v>3138</v>
      </c>
      <c r="D2470" s="70"/>
      <c r="E2470" s="70" t="s">
        <v>3139</v>
      </c>
      <c r="F2470" s="70" t="s">
        <v>89</v>
      </c>
      <c r="G2470" s="70">
        <v>100</v>
      </c>
      <c r="H2470" s="71"/>
      <c r="I2470" s="134">
        <f t="shared" si="94"/>
        <v>0</v>
      </c>
      <c r="J2470" s="70"/>
      <c r="K2470" s="69" t="s">
        <v>4185</v>
      </c>
    </row>
    <row r="2471" spans="1:11" ht="54" customHeight="1" x14ac:dyDescent="0.25">
      <c r="A2471" s="68" t="s">
        <v>2673</v>
      </c>
      <c r="B2471" s="69" t="s">
        <v>4187</v>
      </c>
      <c r="C2471" s="70" t="s">
        <v>4188</v>
      </c>
      <c r="D2471" s="70"/>
      <c r="E2471" s="70" t="s">
        <v>3139</v>
      </c>
      <c r="F2471" s="70" t="s">
        <v>89</v>
      </c>
      <c r="G2471" s="70">
        <v>15</v>
      </c>
      <c r="H2471" s="71"/>
      <c r="I2471" s="134">
        <f t="shared" si="94"/>
        <v>0</v>
      </c>
      <c r="J2471" s="70"/>
      <c r="K2471" s="69"/>
    </row>
    <row r="2472" spans="1:11" ht="41.25" customHeight="1" x14ac:dyDescent="0.25">
      <c r="A2472" s="68" t="s">
        <v>2676</v>
      </c>
      <c r="B2472" s="69" t="s">
        <v>4189</v>
      </c>
      <c r="C2472" s="70" t="s">
        <v>4188</v>
      </c>
      <c r="D2472" s="70"/>
      <c r="E2472" s="70" t="s">
        <v>3139</v>
      </c>
      <c r="F2472" s="70" t="s">
        <v>89</v>
      </c>
      <c r="G2472" s="70">
        <v>10</v>
      </c>
      <c r="H2472" s="71"/>
      <c r="I2472" s="134">
        <f t="shared" si="94"/>
        <v>0</v>
      </c>
      <c r="J2472" s="70"/>
      <c r="K2472" s="69"/>
    </row>
    <row r="2473" spans="1:11" ht="15.75" customHeight="1" x14ac:dyDescent="0.25">
      <c r="A2473" s="68" t="s">
        <v>2678</v>
      </c>
      <c r="B2473" s="69" t="s">
        <v>2872</v>
      </c>
      <c r="C2473" s="70"/>
      <c r="D2473" s="70"/>
      <c r="E2473" s="3" t="s">
        <v>292</v>
      </c>
      <c r="F2473" s="70" t="s">
        <v>78</v>
      </c>
      <c r="G2473" s="70">
        <v>5000</v>
      </c>
      <c r="H2473" s="71"/>
      <c r="I2473" s="134">
        <f t="shared" si="94"/>
        <v>0</v>
      </c>
      <c r="J2473" s="70"/>
      <c r="K2473" s="69"/>
    </row>
    <row r="2474" spans="1:11" ht="15.75" customHeight="1" x14ac:dyDescent="0.25">
      <c r="A2474" s="68" t="s">
        <v>2681</v>
      </c>
      <c r="B2474" s="69" t="s">
        <v>2875</v>
      </c>
      <c r="C2474" s="70" t="s">
        <v>2977</v>
      </c>
      <c r="D2474" s="70"/>
      <c r="E2474" s="70" t="s">
        <v>46</v>
      </c>
      <c r="F2474" s="70" t="s">
        <v>78</v>
      </c>
      <c r="G2474" s="70">
        <v>5000</v>
      </c>
      <c r="H2474" s="71"/>
      <c r="I2474" s="134">
        <f t="shared" si="94"/>
        <v>0</v>
      </c>
      <c r="J2474" s="70"/>
      <c r="K2474" s="69"/>
    </row>
    <row r="2475" spans="1:11" ht="15.75" customHeight="1" x14ac:dyDescent="0.25">
      <c r="A2475" s="68" t="s">
        <v>2684</v>
      </c>
      <c r="B2475" s="69" t="s">
        <v>2878</v>
      </c>
      <c r="C2475" s="70" t="s">
        <v>2879</v>
      </c>
      <c r="D2475" s="70"/>
      <c r="E2475" s="70" t="s">
        <v>2880</v>
      </c>
      <c r="F2475" s="70" t="s">
        <v>89</v>
      </c>
      <c r="G2475" s="70">
        <v>60</v>
      </c>
      <c r="H2475" s="71"/>
      <c r="I2475" s="134">
        <f t="shared" si="94"/>
        <v>0</v>
      </c>
      <c r="J2475" s="70"/>
      <c r="K2475" s="69"/>
    </row>
    <row r="2476" spans="1:11" ht="15.75" customHeight="1" x14ac:dyDescent="0.25">
      <c r="A2476" s="68" t="s">
        <v>2686</v>
      </c>
      <c r="B2476" s="69" t="s">
        <v>2888</v>
      </c>
      <c r="C2476" s="70" t="s">
        <v>2889</v>
      </c>
      <c r="D2476" s="70"/>
      <c r="E2476" s="3" t="s">
        <v>292</v>
      </c>
      <c r="F2476" s="70" t="s">
        <v>78</v>
      </c>
      <c r="G2476" s="70">
        <v>3</v>
      </c>
      <c r="H2476" s="71"/>
      <c r="I2476" s="134">
        <f t="shared" si="94"/>
        <v>0</v>
      </c>
      <c r="J2476" s="70"/>
      <c r="K2476" s="69"/>
    </row>
    <row r="2477" spans="1:11" ht="15.75" customHeight="1" x14ac:dyDescent="0.25">
      <c r="A2477" s="68" t="s">
        <v>2689</v>
      </c>
      <c r="B2477" s="69" t="s">
        <v>2891</v>
      </c>
      <c r="C2477" s="70" t="s">
        <v>2892</v>
      </c>
      <c r="D2477" s="70"/>
      <c r="E2477" s="3" t="s">
        <v>292</v>
      </c>
      <c r="F2477" s="70" t="s">
        <v>78</v>
      </c>
      <c r="G2477" s="70">
        <v>18</v>
      </c>
      <c r="H2477" s="71"/>
      <c r="I2477" s="134">
        <f t="shared" si="94"/>
        <v>0</v>
      </c>
      <c r="J2477" s="70"/>
      <c r="K2477" s="69"/>
    </row>
    <row r="2478" spans="1:11" ht="15.75" customHeight="1" x14ac:dyDescent="0.25">
      <c r="A2478" s="72"/>
      <c r="B2478" s="73" t="s">
        <v>4190</v>
      </c>
      <c r="C2478" s="74"/>
      <c r="D2478" s="74"/>
      <c r="E2478" s="74"/>
      <c r="F2478" s="74"/>
      <c r="G2478" s="74"/>
      <c r="H2478" s="75"/>
      <c r="I2478" s="135"/>
      <c r="J2478" s="74"/>
      <c r="K2478" s="73"/>
    </row>
    <row r="2479" spans="1:11" ht="15.75" customHeight="1" x14ac:dyDescent="0.25">
      <c r="A2479" s="68" t="s">
        <v>2086</v>
      </c>
      <c r="B2479" s="69" t="s">
        <v>4191</v>
      </c>
      <c r="C2479" s="70" t="s">
        <v>4192</v>
      </c>
      <c r="D2479" s="70"/>
      <c r="E2479" s="70" t="s">
        <v>4193</v>
      </c>
      <c r="F2479" s="70" t="s">
        <v>78</v>
      </c>
      <c r="G2479" s="70">
        <v>1</v>
      </c>
      <c r="H2479" s="71"/>
      <c r="I2479" s="134">
        <f t="shared" ref="I2479:I2490" si="95">H2479*G2479</f>
        <v>0</v>
      </c>
      <c r="J2479" s="70"/>
      <c r="K2479" s="69"/>
    </row>
    <row r="2480" spans="1:11" ht="15.75" customHeight="1" x14ac:dyDescent="0.25">
      <c r="A2480" s="68" t="s">
        <v>2093</v>
      </c>
      <c r="B2480" s="69" t="s">
        <v>4194</v>
      </c>
      <c r="C2480" s="70" t="s">
        <v>4195</v>
      </c>
      <c r="D2480" s="70"/>
      <c r="E2480" s="70" t="s">
        <v>4193</v>
      </c>
      <c r="F2480" s="70" t="s">
        <v>78</v>
      </c>
      <c r="G2480" s="70">
        <v>1</v>
      </c>
      <c r="H2480" s="71"/>
      <c r="I2480" s="134">
        <f t="shared" si="95"/>
        <v>0</v>
      </c>
      <c r="J2480" s="70"/>
      <c r="K2480" s="69"/>
    </row>
    <row r="2481" spans="1:11" ht="15.75" customHeight="1" x14ac:dyDescent="0.25">
      <c r="A2481" s="68" t="s">
        <v>2097</v>
      </c>
      <c r="B2481" s="69" t="s">
        <v>4196</v>
      </c>
      <c r="C2481" s="70" t="s">
        <v>4197</v>
      </c>
      <c r="D2481" s="70"/>
      <c r="E2481" s="70" t="s">
        <v>4193</v>
      </c>
      <c r="F2481" s="70" t="s">
        <v>78</v>
      </c>
      <c r="G2481" s="70">
        <v>143</v>
      </c>
      <c r="H2481" s="71"/>
      <c r="I2481" s="134">
        <f t="shared" si="95"/>
        <v>0</v>
      </c>
      <c r="J2481" s="70"/>
      <c r="K2481" s="69"/>
    </row>
    <row r="2482" spans="1:11" ht="15.75" customHeight="1" x14ac:dyDescent="0.25">
      <c r="A2482" s="68" t="s">
        <v>2101</v>
      </c>
      <c r="B2482" s="69" t="s">
        <v>4198</v>
      </c>
      <c r="C2482" s="70" t="s">
        <v>4199</v>
      </c>
      <c r="D2482" s="70"/>
      <c r="E2482" s="70" t="s">
        <v>4193</v>
      </c>
      <c r="F2482" s="70" t="s">
        <v>78</v>
      </c>
      <c r="G2482" s="70">
        <v>23</v>
      </c>
      <c r="H2482" s="71"/>
      <c r="I2482" s="134">
        <f t="shared" si="95"/>
        <v>0</v>
      </c>
      <c r="J2482" s="70"/>
      <c r="K2482" s="69"/>
    </row>
    <row r="2483" spans="1:11" ht="15.75" customHeight="1" x14ac:dyDescent="0.25">
      <c r="A2483" s="68" t="s">
        <v>2105</v>
      </c>
      <c r="B2483" s="69" t="s">
        <v>4200</v>
      </c>
      <c r="C2483" s="70" t="s">
        <v>4201</v>
      </c>
      <c r="D2483" s="70"/>
      <c r="E2483" s="70" t="s">
        <v>4193</v>
      </c>
      <c r="F2483" s="70" t="s">
        <v>78</v>
      </c>
      <c r="G2483" s="70">
        <v>4</v>
      </c>
      <c r="H2483" s="71"/>
      <c r="I2483" s="134">
        <f t="shared" si="95"/>
        <v>0</v>
      </c>
      <c r="J2483" s="70"/>
      <c r="K2483" s="69"/>
    </row>
    <row r="2484" spans="1:11" ht="15.75" customHeight="1" x14ac:dyDescent="0.25">
      <c r="A2484" s="68" t="s">
        <v>2106</v>
      </c>
      <c r="B2484" s="69" t="s">
        <v>4202</v>
      </c>
      <c r="C2484" s="70" t="s">
        <v>4203</v>
      </c>
      <c r="D2484" s="70"/>
      <c r="E2484" s="70" t="s">
        <v>4193</v>
      </c>
      <c r="F2484" s="70" t="s">
        <v>78</v>
      </c>
      <c r="G2484" s="70">
        <v>113</v>
      </c>
      <c r="H2484" s="71"/>
      <c r="I2484" s="134">
        <f t="shared" si="95"/>
        <v>0</v>
      </c>
      <c r="J2484" s="70"/>
      <c r="K2484" s="69"/>
    </row>
    <row r="2485" spans="1:11" ht="28.5" customHeight="1" x14ac:dyDescent="0.25">
      <c r="A2485" s="68" t="s">
        <v>2108</v>
      </c>
      <c r="B2485" s="69" t="s">
        <v>4204</v>
      </c>
      <c r="C2485" s="70" t="s">
        <v>3138</v>
      </c>
      <c r="D2485" s="70"/>
      <c r="E2485" s="70" t="s">
        <v>3139</v>
      </c>
      <c r="F2485" s="70" t="s">
        <v>89</v>
      </c>
      <c r="G2485" s="70">
        <v>1500</v>
      </c>
      <c r="H2485" s="71"/>
      <c r="I2485" s="134">
        <f t="shared" si="95"/>
        <v>0</v>
      </c>
      <c r="J2485" s="70"/>
      <c r="K2485" s="69"/>
    </row>
    <row r="2486" spans="1:11" ht="28.5" customHeight="1" x14ac:dyDescent="0.25">
      <c r="A2486" s="68" t="s">
        <v>2110</v>
      </c>
      <c r="B2486" s="69" t="s">
        <v>4205</v>
      </c>
      <c r="C2486" s="70" t="s">
        <v>3138</v>
      </c>
      <c r="D2486" s="70"/>
      <c r="E2486" s="70" t="s">
        <v>3139</v>
      </c>
      <c r="F2486" s="70" t="s">
        <v>89</v>
      </c>
      <c r="G2486" s="70">
        <v>90</v>
      </c>
      <c r="H2486" s="71"/>
      <c r="I2486" s="134">
        <f t="shared" si="95"/>
        <v>0</v>
      </c>
      <c r="J2486" s="70"/>
      <c r="K2486" s="69"/>
    </row>
    <row r="2487" spans="1:11" ht="41.25" customHeight="1" x14ac:dyDescent="0.25">
      <c r="A2487" s="76" t="s">
        <v>4206</v>
      </c>
      <c r="B2487" s="77" t="s">
        <v>4207</v>
      </c>
      <c r="C2487" s="78"/>
      <c r="D2487" s="78"/>
      <c r="E2487" s="78"/>
      <c r="F2487" s="78" t="s">
        <v>89</v>
      </c>
      <c r="G2487" s="78">
        <v>140</v>
      </c>
      <c r="H2487" s="79"/>
      <c r="I2487" s="136">
        <f t="shared" si="95"/>
        <v>0</v>
      </c>
      <c r="J2487" s="78"/>
      <c r="K2487" s="77" t="s">
        <v>4208</v>
      </c>
    </row>
    <row r="2488" spans="1:11" ht="41.25" customHeight="1" x14ac:dyDescent="0.25">
      <c r="A2488" s="76" t="s">
        <v>4209</v>
      </c>
      <c r="B2488" s="77" t="s">
        <v>4210</v>
      </c>
      <c r="C2488" s="78"/>
      <c r="D2488" s="78"/>
      <c r="E2488" s="78"/>
      <c r="F2488" s="78" t="s">
        <v>89</v>
      </c>
      <c r="G2488" s="78">
        <v>25</v>
      </c>
      <c r="H2488" s="79"/>
      <c r="I2488" s="136">
        <f t="shared" si="95"/>
        <v>0</v>
      </c>
      <c r="J2488" s="78"/>
      <c r="K2488" s="77" t="s">
        <v>4211</v>
      </c>
    </row>
    <row r="2489" spans="1:11" ht="54" customHeight="1" x14ac:dyDescent="0.25">
      <c r="A2489" s="76" t="s">
        <v>563</v>
      </c>
      <c r="B2489" s="77" t="s">
        <v>4212</v>
      </c>
      <c r="C2489" s="78"/>
      <c r="D2489" s="78"/>
      <c r="E2489" s="78"/>
      <c r="F2489" s="78" t="s">
        <v>78</v>
      </c>
      <c r="G2489" s="78">
        <v>1</v>
      </c>
      <c r="H2489" s="79"/>
      <c r="I2489" s="136">
        <f t="shared" si="95"/>
        <v>0</v>
      </c>
      <c r="J2489" s="78"/>
      <c r="K2489" s="77" t="s">
        <v>4213</v>
      </c>
    </row>
    <row r="2490" spans="1:11" ht="28.5" customHeight="1" x14ac:dyDescent="0.25">
      <c r="A2490" s="76" t="s">
        <v>4214</v>
      </c>
      <c r="B2490" s="77" t="s">
        <v>4215</v>
      </c>
      <c r="C2490" s="78" t="s">
        <v>4216</v>
      </c>
      <c r="D2490" s="78"/>
      <c r="E2490" s="78"/>
      <c r="F2490" s="78" t="s">
        <v>78</v>
      </c>
      <c r="G2490" s="78">
        <v>9</v>
      </c>
      <c r="H2490" s="79"/>
      <c r="I2490" s="136">
        <f t="shared" si="95"/>
        <v>0</v>
      </c>
      <c r="J2490" s="78"/>
      <c r="K2490" s="77" t="s">
        <v>4217</v>
      </c>
    </row>
    <row r="2491" spans="1:11" ht="15.75" customHeight="1" x14ac:dyDescent="0.25"/>
    <row r="2492" spans="1:11" ht="24" customHeight="1" x14ac:dyDescent="0.25">
      <c r="A2492" s="72" t="s">
        <v>4218</v>
      </c>
      <c r="B2492" s="73" t="s">
        <v>4219</v>
      </c>
      <c r="C2492" s="74"/>
      <c r="D2492" s="74"/>
      <c r="E2492" s="74"/>
      <c r="F2492" s="74"/>
      <c r="G2492" s="74"/>
      <c r="H2492" s="75"/>
      <c r="I2492" s="135"/>
      <c r="J2492" s="74"/>
      <c r="K2492" s="73"/>
    </row>
    <row r="2493" spans="1:11" ht="15" customHeight="1" x14ac:dyDescent="0.25">
      <c r="A2493" s="80" t="s">
        <v>4220</v>
      </c>
      <c r="B2493" s="80" t="s">
        <v>4221</v>
      </c>
      <c r="C2493" s="80"/>
      <c r="D2493" s="80"/>
      <c r="E2493" s="80"/>
      <c r="F2493" s="80"/>
      <c r="G2493" s="81"/>
      <c r="H2493" s="80"/>
      <c r="I2493" s="137"/>
      <c r="J2493" s="80"/>
      <c r="K2493" s="80"/>
    </row>
    <row r="2494" spans="1:11" ht="15" customHeight="1" x14ac:dyDescent="0.25">
      <c r="A2494" s="80" t="s">
        <v>4222</v>
      </c>
      <c r="B2494" s="80" t="s">
        <v>4221</v>
      </c>
      <c r="C2494" s="80"/>
      <c r="D2494" s="80"/>
      <c r="E2494" s="80"/>
      <c r="F2494" s="80"/>
      <c r="G2494" s="81"/>
      <c r="H2494" s="80"/>
      <c r="I2494" s="137"/>
      <c r="J2494" s="80"/>
      <c r="K2494" s="80"/>
    </row>
    <row r="2495" spans="1:11" ht="15" customHeight="1" x14ac:dyDescent="0.25">
      <c r="A2495" s="80" t="s">
        <v>4223</v>
      </c>
      <c r="B2495" s="80" t="s">
        <v>4221</v>
      </c>
      <c r="C2495" s="80"/>
      <c r="D2495" s="80"/>
      <c r="E2495" s="80"/>
      <c r="F2495" s="80"/>
      <c r="G2495" s="81"/>
      <c r="H2495" s="80"/>
      <c r="I2495" s="137"/>
      <c r="J2495" s="80"/>
      <c r="K2495" s="80"/>
    </row>
    <row r="2496" spans="1:11" ht="15" customHeight="1" x14ac:dyDescent="0.25">
      <c r="A2496" s="80" t="s">
        <v>4224</v>
      </c>
      <c r="B2496" s="80" t="s">
        <v>4225</v>
      </c>
      <c r="C2496" s="80"/>
      <c r="D2496" s="80"/>
      <c r="E2496" s="80"/>
      <c r="F2496" s="80"/>
      <c r="G2496" s="81"/>
      <c r="H2496" s="80"/>
      <c r="I2496" s="137"/>
      <c r="J2496" s="80"/>
      <c r="K2496" s="80"/>
    </row>
    <row r="2497" spans="1:11" ht="39" customHeight="1" x14ac:dyDescent="0.25">
      <c r="A2497" s="82" t="s">
        <v>4226</v>
      </c>
      <c r="B2497" s="83" t="s">
        <v>4227</v>
      </c>
      <c r="C2497" s="83"/>
      <c r="D2497" s="83"/>
      <c r="E2497" s="83" t="s">
        <v>4228</v>
      </c>
      <c r="F2497" s="82" t="s">
        <v>78</v>
      </c>
      <c r="G2497" s="82">
        <v>4</v>
      </c>
      <c r="H2497" s="82"/>
      <c r="I2497" s="138">
        <f t="shared" ref="I2497:I2504" si="96">H2497*G2497</f>
        <v>0</v>
      </c>
      <c r="J2497" s="82"/>
      <c r="K2497" s="83"/>
    </row>
    <row r="2498" spans="1:11" ht="39" customHeight="1" x14ac:dyDescent="0.25">
      <c r="A2498" s="82" t="s">
        <v>4229</v>
      </c>
      <c r="B2498" s="83" t="s">
        <v>4230</v>
      </c>
      <c r="C2498" s="83"/>
      <c r="D2498" s="83"/>
      <c r="E2498" s="83" t="s">
        <v>4228</v>
      </c>
      <c r="F2498" s="82" t="s">
        <v>78</v>
      </c>
      <c r="G2498" s="82">
        <v>1</v>
      </c>
      <c r="H2498" s="82"/>
      <c r="I2498" s="138">
        <f t="shared" si="96"/>
        <v>0</v>
      </c>
      <c r="J2498" s="82"/>
      <c r="K2498" s="83"/>
    </row>
    <row r="2499" spans="1:11" ht="27" customHeight="1" x14ac:dyDescent="0.25">
      <c r="A2499" s="82" t="s">
        <v>432</v>
      </c>
      <c r="B2499" s="83" t="s">
        <v>4231</v>
      </c>
      <c r="C2499" s="83"/>
      <c r="D2499" s="83"/>
      <c r="E2499" s="83" t="s">
        <v>4228</v>
      </c>
      <c r="F2499" s="82" t="s">
        <v>78</v>
      </c>
      <c r="G2499" s="82">
        <v>2</v>
      </c>
      <c r="H2499" s="82">
        <v>12000</v>
      </c>
      <c r="I2499" s="138">
        <f t="shared" si="96"/>
        <v>24000</v>
      </c>
      <c r="J2499" s="82"/>
      <c r="K2499" s="83"/>
    </row>
    <row r="2500" spans="1:11" ht="39" customHeight="1" x14ac:dyDescent="0.25">
      <c r="A2500" s="82" t="s">
        <v>459</v>
      </c>
      <c r="B2500" s="83" t="s">
        <v>4232</v>
      </c>
      <c r="C2500" s="83"/>
      <c r="D2500" s="83"/>
      <c r="E2500" s="83" t="s">
        <v>4228</v>
      </c>
      <c r="F2500" s="82" t="s">
        <v>78</v>
      </c>
      <c r="G2500" s="82">
        <v>2</v>
      </c>
      <c r="H2500" s="82"/>
      <c r="I2500" s="138">
        <f t="shared" si="96"/>
        <v>0</v>
      </c>
      <c r="J2500" s="82"/>
      <c r="K2500" s="83"/>
    </row>
    <row r="2501" spans="1:11" ht="27" customHeight="1" x14ac:dyDescent="0.25">
      <c r="A2501" s="82" t="s">
        <v>4233</v>
      </c>
      <c r="B2501" s="83" t="s">
        <v>4234</v>
      </c>
      <c r="C2501" s="83"/>
      <c r="D2501" s="83"/>
      <c r="E2501" s="83" t="s">
        <v>4228</v>
      </c>
      <c r="F2501" s="82" t="s">
        <v>78</v>
      </c>
      <c r="G2501" s="82">
        <v>1</v>
      </c>
      <c r="H2501" s="82"/>
      <c r="I2501" s="138">
        <f t="shared" si="96"/>
        <v>0</v>
      </c>
      <c r="J2501" s="82"/>
      <c r="K2501" s="83"/>
    </row>
    <row r="2502" spans="1:11" ht="15" customHeight="1" x14ac:dyDescent="0.25">
      <c r="A2502" s="82" t="s">
        <v>2131</v>
      </c>
      <c r="B2502" s="83" t="s">
        <v>4235</v>
      </c>
      <c r="C2502" s="83"/>
      <c r="D2502" s="83"/>
      <c r="E2502" s="83" t="s">
        <v>4228</v>
      </c>
      <c r="F2502" s="82" t="s">
        <v>78</v>
      </c>
      <c r="G2502" s="82">
        <v>2</v>
      </c>
      <c r="H2502" s="82">
        <v>2000</v>
      </c>
      <c r="I2502" s="138">
        <f t="shared" si="96"/>
        <v>4000</v>
      </c>
      <c r="J2502" s="82"/>
      <c r="K2502" s="83"/>
    </row>
    <row r="2503" spans="1:11" ht="15" customHeight="1" x14ac:dyDescent="0.25">
      <c r="A2503" s="82" t="s">
        <v>4236</v>
      </c>
      <c r="B2503" s="83" t="s">
        <v>4237</v>
      </c>
      <c r="C2503" s="83"/>
      <c r="D2503" s="83"/>
      <c r="E2503" s="83" t="s">
        <v>4228</v>
      </c>
      <c r="F2503" s="82" t="s">
        <v>78</v>
      </c>
      <c r="G2503" s="82">
        <v>2</v>
      </c>
      <c r="H2503" s="82">
        <v>700</v>
      </c>
      <c r="I2503" s="138">
        <f t="shared" si="96"/>
        <v>1400</v>
      </c>
      <c r="J2503" s="82"/>
      <c r="K2503" s="83"/>
    </row>
    <row r="2504" spans="1:11" ht="15" customHeight="1" x14ac:dyDescent="0.25">
      <c r="A2504" s="82" t="s">
        <v>4236</v>
      </c>
      <c r="B2504" s="83" t="s">
        <v>4238</v>
      </c>
      <c r="C2504" s="83"/>
      <c r="D2504" s="83"/>
      <c r="E2504" s="83" t="s">
        <v>4228</v>
      </c>
      <c r="F2504" s="82" t="s">
        <v>78</v>
      </c>
      <c r="G2504" s="82">
        <v>1</v>
      </c>
      <c r="H2504" s="82">
        <v>5069</v>
      </c>
      <c r="I2504" s="138">
        <f t="shared" si="96"/>
        <v>5069</v>
      </c>
      <c r="J2504" s="82"/>
      <c r="K2504" s="83" t="s">
        <v>4239</v>
      </c>
    </row>
    <row r="2505" spans="1:11" ht="15" customHeight="1" x14ac:dyDescent="0.25">
      <c r="A2505" s="80" t="s">
        <v>4240</v>
      </c>
      <c r="B2505" s="80" t="s">
        <v>4241</v>
      </c>
      <c r="C2505" s="80"/>
      <c r="D2505" s="80"/>
      <c r="E2505" s="80"/>
      <c r="F2505" s="80"/>
      <c r="G2505" s="81"/>
      <c r="H2505" s="80"/>
      <c r="I2505" s="137"/>
      <c r="J2505" s="80"/>
      <c r="K2505" s="80"/>
    </row>
    <row r="2506" spans="1:11" ht="27" customHeight="1" x14ac:dyDescent="0.25">
      <c r="A2506" s="82" t="s">
        <v>4242</v>
      </c>
      <c r="B2506" s="83" t="s">
        <v>4243</v>
      </c>
      <c r="C2506" s="83" t="s">
        <v>4244</v>
      </c>
      <c r="D2506" s="83"/>
      <c r="E2506" s="83" t="s">
        <v>4228</v>
      </c>
      <c r="F2506" s="82" t="s">
        <v>78</v>
      </c>
      <c r="G2506" s="82">
        <v>1</v>
      </c>
      <c r="H2506" s="82">
        <v>1950</v>
      </c>
      <c r="I2506" s="138">
        <f>H2506*G2506</f>
        <v>1950</v>
      </c>
      <c r="J2506" s="82"/>
      <c r="K2506" s="83" t="s">
        <v>4246</v>
      </c>
    </row>
    <row r="2507" spans="1:11" ht="27" customHeight="1" x14ac:dyDescent="0.25">
      <c r="A2507" s="82" t="s">
        <v>4247</v>
      </c>
      <c r="B2507" s="83" t="s">
        <v>4248</v>
      </c>
      <c r="C2507" s="83"/>
      <c r="D2507" s="83"/>
      <c r="E2507" s="83" t="s">
        <v>4228</v>
      </c>
      <c r="F2507" s="82" t="s">
        <v>78</v>
      </c>
      <c r="G2507" s="82">
        <v>10</v>
      </c>
      <c r="H2507" s="82"/>
      <c r="I2507" s="138">
        <f>H2507*G2507</f>
        <v>0</v>
      </c>
      <c r="J2507" s="82"/>
      <c r="K2507" s="83" t="s">
        <v>4249</v>
      </c>
    </row>
    <row r="2508" spans="1:11" ht="15" customHeight="1" x14ac:dyDescent="0.25">
      <c r="A2508" s="80" t="s">
        <v>4250</v>
      </c>
      <c r="B2508" s="80" t="s">
        <v>4251</v>
      </c>
      <c r="C2508" s="80"/>
      <c r="D2508" s="80"/>
      <c r="E2508" s="80"/>
      <c r="F2508" s="80"/>
      <c r="G2508" s="81"/>
      <c r="H2508" s="80"/>
      <c r="I2508" s="137"/>
      <c r="J2508" s="80"/>
      <c r="K2508" s="80"/>
    </row>
    <row r="2509" spans="1:11" ht="27" customHeight="1" x14ac:dyDescent="0.25">
      <c r="A2509" s="82" t="s">
        <v>4247</v>
      </c>
      <c r="B2509" s="83" t="s">
        <v>4248</v>
      </c>
      <c r="C2509" s="83"/>
      <c r="D2509" s="83"/>
      <c r="E2509" s="83" t="s">
        <v>4228</v>
      </c>
      <c r="F2509" s="82" t="s">
        <v>78</v>
      </c>
      <c r="G2509" s="82">
        <v>10</v>
      </c>
      <c r="H2509" s="82"/>
      <c r="I2509" s="138">
        <f>H2509*G2509</f>
        <v>0</v>
      </c>
      <c r="J2509" s="82"/>
      <c r="K2509" s="83" t="s">
        <v>4252</v>
      </c>
    </row>
    <row r="2510" spans="1:11" ht="15" customHeight="1" x14ac:dyDescent="0.25">
      <c r="A2510" s="80" t="s">
        <v>4253</v>
      </c>
      <c r="B2510" s="80" t="s">
        <v>4254</v>
      </c>
      <c r="C2510" s="80"/>
      <c r="D2510" s="80"/>
      <c r="E2510" s="80"/>
      <c r="F2510" s="80"/>
      <c r="G2510" s="81"/>
      <c r="H2510" s="80"/>
      <c r="I2510" s="137"/>
      <c r="J2510" s="80"/>
      <c r="K2510" s="80"/>
    </row>
    <row r="2511" spans="1:11" ht="15" customHeight="1" x14ac:dyDescent="0.25">
      <c r="A2511" s="80" t="s">
        <v>4255</v>
      </c>
      <c r="B2511" s="80" t="s">
        <v>4256</v>
      </c>
      <c r="C2511" s="80"/>
      <c r="D2511" s="80"/>
      <c r="E2511" s="80"/>
      <c r="F2511" s="80"/>
      <c r="G2511" s="81"/>
      <c r="H2511" s="80"/>
      <c r="I2511" s="137"/>
      <c r="J2511" s="80"/>
      <c r="K2511" s="80"/>
    </row>
    <row r="2512" spans="1:11" ht="27" customHeight="1" x14ac:dyDescent="0.25">
      <c r="A2512" s="82" t="s">
        <v>4257</v>
      </c>
      <c r="B2512" s="83" t="s">
        <v>4258</v>
      </c>
      <c r="C2512" s="83"/>
      <c r="D2512" s="83"/>
      <c r="E2512" s="83" t="s">
        <v>4228</v>
      </c>
      <c r="F2512" s="82" t="s">
        <v>78</v>
      </c>
      <c r="G2512" s="82">
        <v>6</v>
      </c>
      <c r="H2512" s="82"/>
      <c r="I2512" s="138">
        <f>H2512*G2512</f>
        <v>0</v>
      </c>
      <c r="J2512" s="82"/>
      <c r="K2512" s="83"/>
    </row>
    <row r="2513" spans="1:11" ht="15" customHeight="1" x14ac:dyDescent="0.25">
      <c r="A2513" s="80" t="s">
        <v>4259</v>
      </c>
      <c r="B2513" s="80" t="s">
        <v>4260</v>
      </c>
      <c r="C2513" s="80"/>
      <c r="D2513" s="80"/>
      <c r="E2513" s="80"/>
      <c r="F2513" s="80"/>
      <c r="G2513" s="81"/>
      <c r="H2513" s="80"/>
      <c r="I2513" s="137"/>
      <c r="J2513" s="80"/>
      <c r="K2513" s="80"/>
    </row>
    <row r="2514" spans="1:11" ht="15" customHeight="1" x14ac:dyDescent="0.25">
      <c r="A2514" s="82" t="s">
        <v>375</v>
      </c>
      <c r="B2514" s="83" t="s">
        <v>4988</v>
      </c>
      <c r="C2514" s="83" t="s">
        <v>4989</v>
      </c>
      <c r="D2514" s="83"/>
      <c r="E2514" s="83" t="s">
        <v>4228</v>
      </c>
      <c r="F2514" s="82" t="s">
        <v>78</v>
      </c>
      <c r="G2514" s="82">
        <v>2</v>
      </c>
      <c r="H2514" s="82"/>
      <c r="I2514" s="138">
        <f t="shared" ref="I2514:I2524" si="97">H2514*G2514</f>
        <v>0</v>
      </c>
      <c r="J2514" s="82"/>
      <c r="K2514" s="83"/>
    </row>
    <row r="2515" spans="1:11" ht="27" customHeight="1" x14ac:dyDescent="0.25">
      <c r="A2515" s="82" t="s">
        <v>432</v>
      </c>
      <c r="B2515" s="83" t="s">
        <v>4231</v>
      </c>
      <c r="C2515" s="83"/>
      <c r="D2515" s="83"/>
      <c r="E2515" s="83" t="s">
        <v>4228</v>
      </c>
      <c r="F2515" s="82" t="s">
        <v>78</v>
      </c>
      <c r="G2515" s="82">
        <v>1</v>
      </c>
      <c r="H2515" s="82">
        <v>12000</v>
      </c>
      <c r="I2515" s="138">
        <f t="shared" si="97"/>
        <v>12000</v>
      </c>
      <c r="J2515" s="82"/>
      <c r="K2515" s="83"/>
    </row>
    <row r="2516" spans="1:11" ht="39" customHeight="1" x14ac:dyDescent="0.25">
      <c r="A2516" s="82" t="s">
        <v>459</v>
      </c>
      <c r="B2516" s="83" t="s">
        <v>4232</v>
      </c>
      <c r="C2516" s="83"/>
      <c r="D2516" s="83"/>
      <c r="E2516" s="83" t="s">
        <v>4228</v>
      </c>
      <c r="F2516" s="82" t="s">
        <v>78</v>
      </c>
      <c r="G2516" s="82">
        <v>2</v>
      </c>
      <c r="H2516" s="82"/>
      <c r="I2516" s="138">
        <f t="shared" si="97"/>
        <v>0</v>
      </c>
      <c r="J2516" s="82"/>
      <c r="K2516" s="83"/>
    </row>
    <row r="2517" spans="1:11" ht="27" customHeight="1" x14ac:dyDescent="0.25">
      <c r="A2517" s="82" t="s">
        <v>4233</v>
      </c>
      <c r="B2517" s="83" t="s">
        <v>4234</v>
      </c>
      <c r="C2517" s="83"/>
      <c r="D2517" s="83"/>
      <c r="E2517" s="83" t="s">
        <v>4228</v>
      </c>
      <c r="F2517" s="82" t="s">
        <v>78</v>
      </c>
      <c r="G2517" s="82">
        <v>1</v>
      </c>
      <c r="H2517" s="82"/>
      <c r="I2517" s="138">
        <f t="shared" si="97"/>
        <v>0</v>
      </c>
      <c r="J2517" s="82"/>
      <c r="K2517" s="83"/>
    </row>
    <row r="2518" spans="1:11" ht="15" customHeight="1" x14ac:dyDescent="0.25">
      <c r="A2518" s="82" t="s">
        <v>4262</v>
      </c>
      <c r="B2518" s="83" t="s">
        <v>4263</v>
      </c>
      <c r="C2518" s="83"/>
      <c r="D2518" s="83"/>
      <c r="E2518" s="83" t="s">
        <v>4228</v>
      </c>
      <c r="F2518" s="82" t="s">
        <v>78</v>
      </c>
      <c r="G2518" s="82">
        <v>1</v>
      </c>
      <c r="H2518" s="82">
        <v>2800</v>
      </c>
      <c r="I2518" s="138">
        <f t="shared" si="97"/>
        <v>2800</v>
      </c>
      <c r="J2518" s="82"/>
      <c r="K2518" s="83"/>
    </row>
    <row r="2519" spans="1:11" ht="39" customHeight="1" x14ac:dyDescent="0.25">
      <c r="A2519" s="82" t="s">
        <v>4264</v>
      </c>
      <c r="B2519" s="83" t="s">
        <v>4265</v>
      </c>
      <c r="C2519" s="83" t="s">
        <v>4266</v>
      </c>
      <c r="D2519" s="83"/>
      <c r="E2519" s="83" t="s">
        <v>4228</v>
      </c>
      <c r="F2519" s="82" t="s">
        <v>78</v>
      </c>
      <c r="G2519" s="82">
        <v>2</v>
      </c>
      <c r="H2519" s="82"/>
      <c r="I2519" s="138">
        <f t="shared" si="97"/>
        <v>0</v>
      </c>
      <c r="J2519" s="82"/>
      <c r="K2519" s="83"/>
    </row>
    <row r="2520" spans="1:11" ht="27" customHeight="1" x14ac:dyDescent="0.25">
      <c r="A2520" s="82" t="s">
        <v>4267</v>
      </c>
      <c r="B2520" s="83" t="s">
        <v>4268</v>
      </c>
      <c r="C2520" s="83" t="s">
        <v>4269</v>
      </c>
      <c r="D2520" s="83"/>
      <c r="E2520" s="83" t="s">
        <v>4228</v>
      </c>
      <c r="F2520" s="82" t="s">
        <v>78</v>
      </c>
      <c r="G2520" s="82">
        <v>1</v>
      </c>
      <c r="H2520" s="82"/>
      <c r="I2520" s="138">
        <f t="shared" si="97"/>
        <v>0</v>
      </c>
      <c r="J2520" s="82"/>
      <c r="K2520" s="83"/>
    </row>
    <row r="2521" spans="1:11" ht="15" customHeight="1" x14ac:dyDescent="0.25">
      <c r="A2521" s="82" t="s">
        <v>4270</v>
      </c>
      <c r="B2521" s="83" t="s">
        <v>4271</v>
      </c>
      <c r="C2521" s="83"/>
      <c r="D2521" s="83"/>
      <c r="E2521" s="83" t="s">
        <v>4228</v>
      </c>
      <c r="F2521" s="82" t="s">
        <v>78</v>
      </c>
      <c r="G2521" s="82">
        <v>1</v>
      </c>
      <c r="H2521" s="82"/>
      <c r="I2521" s="138">
        <f t="shared" si="97"/>
        <v>0</v>
      </c>
      <c r="J2521" s="82"/>
      <c r="K2521" s="83"/>
    </row>
    <row r="2522" spans="1:11" ht="15" customHeight="1" x14ac:dyDescent="0.25">
      <c r="A2522" s="82" t="s">
        <v>2131</v>
      </c>
      <c r="B2522" s="83" t="s">
        <v>4235</v>
      </c>
      <c r="C2522" s="83"/>
      <c r="D2522" s="83"/>
      <c r="E2522" s="83" t="s">
        <v>4228</v>
      </c>
      <c r="F2522" s="82" t="s">
        <v>78</v>
      </c>
      <c r="G2522" s="82">
        <v>1</v>
      </c>
      <c r="H2522" s="82">
        <v>2000</v>
      </c>
      <c r="I2522" s="138">
        <f t="shared" si="97"/>
        <v>2000</v>
      </c>
      <c r="J2522" s="82"/>
      <c r="K2522" s="83"/>
    </row>
    <row r="2523" spans="1:11" ht="15" customHeight="1" x14ac:dyDescent="0.25">
      <c r="A2523" s="82" t="s">
        <v>4236</v>
      </c>
      <c r="B2523" s="83" t="s">
        <v>4237</v>
      </c>
      <c r="C2523" s="83"/>
      <c r="D2523" s="83"/>
      <c r="E2523" s="83" t="s">
        <v>4228</v>
      </c>
      <c r="F2523" s="82" t="s">
        <v>78</v>
      </c>
      <c r="G2523" s="82">
        <v>1</v>
      </c>
      <c r="H2523" s="82">
        <v>700</v>
      </c>
      <c r="I2523" s="138">
        <f t="shared" si="97"/>
        <v>700</v>
      </c>
      <c r="J2523" s="82"/>
      <c r="K2523" s="83"/>
    </row>
    <row r="2524" spans="1:11" ht="15" customHeight="1" x14ac:dyDescent="0.25">
      <c r="A2524" s="82" t="s">
        <v>4236</v>
      </c>
      <c r="B2524" s="83" t="s">
        <v>4238</v>
      </c>
      <c r="C2524" s="83"/>
      <c r="D2524" s="83"/>
      <c r="E2524" s="83" t="s">
        <v>4228</v>
      </c>
      <c r="F2524" s="82" t="s">
        <v>78</v>
      </c>
      <c r="G2524" s="82">
        <v>1</v>
      </c>
      <c r="H2524" s="82">
        <v>5069</v>
      </c>
      <c r="I2524" s="138">
        <f t="shared" si="97"/>
        <v>5069</v>
      </c>
      <c r="J2524" s="82"/>
      <c r="K2524" s="83" t="s">
        <v>4239</v>
      </c>
    </row>
    <row r="2525" spans="1:11" ht="15" customHeight="1" x14ac:dyDescent="0.25">
      <c r="A2525" s="80" t="s">
        <v>4272</v>
      </c>
      <c r="B2525" s="80" t="s">
        <v>4273</v>
      </c>
      <c r="C2525" s="80"/>
      <c r="D2525" s="80"/>
      <c r="E2525" s="80"/>
      <c r="F2525" s="80"/>
      <c r="G2525" s="81"/>
      <c r="H2525" s="80"/>
      <c r="I2525" s="137"/>
      <c r="J2525" s="80"/>
      <c r="K2525" s="80"/>
    </row>
    <row r="2526" spans="1:11" ht="39" customHeight="1" x14ac:dyDescent="0.25">
      <c r="A2526" s="82" t="s">
        <v>4274</v>
      </c>
      <c r="B2526" s="83" t="s">
        <v>4275</v>
      </c>
      <c r="C2526" s="83"/>
      <c r="D2526" s="83"/>
      <c r="E2526" s="83" t="s">
        <v>4228</v>
      </c>
      <c r="F2526" s="82" t="s">
        <v>78</v>
      </c>
      <c r="G2526" s="82">
        <v>1</v>
      </c>
      <c r="H2526" s="82">
        <v>23400</v>
      </c>
      <c r="I2526" s="138">
        <f t="shared" ref="I2526:I2533" si="98">H2526*G2526</f>
        <v>23400</v>
      </c>
      <c r="J2526" s="82"/>
      <c r="K2526" s="83"/>
    </row>
    <row r="2527" spans="1:11" ht="15" customHeight="1" x14ac:dyDescent="0.25">
      <c r="A2527" s="82" t="s">
        <v>4276</v>
      </c>
      <c r="B2527" s="83" t="s">
        <v>4277</v>
      </c>
      <c r="C2527" s="83"/>
      <c r="D2527" s="83"/>
      <c r="E2527" s="83" t="s">
        <v>4228</v>
      </c>
      <c r="F2527" s="82" t="s">
        <v>78</v>
      </c>
      <c r="G2527" s="82">
        <v>1</v>
      </c>
      <c r="H2527" s="82"/>
      <c r="I2527" s="138">
        <f t="shared" si="98"/>
        <v>0</v>
      </c>
      <c r="J2527" s="82"/>
      <c r="K2527" s="83"/>
    </row>
    <row r="2528" spans="1:11" ht="15" customHeight="1" x14ac:dyDescent="0.25">
      <c r="A2528" s="82" t="s">
        <v>4278</v>
      </c>
      <c r="B2528" s="83" t="s">
        <v>4279</v>
      </c>
      <c r="C2528" s="83"/>
      <c r="D2528" s="83"/>
      <c r="E2528" s="83" t="s">
        <v>4228</v>
      </c>
      <c r="F2528" s="82" t="s">
        <v>78</v>
      </c>
      <c r="G2528" s="82">
        <v>1</v>
      </c>
      <c r="H2528" s="82"/>
      <c r="I2528" s="138">
        <f t="shared" si="98"/>
        <v>0</v>
      </c>
      <c r="J2528" s="82"/>
      <c r="K2528" s="83"/>
    </row>
    <row r="2529" spans="1:11" ht="27" customHeight="1" x14ac:dyDescent="0.25">
      <c r="A2529" s="82" t="s">
        <v>4280</v>
      </c>
      <c r="B2529" s="83" t="s">
        <v>4281</v>
      </c>
      <c r="C2529" s="83"/>
      <c r="D2529" s="83"/>
      <c r="E2529" s="83" t="s">
        <v>4228</v>
      </c>
      <c r="F2529" s="82" t="s">
        <v>78</v>
      </c>
      <c r="G2529" s="82">
        <v>1</v>
      </c>
      <c r="H2529" s="82">
        <v>32200</v>
      </c>
      <c r="I2529" s="138">
        <f t="shared" si="98"/>
        <v>32200</v>
      </c>
      <c r="J2529" s="82"/>
      <c r="K2529" s="83"/>
    </row>
    <row r="2530" spans="1:11" ht="27" customHeight="1" x14ac:dyDescent="0.25">
      <c r="A2530" s="82" t="s">
        <v>4242</v>
      </c>
      <c r="B2530" s="83" t="s">
        <v>4243</v>
      </c>
      <c r="C2530" s="83" t="s">
        <v>4282</v>
      </c>
      <c r="D2530" s="83"/>
      <c r="E2530" s="83" t="s">
        <v>4228</v>
      </c>
      <c r="F2530" s="82" t="s">
        <v>78</v>
      </c>
      <c r="G2530" s="82">
        <v>2</v>
      </c>
      <c r="H2530" s="82">
        <v>1950</v>
      </c>
      <c r="I2530" s="138">
        <f t="shared" si="98"/>
        <v>3900</v>
      </c>
      <c r="J2530" s="82"/>
      <c r="K2530" s="83" t="s">
        <v>4246</v>
      </c>
    </row>
    <row r="2531" spans="1:11" ht="27" customHeight="1" x14ac:dyDescent="0.25">
      <c r="A2531" s="82" t="s">
        <v>4283</v>
      </c>
      <c r="B2531" s="83" t="s">
        <v>4284</v>
      </c>
      <c r="C2531" s="83"/>
      <c r="D2531" s="83"/>
      <c r="E2531" s="83" t="s">
        <v>4228</v>
      </c>
      <c r="F2531" s="82" t="s">
        <v>78</v>
      </c>
      <c r="G2531" s="82">
        <v>1</v>
      </c>
      <c r="H2531" s="82">
        <v>7000</v>
      </c>
      <c r="I2531" s="138">
        <f t="shared" si="98"/>
        <v>7000</v>
      </c>
      <c r="J2531" s="82"/>
      <c r="K2531" s="83"/>
    </row>
    <row r="2532" spans="1:11" ht="15" customHeight="1" x14ac:dyDescent="0.25">
      <c r="A2532" s="82" t="s">
        <v>4285</v>
      </c>
      <c r="B2532" s="83" t="s">
        <v>4286</v>
      </c>
      <c r="C2532" s="83"/>
      <c r="D2532" s="83"/>
      <c r="E2532" s="83" t="s">
        <v>4228</v>
      </c>
      <c r="F2532" s="82" t="s">
        <v>78</v>
      </c>
      <c r="G2532" s="82">
        <v>1</v>
      </c>
      <c r="H2532" s="82">
        <v>3000</v>
      </c>
      <c r="I2532" s="138">
        <f t="shared" si="98"/>
        <v>3000</v>
      </c>
      <c r="J2532" s="82"/>
      <c r="K2532" s="83"/>
    </row>
    <row r="2533" spans="1:11" ht="15" customHeight="1" x14ac:dyDescent="0.25">
      <c r="A2533" s="82" t="s">
        <v>4236</v>
      </c>
      <c r="B2533" s="83" t="s">
        <v>4237</v>
      </c>
      <c r="C2533" s="83"/>
      <c r="D2533" s="83"/>
      <c r="E2533" s="83" t="s">
        <v>4228</v>
      </c>
      <c r="F2533" s="82" t="s">
        <v>78</v>
      </c>
      <c r="G2533" s="82">
        <v>1</v>
      </c>
      <c r="H2533" s="82">
        <v>700</v>
      </c>
      <c r="I2533" s="138">
        <f t="shared" si="98"/>
        <v>700</v>
      </c>
      <c r="J2533" s="82"/>
      <c r="K2533" s="83"/>
    </row>
    <row r="2534" spans="1:11" ht="15" customHeight="1" x14ac:dyDescent="0.25">
      <c r="A2534" s="80" t="s">
        <v>4287</v>
      </c>
      <c r="B2534" s="80" t="s">
        <v>4288</v>
      </c>
      <c r="C2534" s="80"/>
      <c r="D2534" s="80"/>
      <c r="E2534" s="80"/>
      <c r="F2534" s="80"/>
      <c r="G2534" s="81"/>
      <c r="H2534" s="80"/>
      <c r="I2534" s="137"/>
      <c r="J2534" s="80"/>
      <c r="K2534" s="80"/>
    </row>
    <row r="2535" spans="1:11" ht="15" customHeight="1" x14ac:dyDescent="0.25">
      <c r="A2535" s="82" t="s">
        <v>4289</v>
      </c>
      <c r="B2535" s="83" t="s">
        <v>4290</v>
      </c>
      <c r="C2535" s="83"/>
      <c r="D2535" s="83"/>
      <c r="E2535" s="83" t="s">
        <v>4228</v>
      </c>
      <c r="F2535" s="82" t="s">
        <v>78</v>
      </c>
      <c r="G2535" s="82">
        <v>1</v>
      </c>
      <c r="H2535" s="82"/>
      <c r="I2535" s="138">
        <f t="shared" ref="I2535:I2551" si="99">H2535*G2535</f>
        <v>0</v>
      </c>
      <c r="J2535" s="82"/>
      <c r="K2535" s="83"/>
    </row>
    <row r="2536" spans="1:11" ht="27" customHeight="1" x14ac:dyDescent="0.25">
      <c r="A2536" s="82" t="s">
        <v>432</v>
      </c>
      <c r="B2536" s="83" t="s">
        <v>4231</v>
      </c>
      <c r="C2536" s="83"/>
      <c r="D2536" s="83"/>
      <c r="E2536" s="83" t="s">
        <v>4228</v>
      </c>
      <c r="F2536" s="82" t="s">
        <v>78</v>
      </c>
      <c r="G2536" s="82">
        <v>1</v>
      </c>
      <c r="H2536" s="82">
        <v>12000</v>
      </c>
      <c r="I2536" s="138">
        <f t="shared" si="99"/>
        <v>12000</v>
      </c>
      <c r="J2536" s="82"/>
      <c r="K2536" s="83"/>
    </row>
    <row r="2537" spans="1:11" ht="39" customHeight="1" x14ac:dyDescent="0.25">
      <c r="A2537" s="82" t="s">
        <v>459</v>
      </c>
      <c r="B2537" s="83" t="s">
        <v>4232</v>
      </c>
      <c r="C2537" s="83"/>
      <c r="D2537" s="83"/>
      <c r="E2537" s="83" t="s">
        <v>4228</v>
      </c>
      <c r="F2537" s="82" t="s">
        <v>78</v>
      </c>
      <c r="G2537" s="82">
        <v>2</v>
      </c>
      <c r="H2537" s="82"/>
      <c r="I2537" s="138">
        <f t="shared" si="99"/>
        <v>0</v>
      </c>
      <c r="J2537" s="82"/>
      <c r="K2537" s="83"/>
    </row>
    <row r="2538" spans="1:11" ht="27" customHeight="1" x14ac:dyDescent="0.25">
      <c r="A2538" s="82" t="s">
        <v>4233</v>
      </c>
      <c r="B2538" s="83" t="s">
        <v>4234</v>
      </c>
      <c r="C2538" s="83"/>
      <c r="D2538" s="83"/>
      <c r="E2538" s="83" t="s">
        <v>4228</v>
      </c>
      <c r="F2538" s="82" t="s">
        <v>78</v>
      </c>
      <c r="G2538" s="82">
        <v>1</v>
      </c>
      <c r="H2538" s="82"/>
      <c r="I2538" s="138">
        <f t="shared" si="99"/>
        <v>0</v>
      </c>
      <c r="J2538" s="82"/>
      <c r="K2538" s="83"/>
    </row>
    <row r="2539" spans="1:11" ht="27" customHeight="1" x14ac:dyDescent="0.25">
      <c r="A2539" s="82" t="s">
        <v>3094</v>
      </c>
      <c r="B2539" s="83" t="s">
        <v>4291</v>
      </c>
      <c r="C2539" s="83"/>
      <c r="D2539" s="83"/>
      <c r="E2539" s="83" t="s">
        <v>4228</v>
      </c>
      <c r="F2539" s="82" t="s">
        <v>78</v>
      </c>
      <c r="G2539" s="82">
        <v>1</v>
      </c>
      <c r="H2539" s="82">
        <v>30000</v>
      </c>
      <c r="I2539" s="138">
        <f t="shared" si="99"/>
        <v>30000</v>
      </c>
      <c r="J2539" s="82"/>
      <c r="K2539" s="83"/>
    </row>
    <row r="2540" spans="1:11" ht="15" customHeight="1" x14ac:dyDescent="0.25">
      <c r="A2540" s="82" t="s">
        <v>4276</v>
      </c>
      <c r="B2540" s="83" t="s">
        <v>4277</v>
      </c>
      <c r="C2540" s="83"/>
      <c r="D2540" s="83"/>
      <c r="E2540" s="83" t="s">
        <v>4228</v>
      </c>
      <c r="F2540" s="82" t="s">
        <v>78</v>
      </c>
      <c r="G2540" s="82">
        <v>1</v>
      </c>
      <c r="H2540" s="82"/>
      <c r="I2540" s="138">
        <f t="shared" si="99"/>
        <v>0</v>
      </c>
      <c r="J2540" s="82"/>
      <c r="K2540" s="83"/>
    </row>
    <row r="2541" spans="1:11" ht="15" customHeight="1" x14ac:dyDescent="0.25">
      <c r="A2541" s="82" t="s">
        <v>4262</v>
      </c>
      <c r="B2541" s="83" t="s">
        <v>4263</v>
      </c>
      <c r="C2541" s="83"/>
      <c r="D2541" s="83"/>
      <c r="E2541" s="83" t="s">
        <v>4228</v>
      </c>
      <c r="F2541" s="82" t="s">
        <v>78</v>
      </c>
      <c r="G2541" s="82">
        <v>1</v>
      </c>
      <c r="H2541" s="82">
        <v>2800</v>
      </c>
      <c r="I2541" s="138">
        <f t="shared" si="99"/>
        <v>2800</v>
      </c>
      <c r="J2541" s="82"/>
      <c r="K2541" s="83"/>
    </row>
    <row r="2542" spans="1:11" ht="39" customHeight="1" x14ac:dyDescent="0.25">
      <c r="A2542" s="82" t="s">
        <v>4264</v>
      </c>
      <c r="B2542" s="83" t="s">
        <v>4265</v>
      </c>
      <c r="C2542" s="83" t="s">
        <v>4266</v>
      </c>
      <c r="D2542" s="83"/>
      <c r="E2542" s="83" t="s">
        <v>4228</v>
      </c>
      <c r="F2542" s="82" t="s">
        <v>78</v>
      </c>
      <c r="G2542" s="82">
        <v>1</v>
      </c>
      <c r="H2542" s="82"/>
      <c r="I2542" s="138">
        <f t="shared" si="99"/>
        <v>0</v>
      </c>
      <c r="J2542" s="82"/>
      <c r="K2542" s="83"/>
    </row>
    <row r="2543" spans="1:11" ht="27" customHeight="1" x14ac:dyDescent="0.25">
      <c r="A2543" s="82" t="s">
        <v>4242</v>
      </c>
      <c r="B2543" s="83" t="s">
        <v>4243</v>
      </c>
      <c r="C2543" s="83" t="s">
        <v>4282</v>
      </c>
      <c r="D2543" s="83"/>
      <c r="E2543" s="83" t="s">
        <v>4228</v>
      </c>
      <c r="F2543" s="82" t="s">
        <v>78</v>
      </c>
      <c r="G2543" s="82">
        <v>1</v>
      </c>
      <c r="H2543" s="82">
        <v>1950</v>
      </c>
      <c r="I2543" s="138">
        <f t="shared" si="99"/>
        <v>1950</v>
      </c>
      <c r="J2543" s="82"/>
      <c r="K2543" s="83" t="s">
        <v>4246</v>
      </c>
    </row>
    <row r="2544" spans="1:11" ht="15" customHeight="1" x14ac:dyDescent="0.25">
      <c r="A2544" s="82" t="s">
        <v>4270</v>
      </c>
      <c r="B2544" s="83" t="s">
        <v>4271</v>
      </c>
      <c r="C2544" s="83"/>
      <c r="D2544" s="83"/>
      <c r="E2544" s="83" t="s">
        <v>4228</v>
      </c>
      <c r="F2544" s="82" t="s">
        <v>78</v>
      </c>
      <c r="G2544" s="82">
        <v>1</v>
      </c>
      <c r="H2544" s="82"/>
      <c r="I2544" s="138">
        <f t="shared" si="99"/>
        <v>0</v>
      </c>
      <c r="J2544" s="82"/>
      <c r="K2544" s="83"/>
    </row>
    <row r="2545" spans="1:11" ht="27" customHeight="1" x14ac:dyDescent="0.25">
      <c r="A2545" s="82" t="s">
        <v>4267</v>
      </c>
      <c r="B2545" s="83" t="s">
        <v>4268</v>
      </c>
      <c r="C2545" s="83" t="s">
        <v>4269</v>
      </c>
      <c r="D2545" s="83"/>
      <c r="E2545" s="83" t="s">
        <v>4228</v>
      </c>
      <c r="F2545" s="82" t="s">
        <v>78</v>
      </c>
      <c r="G2545" s="82">
        <v>1</v>
      </c>
      <c r="H2545" s="82"/>
      <c r="I2545" s="138">
        <f t="shared" si="99"/>
        <v>0</v>
      </c>
      <c r="J2545" s="82"/>
      <c r="K2545" s="83"/>
    </row>
    <row r="2546" spans="1:11" ht="39" customHeight="1" x14ac:dyDescent="0.25">
      <c r="A2546" s="82" t="s">
        <v>4274</v>
      </c>
      <c r="B2546" s="83" t="s">
        <v>4275</v>
      </c>
      <c r="C2546" s="83"/>
      <c r="D2546" s="83"/>
      <c r="E2546" s="83" t="s">
        <v>4228</v>
      </c>
      <c r="F2546" s="82" t="s">
        <v>78</v>
      </c>
      <c r="G2546" s="82">
        <v>1</v>
      </c>
      <c r="H2546" s="82">
        <v>23400</v>
      </c>
      <c r="I2546" s="138">
        <f t="shared" si="99"/>
        <v>23400</v>
      </c>
      <c r="J2546" s="82"/>
      <c r="K2546" s="83"/>
    </row>
    <row r="2547" spans="1:11" ht="27" customHeight="1" x14ac:dyDescent="0.25">
      <c r="A2547" s="82" t="s">
        <v>4283</v>
      </c>
      <c r="B2547" s="83" t="s">
        <v>4284</v>
      </c>
      <c r="C2547" s="83"/>
      <c r="D2547" s="83"/>
      <c r="E2547" s="83" t="s">
        <v>4228</v>
      </c>
      <c r="F2547" s="82" t="s">
        <v>78</v>
      </c>
      <c r="G2547" s="82">
        <v>1</v>
      </c>
      <c r="H2547" s="82">
        <v>7000</v>
      </c>
      <c r="I2547" s="138">
        <f t="shared" si="99"/>
        <v>7000</v>
      </c>
      <c r="J2547" s="82"/>
      <c r="K2547" s="83"/>
    </row>
    <row r="2548" spans="1:11" ht="15" customHeight="1" x14ac:dyDescent="0.25">
      <c r="A2548" s="82" t="s">
        <v>4285</v>
      </c>
      <c r="B2548" s="83" t="s">
        <v>4286</v>
      </c>
      <c r="C2548" s="83"/>
      <c r="D2548" s="83"/>
      <c r="E2548" s="83" t="s">
        <v>4228</v>
      </c>
      <c r="F2548" s="82" t="s">
        <v>78</v>
      </c>
      <c r="G2548" s="82">
        <v>1</v>
      </c>
      <c r="H2548" s="82">
        <v>3000</v>
      </c>
      <c r="I2548" s="138">
        <f t="shared" si="99"/>
        <v>3000</v>
      </c>
      <c r="J2548" s="82"/>
      <c r="K2548" s="83"/>
    </row>
    <row r="2549" spans="1:11" ht="15" customHeight="1" x14ac:dyDescent="0.25">
      <c r="A2549" s="82" t="s">
        <v>2131</v>
      </c>
      <c r="B2549" s="83" t="s">
        <v>4235</v>
      </c>
      <c r="C2549" s="83"/>
      <c r="D2549" s="83"/>
      <c r="E2549" s="83" t="s">
        <v>4228</v>
      </c>
      <c r="F2549" s="82" t="s">
        <v>78</v>
      </c>
      <c r="G2549" s="82">
        <v>2</v>
      </c>
      <c r="H2549" s="82"/>
      <c r="I2549" s="138">
        <f t="shared" si="99"/>
        <v>0</v>
      </c>
      <c r="J2549" s="82"/>
      <c r="K2549" s="83"/>
    </row>
    <row r="2550" spans="1:11" ht="15" customHeight="1" x14ac:dyDescent="0.25">
      <c r="A2550" s="82" t="s">
        <v>4236</v>
      </c>
      <c r="B2550" s="83" t="s">
        <v>4237</v>
      </c>
      <c r="C2550" s="83"/>
      <c r="D2550" s="83"/>
      <c r="E2550" s="83" t="s">
        <v>4228</v>
      </c>
      <c r="F2550" s="82" t="s">
        <v>78</v>
      </c>
      <c r="G2550" s="82">
        <v>2</v>
      </c>
      <c r="H2550" s="82">
        <v>700</v>
      </c>
      <c r="I2550" s="138">
        <f t="shared" si="99"/>
        <v>1400</v>
      </c>
      <c r="J2550" s="82"/>
      <c r="K2550" s="83"/>
    </row>
    <row r="2551" spans="1:11" ht="15" customHeight="1" x14ac:dyDescent="0.25">
      <c r="A2551" s="82" t="s">
        <v>4236</v>
      </c>
      <c r="B2551" s="83" t="s">
        <v>4238</v>
      </c>
      <c r="C2551" s="83"/>
      <c r="D2551" s="83"/>
      <c r="E2551" s="83" t="s">
        <v>4228</v>
      </c>
      <c r="F2551" s="82" t="s">
        <v>78</v>
      </c>
      <c r="G2551" s="82">
        <v>1</v>
      </c>
      <c r="H2551" s="82">
        <v>5069</v>
      </c>
      <c r="I2551" s="138">
        <f t="shared" si="99"/>
        <v>5069</v>
      </c>
      <c r="J2551" s="82"/>
      <c r="K2551" s="83" t="s">
        <v>4239</v>
      </c>
    </row>
    <row r="2552" spans="1:11" ht="15" customHeight="1" x14ac:dyDescent="0.25">
      <c r="A2552" s="80" t="s">
        <v>4292</v>
      </c>
      <c r="B2552" s="80" t="s">
        <v>4293</v>
      </c>
      <c r="C2552" s="80"/>
      <c r="D2552" s="80"/>
      <c r="E2552" s="80"/>
      <c r="F2552" s="80"/>
      <c r="G2552" s="81"/>
      <c r="H2552" s="80"/>
      <c r="I2552" s="137"/>
      <c r="J2552" s="80"/>
      <c r="K2552" s="80"/>
    </row>
    <row r="2553" spans="1:11" ht="39" customHeight="1" x14ac:dyDescent="0.25">
      <c r="A2553" s="82" t="s">
        <v>4226</v>
      </c>
      <c r="B2553" s="83" t="s">
        <v>4227</v>
      </c>
      <c r="C2553" s="83"/>
      <c r="D2553" s="83"/>
      <c r="E2553" s="83" t="s">
        <v>4228</v>
      </c>
      <c r="F2553" s="82" t="s">
        <v>78</v>
      </c>
      <c r="G2553" s="82">
        <v>3</v>
      </c>
      <c r="H2553" s="82"/>
      <c r="I2553" s="138">
        <f>H2553*G2553</f>
        <v>0</v>
      </c>
      <c r="J2553" s="82"/>
      <c r="K2553" s="83"/>
    </row>
    <row r="2554" spans="1:11" ht="39" customHeight="1" x14ac:dyDescent="0.25">
      <c r="A2554" s="80" t="s">
        <v>4294</v>
      </c>
      <c r="B2554" s="80" t="s">
        <v>4295</v>
      </c>
      <c r="C2554" s="80"/>
      <c r="D2554" s="80"/>
      <c r="E2554" s="80"/>
      <c r="F2554" s="80"/>
      <c r="G2554" s="81"/>
      <c r="H2554" s="80"/>
      <c r="I2554" s="137"/>
      <c r="J2554" s="80"/>
      <c r="K2554" s="80"/>
    </row>
    <row r="2555" spans="1:11" ht="39" customHeight="1" x14ac:dyDescent="0.25">
      <c r="A2555" s="82" t="s">
        <v>4296</v>
      </c>
      <c r="B2555" s="83" t="s">
        <v>4297</v>
      </c>
      <c r="C2555" s="83" t="s">
        <v>4298</v>
      </c>
      <c r="D2555" s="83"/>
      <c r="E2555" s="83" t="s">
        <v>4228</v>
      </c>
      <c r="F2555" s="82" t="s">
        <v>78</v>
      </c>
      <c r="G2555" s="82">
        <v>1</v>
      </c>
      <c r="H2555" s="82"/>
      <c r="I2555" s="138">
        <f t="shared" ref="I2555:I2565" si="100">H2555*G2555</f>
        <v>0</v>
      </c>
      <c r="J2555" s="82"/>
      <c r="K2555" s="83" t="s">
        <v>4299</v>
      </c>
    </row>
    <row r="2556" spans="1:11" ht="15" customHeight="1" x14ac:dyDescent="0.25">
      <c r="A2556" s="82" t="s">
        <v>4289</v>
      </c>
      <c r="B2556" s="83" t="s">
        <v>4290</v>
      </c>
      <c r="C2556" s="83"/>
      <c r="D2556" s="83"/>
      <c r="E2556" s="83" t="s">
        <v>4228</v>
      </c>
      <c r="F2556" s="82" t="s">
        <v>78</v>
      </c>
      <c r="G2556" s="82">
        <v>1</v>
      </c>
      <c r="H2556" s="82"/>
      <c r="I2556" s="138">
        <f t="shared" si="100"/>
        <v>0</v>
      </c>
      <c r="J2556" s="82"/>
      <c r="K2556" s="83"/>
    </row>
    <row r="2557" spans="1:11" ht="27" customHeight="1" x14ac:dyDescent="0.25">
      <c r="A2557" s="82" t="s">
        <v>432</v>
      </c>
      <c r="B2557" s="83" t="s">
        <v>4231</v>
      </c>
      <c r="C2557" s="83"/>
      <c r="D2557" s="83"/>
      <c r="E2557" s="83" t="s">
        <v>4228</v>
      </c>
      <c r="F2557" s="82" t="s">
        <v>78</v>
      </c>
      <c r="G2557" s="82">
        <v>1</v>
      </c>
      <c r="H2557" s="82">
        <v>12000</v>
      </c>
      <c r="I2557" s="138">
        <f t="shared" si="100"/>
        <v>12000</v>
      </c>
      <c r="J2557" s="82"/>
      <c r="K2557" s="83"/>
    </row>
    <row r="2558" spans="1:11" ht="39" customHeight="1" x14ac:dyDescent="0.25">
      <c r="A2558" s="82" t="s">
        <v>459</v>
      </c>
      <c r="B2558" s="83" t="s">
        <v>4232</v>
      </c>
      <c r="C2558" s="83"/>
      <c r="D2558" s="83"/>
      <c r="E2558" s="83" t="s">
        <v>4228</v>
      </c>
      <c r="F2558" s="82" t="s">
        <v>78</v>
      </c>
      <c r="G2558" s="82">
        <v>1</v>
      </c>
      <c r="H2558" s="82"/>
      <c r="I2558" s="138">
        <f t="shared" si="100"/>
        <v>0</v>
      </c>
      <c r="J2558" s="82"/>
      <c r="K2558" s="83"/>
    </row>
    <row r="2559" spans="1:11" ht="27" customHeight="1" x14ac:dyDescent="0.25">
      <c r="A2559" s="82" t="s">
        <v>4267</v>
      </c>
      <c r="B2559" s="83" t="s">
        <v>4268</v>
      </c>
      <c r="C2559" s="83" t="s">
        <v>4269</v>
      </c>
      <c r="D2559" s="83"/>
      <c r="E2559" s="83" t="s">
        <v>4228</v>
      </c>
      <c r="F2559" s="82" t="s">
        <v>78</v>
      </c>
      <c r="G2559" s="82">
        <v>1</v>
      </c>
      <c r="H2559" s="82"/>
      <c r="I2559" s="138">
        <f t="shared" si="100"/>
        <v>0</v>
      </c>
      <c r="J2559" s="82"/>
      <c r="K2559" s="83"/>
    </row>
    <row r="2560" spans="1:11" ht="15" customHeight="1" x14ac:dyDescent="0.25">
      <c r="A2560" s="82" t="s">
        <v>485</v>
      </c>
      <c r="B2560" s="83" t="s">
        <v>4300</v>
      </c>
      <c r="C2560" s="83"/>
      <c r="D2560" s="83"/>
      <c r="E2560" s="83" t="s">
        <v>4228</v>
      </c>
      <c r="F2560" s="82" t="s">
        <v>78</v>
      </c>
      <c r="G2560" s="82">
        <v>1</v>
      </c>
      <c r="H2560" s="82"/>
      <c r="I2560" s="138">
        <f t="shared" si="100"/>
        <v>0</v>
      </c>
      <c r="J2560" s="82"/>
      <c r="K2560" s="83"/>
    </row>
    <row r="2561" spans="1:11" ht="39" customHeight="1" x14ac:dyDescent="0.25">
      <c r="A2561" s="82" t="s">
        <v>4264</v>
      </c>
      <c r="B2561" s="83" t="s">
        <v>4265</v>
      </c>
      <c r="C2561" s="83" t="s">
        <v>4266</v>
      </c>
      <c r="D2561" s="83"/>
      <c r="E2561" s="83" t="s">
        <v>4228</v>
      </c>
      <c r="F2561" s="82" t="s">
        <v>78</v>
      </c>
      <c r="G2561" s="82">
        <v>1</v>
      </c>
      <c r="H2561" s="82"/>
      <c r="I2561" s="138">
        <f t="shared" si="100"/>
        <v>0</v>
      </c>
      <c r="J2561" s="82"/>
      <c r="K2561" s="83"/>
    </row>
    <row r="2562" spans="1:11" ht="15" customHeight="1" x14ac:dyDescent="0.25">
      <c r="A2562" s="82" t="s">
        <v>2131</v>
      </c>
      <c r="B2562" s="83" t="s">
        <v>4235</v>
      </c>
      <c r="C2562" s="83"/>
      <c r="D2562" s="83"/>
      <c r="E2562" s="83" t="s">
        <v>4228</v>
      </c>
      <c r="F2562" s="82" t="s">
        <v>78</v>
      </c>
      <c r="G2562" s="82">
        <v>1</v>
      </c>
      <c r="H2562" s="82"/>
      <c r="I2562" s="138">
        <f t="shared" si="100"/>
        <v>0</v>
      </c>
      <c r="J2562" s="82"/>
      <c r="K2562" s="83"/>
    </row>
    <row r="2563" spans="1:11" ht="15" customHeight="1" x14ac:dyDescent="0.25">
      <c r="A2563" s="82" t="s">
        <v>4236</v>
      </c>
      <c r="B2563" s="83" t="s">
        <v>4237</v>
      </c>
      <c r="C2563" s="83"/>
      <c r="D2563" s="83"/>
      <c r="E2563" s="83" t="s">
        <v>4228</v>
      </c>
      <c r="F2563" s="82" t="s">
        <v>78</v>
      </c>
      <c r="G2563" s="82">
        <v>1</v>
      </c>
      <c r="H2563" s="82">
        <v>700</v>
      </c>
      <c r="I2563" s="138">
        <f t="shared" si="100"/>
        <v>700</v>
      </c>
      <c r="J2563" s="82"/>
      <c r="K2563" s="83"/>
    </row>
    <row r="2564" spans="1:11" ht="39" customHeight="1" x14ac:dyDescent="0.25">
      <c r="A2564" s="82" t="s">
        <v>4236</v>
      </c>
      <c r="B2564" s="83" t="s">
        <v>4301</v>
      </c>
      <c r="C2564" s="83"/>
      <c r="D2564" s="83"/>
      <c r="E2564" s="83" t="s">
        <v>4302</v>
      </c>
      <c r="F2564" s="82" t="s">
        <v>78</v>
      </c>
      <c r="G2564" s="82">
        <v>1</v>
      </c>
      <c r="H2564" s="82"/>
      <c r="I2564" s="138">
        <f t="shared" si="100"/>
        <v>0</v>
      </c>
      <c r="J2564" s="82"/>
      <c r="K2564" s="83"/>
    </row>
    <row r="2565" spans="1:11" ht="15" customHeight="1" x14ac:dyDescent="0.25">
      <c r="A2565" s="82" t="s">
        <v>4236</v>
      </c>
      <c r="B2565" s="83" t="s">
        <v>4238</v>
      </c>
      <c r="C2565" s="83"/>
      <c r="D2565" s="83"/>
      <c r="E2565" s="83" t="s">
        <v>4228</v>
      </c>
      <c r="F2565" s="82" t="s">
        <v>78</v>
      </c>
      <c r="G2565" s="82">
        <v>1</v>
      </c>
      <c r="H2565" s="82">
        <v>5069</v>
      </c>
      <c r="I2565" s="138">
        <f t="shared" si="100"/>
        <v>5069</v>
      </c>
      <c r="J2565" s="82"/>
      <c r="K2565" s="83" t="s">
        <v>4239</v>
      </c>
    </row>
    <row r="2566" spans="1:11" ht="15" customHeight="1" x14ac:dyDescent="0.25">
      <c r="A2566" s="80" t="s">
        <v>4303</v>
      </c>
      <c r="B2566" s="80" t="s">
        <v>4304</v>
      </c>
      <c r="C2566" s="80"/>
      <c r="D2566" s="80"/>
      <c r="E2566" s="80"/>
      <c r="F2566" s="80"/>
      <c r="G2566" s="81"/>
      <c r="H2566" s="80"/>
      <c r="I2566" s="137"/>
      <c r="J2566" s="80"/>
      <c r="K2566" s="80"/>
    </row>
    <row r="2567" spans="1:11" ht="39" customHeight="1" x14ac:dyDescent="0.25">
      <c r="A2567" s="82" t="s">
        <v>4296</v>
      </c>
      <c r="B2567" s="83" t="s">
        <v>4305</v>
      </c>
      <c r="C2567" s="83" t="s">
        <v>4298</v>
      </c>
      <c r="D2567" s="83"/>
      <c r="E2567" s="83" t="s">
        <v>4228</v>
      </c>
      <c r="F2567" s="82" t="s">
        <v>78</v>
      </c>
      <c r="G2567" s="82">
        <v>1</v>
      </c>
      <c r="H2567" s="82"/>
      <c r="I2567" s="138">
        <f t="shared" ref="I2567:I2577" si="101">H2567*G2567</f>
        <v>0</v>
      </c>
      <c r="J2567" s="82"/>
      <c r="K2567" s="83" t="s">
        <v>4299</v>
      </c>
    </row>
    <row r="2568" spans="1:11" ht="15" customHeight="1" x14ac:dyDescent="0.25">
      <c r="A2568" s="82" t="s">
        <v>4289</v>
      </c>
      <c r="B2568" s="83" t="s">
        <v>4290</v>
      </c>
      <c r="C2568" s="83"/>
      <c r="D2568" s="83"/>
      <c r="E2568" s="83" t="s">
        <v>4228</v>
      </c>
      <c r="F2568" s="82" t="s">
        <v>78</v>
      </c>
      <c r="G2568" s="82">
        <v>1</v>
      </c>
      <c r="H2568" s="82"/>
      <c r="I2568" s="138">
        <f t="shared" si="101"/>
        <v>0</v>
      </c>
      <c r="J2568" s="82"/>
      <c r="K2568" s="83"/>
    </row>
    <row r="2569" spans="1:11" ht="27" customHeight="1" x14ac:dyDescent="0.25">
      <c r="A2569" s="82" t="s">
        <v>432</v>
      </c>
      <c r="B2569" s="83" t="s">
        <v>4231</v>
      </c>
      <c r="C2569" s="83"/>
      <c r="D2569" s="83"/>
      <c r="E2569" s="83" t="s">
        <v>4228</v>
      </c>
      <c r="F2569" s="82" t="s">
        <v>78</v>
      </c>
      <c r="G2569" s="82">
        <v>1</v>
      </c>
      <c r="H2569" s="82">
        <v>12000</v>
      </c>
      <c r="I2569" s="138">
        <f t="shared" si="101"/>
        <v>12000</v>
      </c>
      <c r="J2569" s="82"/>
      <c r="K2569" s="83"/>
    </row>
    <row r="2570" spans="1:11" ht="39" customHeight="1" x14ac:dyDescent="0.25">
      <c r="A2570" s="82" t="s">
        <v>459</v>
      </c>
      <c r="B2570" s="83" t="s">
        <v>4232</v>
      </c>
      <c r="C2570" s="83"/>
      <c r="D2570" s="83"/>
      <c r="E2570" s="83" t="s">
        <v>4228</v>
      </c>
      <c r="F2570" s="82" t="s">
        <v>78</v>
      </c>
      <c r="G2570" s="82">
        <v>1</v>
      </c>
      <c r="H2570" s="82"/>
      <c r="I2570" s="138">
        <f t="shared" si="101"/>
        <v>0</v>
      </c>
      <c r="J2570" s="82"/>
      <c r="K2570" s="83"/>
    </row>
    <row r="2571" spans="1:11" ht="27" customHeight="1" x14ac:dyDescent="0.25">
      <c r="A2571" s="82" t="s">
        <v>4267</v>
      </c>
      <c r="B2571" s="83" t="s">
        <v>4268</v>
      </c>
      <c r="C2571" s="83" t="s">
        <v>4269</v>
      </c>
      <c r="D2571" s="83"/>
      <c r="E2571" s="83" t="s">
        <v>4228</v>
      </c>
      <c r="F2571" s="82" t="s">
        <v>78</v>
      </c>
      <c r="G2571" s="82">
        <v>1</v>
      </c>
      <c r="H2571" s="82"/>
      <c r="I2571" s="138">
        <f t="shared" si="101"/>
        <v>0</v>
      </c>
      <c r="J2571" s="82"/>
      <c r="K2571" s="83"/>
    </row>
    <row r="2572" spans="1:11" ht="15" customHeight="1" x14ac:dyDescent="0.25">
      <c r="A2572" s="82" t="s">
        <v>485</v>
      </c>
      <c r="B2572" s="83" t="s">
        <v>4300</v>
      </c>
      <c r="C2572" s="83"/>
      <c r="D2572" s="83"/>
      <c r="E2572" s="83" t="s">
        <v>4228</v>
      </c>
      <c r="F2572" s="82" t="s">
        <v>78</v>
      </c>
      <c r="G2572" s="82">
        <v>1</v>
      </c>
      <c r="H2572" s="82"/>
      <c r="I2572" s="138">
        <f t="shared" si="101"/>
        <v>0</v>
      </c>
      <c r="J2572" s="82"/>
      <c r="K2572" s="83"/>
    </row>
    <row r="2573" spans="1:11" ht="39" customHeight="1" x14ac:dyDescent="0.25">
      <c r="A2573" s="82" t="s">
        <v>4264</v>
      </c>
      <c r="B2573" s="83" t="s">
        <v>4265</v>
      </c>
      <c r="C2573" s="83" t="s">
        <v>4266</v>
      </c>
      <c r="D2573" s="83"/>
      <c r="E2573" s="83" t="s">
        <v>4228</v>
      </c>
      <c r="F2573" s="82" t="s">
        <v>78</v>
      </c>
      <c r="G2573" s="82">
        <v>1</v>
      </c>
      <c r="H2573" s="82"/>
      <c r="I2573" s="138">
        <f t="shared" si="101"/>
        <v>0</v>
      </c>
      <c r="J2573" s="82"/>
      <c r="K2573" s="83"/>
    </row>
    <row r="2574" spans="1:11" ht="15" customHeight="1" x14ac:dyDescent="0.25">
      <c r="A2574" s="82" t="s">
        <v>2131</v>
      </c>
      <c r="B2574" s="83" t="s">
        <v>4235</v>
      </c>
      <c r="C2574" s="83"/>
      <c r="D2574" s="83"/>
      <c r="E2574" s="83" t="s">
        <v>4228</v>
      </c>
      <c r="F2574" s="82" t="s">
        <v>78</v>
      </c>
      <c r="G2574" s="82">
        <v>1</v>
      </c>
      <c r="H2574" s="82"/>
      <c r="I2574" s="138">
        <f t="shared" si="101"/>
        <v>0</v>
      </c>
      <c r="J2574" s="82"/>
      <c r="K2574" s="83"/>
    </row>
    <row r="2575" spans="1:11" ht="15" customHeight="1" x14ac:dyDescent="0.25">
      <c r="A2575" s="82" t="s">
        <v>4236</v>
      </c>
      <c r="B2575" s="83" t="s">
        <v>4237</v>
      </c>
      <c r="C2575" s="83"/>
      <c r="D2575" s="83"/>
      <c r="E2575" s="83" t="s">
        <v>4228</v>
      </c>
      <c r="F2575" s="82" t="s">
        <v>78</v>
      </c>
      <c r="G2575" s="82">
        <v>1</v>
      </c>
      <c r="H2575" s="82">
        <v>700</v>
      </c>
      <c r="I2575" s="138">
        <f t="shared" si="101"/>
        <v>700</v>
      </c>
      <c r="J2575" s="82"/>
      <c r="K2575" s="83"/>
    </row>
    <row r="2576" spans="1:11" ht="39" customHeight="1" x14ac:dyDescent="0.25">
      <c r="A2576" s="82" t="s">
        <v>4236</v>
      </c>
      <c r="B2576" s="83" t="s">
        <v>4301</v>
      </c>
      <c r="C2576" s="83"/>
      <c r="D2576" s="83"/>
      <c r="E2576" s="83" t="s">
        <v>4302</v>
      </c>
      <c r="F2576" s="82" t="s">
        <v>78</v>
      </c>
      <c r="G2576" s="82">
        <v>1</v>
      </c>
      <c r="H2576" s="82"/>
      <c r="I2576" s="138">
        <f t="shared" si="101"/>
        <v>0</v>
      </c>
      <c r="J2576" s="82"/>
      <c r="K2576" s="83"/>
    </row>
    <row r="2577" spans="1:11" ht="15" customHeight="1" x14ac:dyDescent="0.25">
      <c r="A2577" s="82" t="s">
        <v>4236</v>
      </c>
      <c r="B2577" s="83" t="s">
        <v>4238</v>
      </c>
      <c r="C2577" s="83"/>
      <c r="D2577" s="83"/>
      <c r="E2577" s="83" t="s">
        <v>4228</v>
      </c>
      <c r="F2577" s="82" t="s">
        <v>78</v>
      </c>
      <c r="G2577" s="82">
        <v>1</v>
      </c>
      <c r="H2577" s="82">
        <v>5069</v>
      </c>
      <c r="I2577" s="138">
        <f t="shared" si="101"/>
        <v>5069</v>
      </c>
      <c r="J2577" s="82"/>
      <c r="K2577" s="83" t="s">
        <v>4239</v>
      </c>
    </row>
    <row r="2578" spans="1:11" ht="72.75" customHeight="1" x14ac:dyDescent="0.25">
      <c r="A2578" s="80" t="s">
        <v>4306</v>
      </c>
      <c r="B2578" s="80" t="s">
        <v>4307</v>
      </c>
      <c r="C2578" s="80"/>
      <c r="D2578" s="80"/>
      <c r="E2578" s="80"/>
      <c r="F2578" s="80"/>
      <c r="G2578" s="81"/>
      <c r="H2578" s="80"/>
      <c r="I2578" s="137"/>
      <c r="J2578" s="80"/>
      <c r="K2578" s="80"/>
    </row>
    <row r="2579" spans="1:11" ht="27" customHeight="1" x14ac:dyDescent="0.25">
      <c r="A2579" s="82" t="s">
        <v>4308</v>
      </c>
      <c r="B2579" s="83" t="s">
        <v>4309</v>
      </c>
      <c r="C2579" s="83"/>
      <c r="D2579" s="83"/>
      <c r="E2579" s="83" t="s">
        <v>4228</v>
      </c>
      <c r="F2579" s="82" t="s">
        <v>78</v>
      </c>
      <c r="G2579" s="82">
        <v>6</v>
      </c>
      <c r="H2579" s="82"/>
      <c r="I2579" s="138">
        <f t="shared" ref="I2579:I2588" si="102">H2579*G2579</f>
        <v>0</v>
      </c>
      <c r="J2579" s="82"/>
      <c r="K2579" s="83"/>
    </row>
    <row r="2580" spans="1:11" ht="27" customHeight="1" x14ac:dyDescent="0.25">
      <c r="A2580" s="82" t="s">
        <v>4310</v>
      </c>
      <c r="B2580" s="83" t="s">
        <v>4311</v>
      </c>
      <c r="C2580" s="83" t="s">
        <v>4312</v>
      </c>
      <c r="D2580" s="83"/>
      <c r="E2580" s="83" t="s">
        <v>4228</v>
      </c>
      <c r="F2580" s="82" t="s">
        <v>78</v>
      </c>
      <c r="G2580" s="82">
        <v>1</v>
      </c>
      <c r="H2580" s="82"/>
      <c r="I2580" s="138">
        <f t="shared" si="102"/>
        <v>0</v>
      </c>
      <c r="J2580" s="82"/>
      <c r="K2580" s="83"/>
    </row>
    <row r="2581" spans="1:11" ht="27" customHeight="1" x14ac:dyDescent="0.25">
      <c r="A2581" s="82" t="s">
        <v>4242</v>
      </c>
      <c r="B2581" s="83" t="s">
        <v>4313</v>
      </c>
      <c r="C2581" s="83" t="s">
        <v>4282</v>
      </c>
      <c r="D2581" s="83"/>
      <c r="E2581" s="83" t="s">
        <v>4228</v>
      </c>
      <c r="F2581" s="82" t="s">
        <v>78</v>
      </c>
      <c r="G2581" s="82">
        <v>1</v>
      </c>
      <c r="H2581" s="82">
        <v>1950</v>
      </c>
      <c r="I2581" s="138">
        <f t="shared" si="102"/>
        <v>1950</v>
      </c>
      <c r="J2581" s="82"/>
      <c r="K2581" s="83" t="s">
        <v>4246</v>
      </c>
    </row>
    <row r="2582" spans="1:11" ht="27" customHeight="1" x14ac:dyDescent="0.25">
      <c r="A2582" s="82" t="s">
        <v>4314</v>
      </c>
      <c r="B2582" s="83" t="s">
        <v>4315</v>
      </c>
      <c r="C2582" s="83"/>
      <c r="D2582" s="83"/>
      <c r="E2582" s="83" t="s">
        <v>4228</v>
      </c>
      <c r="F2582" s="82" t="s">
        <v>78</v>
      </c>
      <c r="G2582" s="82">
        <v>2</v>
      </c>
      <c r="H2582" s="82"/>
      <c r="I2582" s="138">
        <f t="shared" si="102"/>
        <v>0</v>
      </c>
      <c r="J2582" s="82"/>
      <c r="K2582" s="83"/>
    </row>
    <row r="2583" spans="1:11" ht="39" customHeight="1" x14ac:dyDescent="0.25">
      <c r="A2583" s="82" t="s">
        <v>4316</v>
      </c>
      <c r="B2583" s="83" t="s">
        <v>4317</v>
      </c>
      <c r="C2583" s="83" t="s">
        <v>4318</v>
      </c>
      <c r="D2583" s="83"/>
      <c r="E2583" s="83" t="s">
        <v>4228</v>
      </c>
      <c r="F2583" s="82" t="s">
        <v>78</v>
      </c>
      <c r="G2583" s="82">
        <v>3</v>
      </c>
      <c r="H2583" s="82">
        <v>74243</v>
      </c>
      <c r="I2583" s="138">
        <f t="shared" si="102"/>
        <v>222729</v>
      </c>
      <c r="J2583" s="82" t="s">
        <v>4319</v>
      </c>
      <c r="K2583" s="83"/>
    </row>
    <row r="2584" spans="1:11" ht="39" customHeight="1" x14ac:dyDescent="0.25">
      <c r="A2584" s="82" t="s">
        <v>4320</v>
      </c>
      <c r="B2584" s="83" t="s">
        <v>4321</v>
      </c>
      <c r="C2584" s="83" t="s">
        <v>4322</v>
      </c>
      <c r="D2584" s="83"/>
      <c r="E2584" s="83" t="s">
        <v>4228</v>
      </c>
      <c r="F2584" s="82" t="s">
        <v>78</v>
      </c>
      <c r="G2584" s="82">
        <v>1</v>
      </c>
      <c r="H2584" s="82">
        <v>150000</v>
      </c>
      <c r="I2584" s="138">
        <f t="shared" si="102"/>
        <v>150000</v>
      </c>
      <c r="J2584" s="82" t="s">
        <v>4323</v>
      </c>
      <c r="K2584" s="83"/>
    </row>
    <row r="2585" spans="1:11" ht="27" customHeight="1" x14ac:dyDescent="0.25">
      <c r="A2585" s="82" t="s">
        <v>4324</v>
      </c>
      <c r="B2585" s="83" t="s">
        <v>4325</v>
      </c>
      <c r="C2585" s="83" t="s">
        <v>4326</v>
      </c>
      <c r="D2585" s="83"/>
      <c r="E2585" s="83" t="s">
        <v>4228</v>
      </c>
      <c r="F2585" s="82" t="s">
        <v>78</v>
      </c>
      <c r="G2585" s="82">
        <v>1</v>
      </c>
      <c r="H2585" s="82"/>
      <c r="I2585" s="138">
        <f t="shared" si="102"/>
        <v>0</v>
      </c>
      <c r="J2585" s="82"/>
      <c r="K2585" s="83"/>
    </row>
    <row r="2586" spans="1:11" ht="27" customHeight="1" x14ac:dyDescent="0.25">
      <c r="A2586" s="82" t="s">
        <v>4327</v>
      </c>
      <c r="B2586" s="83" t="s">
        <v>4328</v>
      </c>
      <c r="C2586" s="83" t="s">
        <v>4329</v>
      </c>
      <c r="D2586" s="83"/>
      <c r="E2586" s="83" t="s">
        <v>4228</v>
      </c>
      <c r="F2586" s="82" t="s">
        <v>78</v>
      </c>
      <c r="G2586" s="82">
        <v>1</v>
      </c>
      <c r="H2586" s="82">
        <v>2200000</v>
      </c>
      <c r="I2586" s="138">
        <f t="shared" si="102"/>
        <v>2200000</v>
      </c>
      <c r="J2586" s="82" t="s">
        <v>4330</v>
      </c>
      <c r="K2586" s="83"/>
    </row>
    <row r="2587" spans="1:11" ht="27" customHeight="1" x14ac:dyDescent="0.25">
      <c r="A2587" s="82" t="s">
        <v>4331</v>
      </c>
      <c r="B2587" s="83" t="s">
        <v>4332</v>
      </c>
      <c r="C2587" s="83" t="s">
        <v>4333</v>
      </c>
      <c r="D2587" s="83"/>
      <c r="E2587" s="83" t="s">
        <v>4228</v>
      </c>
      <c r="F2587" s="82" t="s">
        <v>78</v>
      </c>
      <c r="G2587" s="82">
        <v>1</v>
      </c>
      <c r="H2587" s="82">
        <v>30000</v>
      </c>
      <c r="I2587" s="138">
        <f t="shared" si="102"/>
        <v>30000</v>
      </c>
      <c r="J2587" s="82"/>
      <c r="K2587" s="83"/>
    </row>
    <row r="2588" spans="1:11" ht="15" customHeight="1" x14ac:dyDescent="0.25">
      <c r="A2588" s="82" t="s">
        <v>4236</v>
      </c>
      <c r="B2588" s="83" t="s">
        <v>4334</v>
      </c>
      <c r="C2588" s="83"/>
      <c r="D2588" s="83"/>
      <c r="E2588" s="83" t="s">
        <v>4228</v>
      </c>
      <c r="F2588" s="82" t="s">
        <v>78</v>
      </c>
      <c r="G2588" s="82">
        <v>1</v>
      </c>
      <c r="H2588" s="82">
        <v>4500</v>
      </c>
      <c r="I2588" s="138">
        <f t="shared" si="102"/>
        <v>4500</v>
      </c>
      <c r="J2588" s="82"/>
      <c r="K2588" s="83"/>
    </row>
    <row r="2589" spans="1:11" ht="15" customHeight="1" x14ac:dyDescent="0.25">
      <c r="A2589" s="80" t="s">
        <v>4335</v>
      </c>
      <c r="B2589" s="80" t="s">
        <v>4336</v>
      </c>
      <c r="C2589" s="80"/>
      <c r="D2589" s="80"/>
      <c r="E2589" s="80"/>
      <c r="F2589" s="80"/>
      <c r="G2589" s="81"/>
      <c r="H2589" s="80"/>
      <c r="I2589" s="137"/>
      <c r="J2589" s="80"/>
      <c r="K2589" s="80"/>
    </row>
    <row r="2590" spans="1:11" ht="39" customHeight="1" x14ac:dyDescent="0.25">
      <c r="A2590" s="82" t="s">
        <v>4226</v>
      </c>
      <c r="B2590" s="83" t="s">
        <v>4337</v>
      </c>
      <c r="C2590" s="83"/>
      <c r="D2590" s="83"/>
      <c r="E2590" s="83" t="s">
        <v>4228</v>
      </c>
      <c r="F2590" s="82" t="s">
        <v>78</v>
      </c>
      <c r="G2590" s="82">
        <v>4</v>
      </c>
      <c r="H2590" s="82"/>
      <c r="I2590" s="138">
        <f>H2590*G2590</f>
        <v>0</v>
      </c>
      <c r="J2590" s="82"/>
      <c r="K2590" s="83"/>
    </row>
    <row r="2591" spans="1:11" ht="51" customHeight="1" x14ac:dyDescent="0.25">
      <c r="A2591" s="82" t="s">
        <v>4338</v>
      </c>
      <c r="B2591" s="83" t="s">
        <v>4339</v>
      </c>
      <c r="C2591" s="83"/>
      <c r="D2591" s="83"/>
      <c r="E2591" s="83" t="s">
        <v>4228</v>
      </c>
      <c r="F2591" s="82" t="s">
        <v>78</v>
      </c>
      <c r="G2591" s="82">
        <v>3</v>
      </c>
      <c r="H2591" s="82"/>
      <c r="I2591" s="138">
        <f>H2591*G2591</f>
        <v>0</v>
      </c>
      <c r="J2591" s="82"/>
      <c r="K2591" s="83"/>
    </row>
    <row r="2592" spans="1:11" ht="27" customHeight="1" x14ac:dyDescent="0.25">
      <c r="A2592" s="82" t="s">
        <v>4340</v>
      </c>
      <c r="B2592" s="83" t="s">
        <v>4341</v>
      </c>
      <c r="C2592" s="83"/>
      <c r="D2592" s="83"/>
      <c r="E2592" s="83" t="s">
        <v>4228</v>
      </c>
      <c r="F2592" s="82" t="s">
        <v>78</v>
      </c>
      <c r="G2592" s="82">
        <v>50</v>
      </c>
      <c r="H2592" s="82"/>
      <c r="I2592" s="138">
        <f>H2592*G2592</f>
        <v>0</v>
      </c>
      <c r="J2592" s="82" t="s">
        <v>4342</v>
      </c>
      <c r="K2592" s="83"/>
    </row>
    <row r="2593" spans="1:11" ht="15" customHeight="1" x14ac:dyDescent="0.25">
      <c r="A2593" s="82" t="s">
        <v>4236</v>
      </c>
      <c r="B2593" s="83" t="s">
        <v>4343</v>
      </c>
      <c r="C2593" s="83"/>
      <c r="D2593" s="83"/>
      <c r="E2593" s="83" t="s">
        <v>4228</v>
      </c>
      <c r="F2593" s="82" t="s">
        <v>78</v>
      </c>
      <c r="G2593" s="82">
        <v>8</v>
      </c>
      <c r="H2593" s="82">
        <v>1570</v>
      </c>
      <c r="I2593" s="138">
        <f>H2593*G2593</f>
        <v>12560</v>
      </c>
      <c r="J2593" s="82"/>
      <c r="K2593" s="83"/>
    </row>
    <row r="2594" spans="1:11" ht="15" customHeight="1" x14ac:dyDescent="0.25">
      <c r="A2594" s="80" t="s">
        <v>4344</v>
      </c>
      <c r="B2594" s="80" t="s">
        <v>4345</v>
      </c>
      <c r="C2594" s="80"/>
      <c r="D2594" s="80"/>
      <c r="E2594" s="80"/>
      <c r="F2594" s="80"/>
      <c r="G2594" s="81"/>
      <c r="H2594" s="80"/>
      <c r="I2594" s="137"/>
      <c r="J2594" s="80"/>
      <c r="K2594" s="80"/>
    </row>
    <row r="2595" spans="1:11" ht="15" customHeight="1" x14ac:dyDescent="0.25">
      <c r="A2595" s="82" t="s">
        <v>4346</v>
      </c>
      <c r="B2595" s="83" t="s">
        <v>4347</v>
      </c>
      <c r="C2595" s="83"/>
      <c r="D2595" s="83"/>
      <c r="E2595" s="83" t="s">
        <v>110</v>
      </c>
      <c r="F2595" s="82" t="s">
        <v>78</v>
      </c>
      <c r="G2595" s="82">
        <v>4</v>
      </c>
      <c r="H2595" s="82"/>
      <c r="I2595" s="138">
        <f>H2595*G2595</f>
        <v>0</v>
      </c>
      <c r="J2595" s="82"/>
      <c r="K2595" s="83"/>
    </row>
    <row r="2596" spans="1:11" ht="15" customHeight="1" x14ac:dyDescent="0.25">
      <c r="A2596" s="80" t="s">
        <v>4348</v>
      </c>
      <c r="B2596" s="80" t="s">
        <v>4349</v>
      </c>
      <c r="C2596" s="80"/>
      <c r="D2596" s="80"/>
      <c r="E2596" s="80"/>
      <c r="F2596" s="80"/>
      <c r="G2596" s="81"/>
      <c r="H2596" s="80"/>
      <c r="I2596" s="137"/>
      <c r="J2596" s="80"/>
      <c r="K2596" s="80"/>
    </row>
    <row r="2597" spans="1:11" ht="15" customHeight="1" x14ac:dyDescent="0.25">
      <c r="A2597" s="80" t="s">
        <v>4350</v>
      </c>
      <c r="B2597" s="80" t="s">
        <v>4351</v>
      </c>
      <c r="C2597" s="80"/>
      <c r="D2597" s="80"/>
      <c r="E2597" s="80"/>
      <c r="F2597" s="80"/>
      <c r="G2597" s="81"/>
      <c r="H2597" s="80"/>
      <c r="I2597" s="137"/>
      <c r="J2597" s="80"/>
      <c r="K2597" s="80"/>
    </row>
    <row r="2598" spans="1:11" ht="15" customHeight="1" x14ac:dyDescent="0.25">
      <c r="A2598" s="80" t="s">
        <v>4352</v>
      </c>
      <c r="B2598" s="80" t="s">
        <v>4353</v>
      </c>
      <c r="C2598" s="80"/>
      <c r="D2598" s="80"/>
      <c r="E2598" s="80"/>
      <c r="F2598" s="80"/>
      <c r="G2598" s="81"/>
      <c r="H2598" s="80"/>
      <c r="I2598" s="137"/>
      <c r="J2598" s="80"/>
      <c r="K2598" s="80"/>
    </row>
    <row r="2599" spans="1:11" ht="15" customHeight="1" x14ac:dyDescent="0.25">
      <c r="A2599" s="80" t="s">
        <v>4354</v>
      </c>
      <c r="B2599" s="80" t="s">
        <v>4355</v>
      </c>
      <c r="C2599" s="80"/>
      <c r="D2599" s="80"/>
      <c r="E2599" s="80"/>
      <c r="F2599" s="80"/>
      <c r="G2599" s="81"/>
      <c r="H2599" s="80"/>
      <c r="I2599" s="137"/>
      <c r="J2599" s="80"/>
      <c r="K2599" s="80"/>
    </row>
    <row r="2600" spans="1:11" ht="15" customHeight="1" x14ac:dyDescent="0.25">
      <c r="A2600" s="80" t="s">
        <v>4356</v>
      </c>
      <c r="B2600" s="80" t="s">
        <v>4357</v>
      </c>
      <c r="C2600" s="80"/>
      <c r="D2600" s="80"/>
      <c r="E2600" s="80"/>
      <c r="F2600" s="80"/>
      <c r="G2600" s="81"/>
      <c r="H2600" s="80"/>
      <c r="I2600" s="137"/>
      <c r="J2600" s="80"/>
      <c r="K2600" s="80"/>
    </row>
    <row r="2601" spans="1:11" ht="15" customHeight="1" x14ac:dyDescent="0.25">
      <c r="A2601" s="80" t="s">
        <v>4358</v>
      </c>
      <c r="B2601" s="80" t="s">
        <v>4359</v>
      </c>
      <c r="C2601" s="80"/>
      <c r="D2601" s="80"/>
      <c r="E2601" s="80"/>
      <c r="F2601" s="80"/>
      <c r="G2601" s="81"/>
      <c r="H2601" s="80"/>
      <c r="I2601" s="137"/>
      <c r="J2601" s="80"/>
      <c r="K2601" s="80"/>
    </row>
    <row r="2602" spans="1:11" ht="15" customHeight="1" x14ac:dyDescent="0.25">
      <c r="A2602" s="82" t="s">
        <v>4236</v>
      </c>
      <c r="B2602" s="83" t="s">
        <v>4360</v>
      </c>
      <c r="C2602" s="83"/>
      <c r="D2602" s="83"/>
      <c r="E2602" s="83" t="s">
        <v>4228</v>
      </c>
      <c r="F2602" s="82" t="s">
        <v>78</v>
      </c>
      <c r="G2602" s="82">
        <v>20</v>
      </c>
      <c r="H2602" s="82">
        <v>2360</v>
      </c>
      <c r="I2602" s="138">
        <f>H2602*G2602</f>
        <v>47200</v>
      </c>
      <c r="J2602" s="82"/>
      <c r="K2602" s="83"/>
    </row>
    <row r="2603" spans="1:11" ht="15" customHeight="1" x14ac:dyDescent="0.25">
      <c r="A2603" s="80" t="s">
        <v>4361</v>
      </c>
      <c r="B2603" s="80" t="s">
        <v>4362</v>
      </c>
      <c r="C2603" s="80"/>
      <c r="D2603" s="80"/>
      <c r="E2603" s="80"/>
      <c r="F2603" s="80"/>
      <c r="G2603" s="81"/>
      <c r="H2603" s="80"/>
      <c r="I2603" s="137"/>
      <c r="J2603" s="80"/>
      <c r="K2603" s="80"/>
    </row>
    <row r="2604" spans="1:11" ht="27" customHeight="1" x14ac:dyDescent="0.25">
      <c r="A2604" s="82" t="s">
        <v>4280</v>
      </c>
      <c r="B2604" s="83" t="s">
        <v>4281</v>
      </c>
      <c r="C2604" s="83"/>
      <c r="D2604" s="83"/>
      <c r="E2604" s="83" t="s">
        <v>4228</v>
      </c>
      <c r="F2604" s="82" t="s">
        <v>78</v>
      </c>
      <c r="G2604" s="82">
        <v>3</v>
      </c>
      <c r="H2604" s="82">
        <v>32200</v>
      </c>
      <c r="I2604" s="138">
        <f>H2604*G2604</f>
        <v>96600</v>
      </c>
      <c r="J2604" s="82" t="s">
        <v>4363</v>
      </c>
      <c r="K2604" s="83"/>
    </row>
    <row r="2605" spans="1:11" ht="15" customHeight="1" x14ac:dyDescent="0.25">
      <c r="A2605" s="80" t="s">
        <v>4364</v>
      </c>
      <c r="B2605" s="80" t="s">
        <v>4365</v>
      </c>
      <c r="C2605" s="80"/>
      <c r="D2605" s="80"/>
      <c r="E2605" s="80"/>
      <c r="F2605" s="80"/>
      <c r="G2605" s="81"/>
      <c r="H2605" s="80"/>
      <c r="I2605" s="137"/>
      <c r="J2605" s="80"/>
      <c r="K2605" s="80"/>
    </row>
    <row r="2606" spans="1:11" ht="15" customHeight="1" x14ac:dyDescent="0.25">
      <c r="A2606" s="80" t="s">
        <v>4366</v>
      </c>
      <c r="B2606" s="80" t="s">
        <v>4367</v>
      </c>
      <c r="C2606" s="80"/>
      <c r="D2606" s="80"/>
      <c r="E2606" s="80"/>
      <c r="F2606" s="80"/>
      <c r="G2606" s="81"/>
      <c r="H2606" s="80"/>
      <c r="I2606" s="137"/>
      <c r="J2606" s="80"/>
      <c r="K2606" s="80"/>
    </row>
    <row r="2607" spans="1:11" ht="15" customHeight="1" x14ac:dyDescent="0.25">
      <c r="A2607" s="80" t="s">
        <v>4368</v>
      </c>
      <c r="B2607" s="80" t="s">
        <v>4260</v>
      </c>
      <c r="C2607" s="80"/>
      <c r="D2607" s="80"/>
      <c r="E2607" s="80"/>
      <c r="F2607" s="80"/>
      <c r="G2607" s="81"/>
      <c r="H2607" s="80"/>
      <c r="I2607" s="137"/>
      <c r="J2607" s="80"/>
      <c r="K2607" s="80"/>
    </row>
    <row r="2608" spans="1:11" ht="15" customHeight="1" x14ac:dyDescent="0.25">
      <c r="A2608" s="82" t="s">
        <v>375</v>
      </c>
      <c r="B2608" s="83" t="s">
        <v>4988</v>
      </c>
      <c r="C2608" s="83" t="s">
        <v>4989</v>
      </c>
      <c r="D2608" s="83"/>
      <c r="E2608" s="83" t="s">
        <v>4228</v>
      </c>
      <c r="F2608" s="82" t="s">
        <v>78</v>
      </c>
      <c r="G2608" s="82">
        <v>1</v>
      </c>
      <c r="H2608" s="82"/>
      <c r="I2608" s="138">
        <f t="shared" ref="I2608:I2617" si="103">H2608*G2608</f>
        <v>0</v>
      </c>
      <c r="J2608" s="82"/>
      <c r="K2608" s="83"/>
    </row>
    <row r="2609" spans="1:11" ht="27" customHeight="1" x14ac:dyDescent="0.25">
      <c r="A2609" s="82" t="s">
        <v>432</v>
      </c>
      <c r="B2609" s="83" t="s">
        <v>4231</v>
      </c>
      <c r="C2609" s="83"/>
      <c r="D2609" s="83"/>
      <c r="E2609" s="83" t="s">
        <v>4228</v>
      </c>
      <c r="F2609" s="82" t="s">
        <v>78</v>
      </c>
      <c r="G2609" s="82">
        <v>1</v>
      </c>
      <c r="H2609" s="82">
        <v>12000</v>
      </c>
      <c r="I2609" s="138">
        <f t="shared" si="103"/>
        <v>12000</v>
      </c>
      <c r="J2609" s="82"/>
      <c r="K2609" s="83"/>
    </row>
    <row r="2610" spans="1:11" ht="39" customHeight="1" x14ac:dyDescent="0.25">
      <c r="A2610" s="82" t="s">
        <v>459</v>
      </c>
      <c r="B2610" s="83" t="s">
        <v>4232</v>
      </c>
      <c r="C2610" s="83"/>
      <c r="D2610" s="83"/>
      <c r="E2610" s="83" t="s">
        <v>4228</v>
      </c>
      <c r="F2610" s="82" t="s">
        <v>78</v>
      </c>
      <c r="G2610" s="82">
        <v>1</v>
      </c>
      <c r="H2610" s="82"/>
      <c r="I2610" s="138">
        <f t="shared" si="103"/>
        <v>0</v>
      </c>
      <c r="J2610" s="82"/>
      <c r="K2610" s="83"/>
    </row>
    <row r="2611" spans="1:11" ht="27" customHeight="1" x14ac:dyDescent="0.25">
      <c r="A2611" s="82" t="s">
        <v>4233</v>
      </c>
      <c r="B2611" s="83" t="s">
        <v>4234</v>
      </c>
      <c r="C2611" s="83"/>
      <c r="D2611" s="83"/>
      <c r="E2611" s="83" t="s">
        <v>4228</v>
      </c>
      <c r="F2611" s="82" t="s">
        <v>78</v>
      </c>
      <c r="G2611" s="82">
        <v>1</v>
      </c>
      <c r="H2611" s="82"/>
      <c r="I2611" s="138">
        <f t="shared" si="103"/>
        <v>0</v>
      </c>
      <c r="J2611" s="82"/>
      <c r="K2611" s="83"/>
    </row>
    <row r="2612" spans="1:11" ht="39" customHeight="1" x14ac:dyDescent="0.25">
      <c r="A2612" s="82" t="s">
        <v>4264</v>
      </c>
      <c r="B2612" s="83" t="s">
        <v>4265</v>
      </c>
      <c r="C2612" s="83" t="s">
        <v>4266</v>
      </c>
      <c r="D2612" s="83"/>
      <c r="E2612" s="83" t="s">
        <v>4228</v>
      </c>
      <c r="F2612" s="82" t="s">
        <v>78</v>
      </c>
      <c r="G2612" s="82">
        <v>1</v>
      </c>
      <c r="H2612" s="82"/>
      <c r="I2612" s="138">
        <f t="shared" si="103"/>
        <v>0</v>
      </c>
      <c r="J2612" s="82"/>
      <c r="K2612" s="83"/>
    </row>
    <row r="2613" spans="1:11" ht="27" customHeight="1" x14ac:dyDescent="0.25">
      <c r="A2613" s="82" t="s">
        <v>4242</v>
      </c>
      <c r="B2613" s="83" t="s">
        <v>4243</v>
      </c>
      <c r="C2613" s="83" t="s">
        <v>4282</v>
      </c>
      <c r="D2613" s="83"/>
      <c r="E2613" s="83" t="s">
        <v>4228</v>
      </c>
      <c r="F2613" s="82" t="s">
        <v>78</v>
      </c>
      <c r="G2613" s="82">
        <v>1</v>
      </c>
      <c r="H2613" s="82">
        <v>1950</v>
      </c>
      <c r="I2613" s="138">
        <f t="shared" si="103"/>
        <v>1950</v>
      </c>
      <c r="J2613" s="82"/>
      <c r="K2613" s="83" t="s">
        <v>4246</v>
      </c>
    </row>
    <row r="2614" spans="1:11" ht="27" customHeight="1" x14ac:dyDescent="0.25">
      <c r="A2614" s="82" t="s">
        <v>4267</v>
      </c>
      <c r="B2614" s="83" t="s">
        <v>4268</v>
      </c>
      <c r="C2614" s="83" t="s">
        <v>4269</v>
      </c>
      <c r="D2614" s="83"/>
      <c r="E2614" s="83" t="s">
        <v>4228</v>
      </c>
      <c r="F2614" s="82" t="s">
        <v>78</v>
      </c>
      <c r="G2614" s="82">
        <v>1</v>
      </c>
      <c r="H2614" s="82"/>
      <c r="I2614" s="138">
        <f t="shared" si="103"/>
        <v>0</v>
      </c>
      <c r="J2614" s="82"/>
      <c r="K2614" s="83"/>
    </row>
    <row r="2615" spans="1:11" ht="15" customHeight="1" x14ac:dyDescent="0.25">
      <c r="A2615" s="82" t="s">
        <v>2131</v>
      </c>
      <c r="B2615" s="83" t="s">
        <v>4235</v>
      </c>
      <c r="C2615" s="83"/>
      <c r="D2615" s="83"/>
      <c r="E2615" s="83" t="s">
        <v>4228</v>
      </c>
      <c r="F2615" s="82" t="s">
        <v>78</v>
      </c>
      <c r="G2615" s="82">
        <v>1</v>
      </c>
      <c r="H2615" s="82">
        <v>2000</v>
      </c>
      <c r="I2615" s="138">
        <f t="shared" si="103"/>
        <v>2000</v>
      </c>
      <c r="J2615" s="82"/>
      <c r="K2615" s="83"/>
    </row>
    <row r="2616" spans="1:11" ht="15" customHeight="1" x14ac:dyDescent="0.25">
      <c r="A2616" s="82" t="s">
        <v>4236</v>
      </c>
      <c r="B2616" s="83" t="s">
        <v>4237</v>
      </c>
      <c r="C2616" s="83"/>
      <c r="D2616" s="83"/>
      <c r="E2616" s="83" t="s">
        <v>4228</v>
      </c>
      <c r="F2616" s="82" t="s">
        <v>78</v>
      </c>
      <c r="G2616" s="82">
        <v>1</v>
      </c>
      <c r="H2616" s="82">
        <v>700</v>
      </c>
      <c r="I2616" s="138">
        <f t="shared" si="103"/>
        <v>700</v>
      </c>
      <c r="J2616" s="82"/>
      <c r="K2616" s="83"/>
    </row>
    <row r="2617" spans="1:11" ht="15" customHeight="1" x14ac:dyDescent="0.25">
      <c r="A2617" s="82" t="s">
        <v>4236</v>
      </c>
      <c r="B2617" s="83" t="s">
        <v>4238</v>
      </c>
      <c r="C2617" s="83"/>
      <c r="D2617" s="83"/>
      <c r="E2617" s="83" t="s">
        <v>4228</v>
      </c>
      <c r="F2617" s="82" t="s">
        <v>78</v>
      </c>
      <c r="G2617" s="82">
        <v>1</v>
      </c>
      <c r="H2617" s="82">
        <v>5069</v>
      </c>
      <c r="I2617" s="138">
        <f t="shared" si="103"/>
        <v>5069</v>
      </c>
      <c r="J2617" s="82"/>
      <c r="K2617" s="83" t="s">
        <v>4239</v>
      </c>
    </row>
    <row r="2618" spans="1:11" ht="15" customHeight="1" x14ac:dyDescent="0.25">
      <c r="A2618" s="80" t="s">
        <v>4369</v>
      </c>
      <c r="B2618" s="80" t="s">
        <v>4370</v>
      </c>
      <c r="C2618" s="80"/>
      <c r="D2618" s="80"/>
      <c r="E2618" s="80"/>
      <c r="F2618" s="80"/>
      <c r="G2618" s="81"/>
      <c r="H2618" s="80"/>
      <c r="I2618" s="137"/>
      <c r="J2618" s="80"/>
      <c r="K2618" s="80"/>
    </row>
    <row r="2619" spans="1:11" ht="15" customHeight="1" x14ac:dyDescent="0.25">
      <c r="A2619" s="80" t="s">
        <v>4371</v>
      </c>
      <c r="B2619" s="80" t="s">
        <v>4372</v>
      </c>
      <c r="C2619" s="80"/>
      <c r="D2619" s="80"/>
      <c r="E2619" s="80"/>
      <c r="F2619" s="80"/>
      <c r="G2619" s="81"/>
      <c r="H2619" s="80"/>
      <c r="I2619" s="137"/>
      <c r="J2619" s="80"/>
      <c r="K2619" s="80"/>
    </row>
    <row r="2620" spans="1:11" ht="15" customHeight="1" x14ac:dyDescent="0.25">
      <c r="A2620" s="82" t="s">
        <v>4289</v>
      </c>
      <c r="B2620" s="83" t="s">
        <v>4290</v>
      </c>
      <c r="C2620" s="83"/>
      <c r="D2620" s="83"/>
      <c r="E2620" s="83" t="s">
        <v>4228</v>
      </c>
      <c r="F2620" s="82" t="s">
        <v>78</v>
      </c>
      <c r="G2620" s="82">
        <v>1</v>
      </c>
      <c r="H2620" s="82"/>
      <c r="I2620" s="138">
        <f t="shared" ref="I2620:I2636" si="104">H2620*G2620</f>
        <v>0</v>
      </c>
      <c r="J2620" s="82"/>
      <c r="K2620" s="83"/>
    </row>
    <row r="2621" spans="1:11" ht="27" customHeight="1" x14ac:dyDescent="0.25">
      <c r="A2621" s="82" t="s">
        <v>432</v>
      </c>
      <c r="B2621" s="83" t="s">
        <v>4231</v>
      </c>
      <c r="C2621" s="83"/>
      <c r="D2621" s="83"/>
      <c r="E2621" s="83" t="s">
        <v>4228</v>
      </c>
      <c r="F2621" s="82" t="s">
        <v>78</v>
      </c>
      <c r="G2621" s="82">
        <v>1</v>
      </c>
      <c r="H2621" s="82">
        <v>12000</v>
      </c>
      <c r="I2621" s="138">
        <f t="shared" si="104"/>
        <v>12000</v>
      </c>
      <c r="J2621" s="82"/>
      <c r="K2621" s="83"/>
    </row>
    <row r="2622" spans="1:11" ht="39" customHeight="1" x14ac:dyDescent="0.25">
      <c r="A2622" s="82" t="s">
        <v>459</v>
      </c>
      <c r="B2622" s="83" t="s">
        <v>4232</v>
      </c>
      <c r="C2622" s="83"/>
      <c r="D2622" s="83"/>
      <c r="E2622" s="83" t="s">
        <v>4228</v>
      </c>
      <c r="F2622" s="82" t="s">
        <v>78</v>
      </c>
      <c r="G2622" s="82">
        <v>2</v>
      </c>
      <c r="H2622" s="82"/>
      <c r="I2622" s="138">
        <f t="shared" si="104"/>
        <v>0</v>
      </c>
      <c r="J2622" s="82"/>
      <c r="K2622" s="83"/>
    </row>
    <row r="2623" spans="1:11" ht="27" customHeight="1" x14ac:dyDescent="0.25">
      <c r="A2623" s="82" t="s">
        <v>4233</v>
      </c>
      <c r="B2623" s="83" t="s">
        <v>4234</v>
      </c>
      <c r="C2623" s="83"/>
      <c r="D2623" s="83"/>
      <c r="E2623" s="83" t="s">
        <v>4228</v>
      </c>
      <c r="F2623" s="82" t="s">
        <v>78</v>
      </c>
      <c r="G2623" s="82">
        <v>1</v>
      </c>
      <c r="H2623" s="82"/>
      <c r="I2623" s="138">
        <f t="shared" si="104"/>
        <v>0</v>
      </c>
      <c r="J2623" s="82"/>
      <c r="K2623" s="83"/>
    </row>
    <row r="2624" spans="1:11" ht="39" customHeight="1" x14ac:dyDescent="0.25">
      <c r="A2624" s="82" t="s">
        <v>4264</v>
      </c>
      <c r="B2624" s="83" t="s">
        <v>4265</v>
      </c>
      <c r="C2624" s="83" t="s">
        <v>4266</v>
      </c>
      <c r="D2624" s="83"/>
      <c r="E2624" s="83" t="s">
        <v>4228</v>
      </c>
      <c r="F2624" s="82" t="s">
        <v>78</v>
      </c>
      <c r="G2624" s="82">
        <v>2</v>
      </c>
      <c r="H2624" s="82"/>
      <c r="I2624" s="138">
        <f t="shared" si="104"/>
        <v>0</v>
      </c>
      <c r="J2624" s="82"/>
      <c r="K2624" s="83"/>
    </row>
    <row r="2625" spans="1:11" ht="27" customHeight="1" x14ac:dyDescent="0.25">
      <c r="A2625" s="82" t="s">
        <v>4267</v>
      </c>
      <c r="B2625" s="83" t="s">
        <v>4268</v>
      </c>
      <c r="C2625" s="83" t="s">
        <v>4269</v>
      </c>
      <c r="D2625" s="83"/>
      <c r="E2625" s="83" t="s">
        <v>4228</v>
      </c>
      <c r="F2625" s="82" t="s">
        <v>78</v>
      </c>
      <c r="G2625" s="82">
        <v>1</v>
      </c>
      <c r="H2625" s="82"/>
      <c r="I2625" s="138">
        <f t="shared" si="104"/>
        <v>0</v>
      </c>
      <c r="J2625" s="82"/>
      <c r="K2625" s="83"/>
    </row>
    <row r="2626" spans="1:11" ht="27" customHeight="1" x14ac:dyDescent="0.25">
      <c r="A2626" s="82" t="s">
        <v>4242</v>
      </c>
      <c r="B2626" s="83" t="s">
        <v>4243</v>
      </c>
      <c r="C2626" s="83" t="s">
        <v>4282</v>
      </c>
      <c r="D2626" s="83"/>
      <c r="E2626" s="83" t="s">
        <v>4228</v>
      </c>
      <c r="F2626" s="82" t="s">
        <v>78</v>
      </c>
      <c r="G2626" s="82">
        <v>1</v>
      </c>
      <c r="H2626" s="82">
        <v>1950</v>
      </c>
      <c r="I2626" s="138">
        <f t="shared" si="104"/>
        <v>1950</v>
      </c>
      <c r="J2626" s="82"/>
      <c r="K2626" s="83" t="s">
        <v>4246</v>
      </c>
    </row>
    <row r="2627" spans="1:11" ht="15" customHeight="1" x14ac:dyDescent="0.25">
      <c r="A2627" s="82" t="s">
        <v>4270</v>
      </c>
      <c r="B2627" s="83" t="s">
        <v>4271</v>
      </c>
      <c r="C2627" s="83"/>
      <c r="D2627" s="83"/>
      <c r="E2627" s="83" t="s">
        <v>4228</v>
      </c>
      <c r="F2627" s="82" t="s">
        <v>78</v>
      </c>
      <c r="G2627" s="82">
        <v>1</v>
      </c>
      <c r="H2627" s="82"/>
      <c r="I2627" s="138">
        <f t="shared" si="104"/>
        <v>0</v>
      </c>
      <c r="J2627" s="82"/>
      <c r="K2627" s="83"/>
    </row>
    <row r="2628" spans="1:11" ht="27" customHeight="1" x14ac:dyDescent="0.25">
      <c r="A2628" s="82" t="s">
        <v>3094</v>
      </c>
      <c r="B2628" s="83" t="s">
        <v>4291</v>
      </c>
      <c r="C2628" s="83"/>
      <c r="D2628" s="83"/>
      <c r="E2628" s="83" t="s">
        <v>4228</v>
      </c>
      <c r="F2628" s="82" t="s">
        <v>78</v>
      </c>
      <c r="G2628" s="82">
        <v>1</v>
      </c>
      <c r="H2628" s="82">
        <v>30000</v>
      </c>
      <c r="I2628" s="138">
        <f t="shared" si="104"/>
        <v>30000</v>
      </c>
      <c r="J2628" s="82"/>
      <c r="K2628" s="83"/>
    </row>
    <row r="2629" spans="1:11" ht="15" customHeight="1" x14ac:dyDescent="0.25">
      <c r="A2629" s="82" t="s">
        <v>4276</v>
      </c>
      <c r="B2629" s="83" t="s">
        <v>4277</v>
      </c>
      <c r="C2629" s="83"/>
      <c r="D2629" s="83"/>
      <c r="E2629" s="83" t="s">
        <v>4228</v>
      </c>
      <c r="F2629" s="82" t="s">
        <v>78</v>
      </c>
      <c r="G2629" s="82">
        <v>1</v>
      </c>
      <c r="H2629" s="82"/>
      <c r="I2629" s="138">
        <f t="shared" si="104"/>
        <v>0</v>
      </c>
      <c r="J2629" s="82"/>
      <c r="K2629" s="83"/>
    </row>
    <row r="2630" spans="1:11" ht="15" customHeight="1" x14ac:dyDescent="0.25">
      <c r="A2630" s="82" t="s">
        <v>4262</v>
      </c>
      <c r="B2630" s="83" t="s">
        <v>4263</v>
      </c>
      <c r="C2630" s="83"/>
      <c r="D2630" s="83"/>
      <c r="E2630" s="83" t="s">
        <v>4228</v>
      </c>
      <c r="F2630" s="82" t="s">
        <v>78</v>
      </c>
      <c r="G2630" s="82">
        <v>1</v>
      </c>
      <c r="H2630" s="82">
        <v>2800</v>
      </c>
      <c r="I2630" s="138">
        <f t="shared" si="104"/>
        <v>2800</v>
      </c>
      <c r="J2630" s="82"/>
      <c r="K2630" s="83"/>
    </row>
    <row r="2631" spans="1:11" ht="39" customHeight="1" x14ac:dyDescent="0.25">
      <c r="A2631" s="82" t="s">
        <v>4274</v>
      </c>
      <c r="B2631" s="83" t="s">
        <v>4275</v>
      </c>
      <c r="C2631" s="83"/>
      <c r="D2631" s="83"/>
      <c r="E2631" s="83" t="s">
        <v>4228</v>
      </c>
      <c r="F2631" s="82" t="s">
        <v>78</v>
      </c>
      <c r="G2631" s="82">
        <v>1</v>
      </c>
      <c r="H2631" s="82">
        <v>23400</v>
      </c>
      <c r="I2631" s="138">
        <f t="shared" si="104"/>
        <v>23400</v>
      </c>
      <c r="J2631" s="82"/>
      <c r="K2631" s="83"/>
    </row>
    <row r="2632" spans="1:11" ht="27" customHeight="1" x14ac:dyDescent="0.25">
      <c r="A2632" s="82" t="s">
        <v>4283</v>
      </c>
      <c r="B2632" s="83" t="s">
        <v>4284</v>
      </c>
      <c r="C2632" s="83"/>
      <c r="D2632" s="83"/>
      <c r="E2632" s="83" t="s">
        <v>4228</v>
      </c>
      <c r="F2632" s="82" t="s">
        <v>78</v>
      </c>
      <c r="G2632" s="82">
        <v>1</v>
      </c>
      <c r="H2632" s="82">
        <v>7000</v>
      </c>
      <c r="I2632" s="138">
        <f t="shared" si="104"/>
        <v>7000</v>
      </c>
      <c r="J2632" s="82"/>
      <c r="K2632" s="83"/>
    </row>
    <row r="2633" spans="1:11" ht="15" customHeight="1" x14ac:dyDescent="0.25">
      <c r="A2633" s="82" t="s">
        <v>4285</v>
      </c>
      <c r="B2633" s="83" t="s">
        <v>4286</v>
      </c>
      <c r="C2633" s="83"/>
      <c r="D2633" s="83"/>
      <c r="E2633" s="83" t="s">
        <v>4228</v>
      </c>
      <c r="F2633" s="82" t="s">
        <v>78</v>
      </c>
      <c r="G2633" s="82">
        <v>1</v>
      </c>
      <c r="H2633" s="82">
        <v>3000</v>
      </c>
      <c r="I2633" s="138">
        <f t="shared" si="104"/>
        <v>3000</v>
      </c>
      <c r="J2633" s="82"/>
      <c r="K2633" s="83"/>
    </row>
    <row r="2634" spans="1:11" ht="15" customHeight="1" x14ac:dyDescent="0.25">
      <c r="A2634" s="82" t="s">
        <v>2131</v>
      </c>
      <c r="B2634" s="83" t="s">
        <v>4235</v>
      </c>
      <c r="C2634" s="83"/>
      <c r="D2634" s="83"/>
      <c r="E2634" s="83" t="s">
        <v>4228</v>
      </c>
      <c r="F2634" s="82" t="s">
        <v>78</v>
      </c>
      <c r="G2634" s="82">
        <v>2</v>
      </c>
      <c r="H2634" s="82">
        <v>2000</v>
      </c>
      <c r="I2634" s="138">
        <f t="shared" si="104"/>
        <v>4000</v>
      </c>
      <c r="J2634" s="82"/>
      <c r="K2634" s="83"/>
    </row>
    <row r="2635" spans="1:11" ht="15" customHeight="1" x14ac:dyDescent="0.25">
      <c r="A2635" s="82" t="s">
        <v>4236</v>
      </c>
      <c r="B2635" s="83" t="s">
        <v>4237</v>
      </c>
      <c r="C2635" s="83"/>
      <c r="D2635" s="83"/>
      <c r="E2635" s="83" t="s">
        <v>4228</v>
      </c>
      <c r="F2635" s="82" t="s">
        <v>78</v>
      </c>
      <c r="G2635" s="82">
        <v>2</v>
      </c>
      <c r="H2635" s="82">
        <v>700</v>
      </c>
      <c r="I2635" s="138">
        <f t="shared" si="104"/>
        <v>1400</v>
      </c>
      <c r="J2635" s="82"/>
      <c r="K2635" s="83"/>
    </row>
    <row r="2636" spans="1:11" ht="15" customHeight="1" x14ac:dyDescent="0.25">
      <c r="A2636" s="82" t="s">
        <v>4236</v>
      </c>
      <c r="B2636" s="83" t="s">
        <v>4238</v>
      </c>
      <c r="C2636" s="83"/>
      <c r="D2636" s="83"/>
      <c r="E2636" s="83" t="s">
        <v>4228</v>
      </c>
      <c r="F2636" s="82" t="s">
        <v>78</v>
      </c>
      <c r="G2636" s="82">
        <v>1</v>
      </c>
      <c r="H2636" s="82">
        <v>5069</v>
      </c>
      <c r="I2636" s="138">
        <f t="shared" si="104"/>
        <v>5069</v>
      </c>
      <c r="J2636" s="82"/>
      <c r="K2636" s="83" t="s">
        <v>4239</v>
      </c>
    </row>
    <row r="2637" spans="1:11" ht="15" customHeight="1" x14ac:dyDescent="0.25">
      <c r="A2637" s="80" t="s">
        <v>4373</v>
      </c>
      <c r="B2637" s="80" t="s">
        <v>4374</v>
      </c>
      <c r="C2637" s="80"/>
      <c r="D2637" s="80"/>
      <c r="E2637" s="80"/>
      <c r="F2637" s="80"/>
      <c r="G2637" s="81"/>
      <c r="H2637" s="80"/>
      <c r="I2637" s="137"/>
      <c r="J2637" s="80"/>
      <c r="K2637" s="80"/>
    </row>
    <row r="2638" spans="1:11" ht="87" customHeight="1" x14ac:dyDescent="0.25">
      <c r="A2638" s="82" t="s">
        <v>4375</v>
      </c>
      <c r="B2638" s="83" t="s">
        <v>4376</v>
      </c>
      <c r="C2638" s="83"/>
      <c r="D2638" s="83"/>
      <c r="E2638" s="83" t="s">
        <v>4228</v>
      </c>
      <c r="F2638" s="82" t="s">
        <v>78</v>
      </c>
      <c r="G2638" s="82">
        <v>1</v>
      </c>
      <c r="H2638" s="82"/>
      <c r="I2638" s="138">
        <f>H2638*G2638</f>
        <v>0</v>
      </c>
      <c r="J2638" s="82"/>
      <c r="K2638" s="83"/>
    </row>
    <row r="2639" spans="1:11" ht="15" customHeight="1" x14ac:dyDescent="0.25">
      <c r="A2639" s="80" t="s">
        <v>4377</v>
      </c>
      <c r="B2639" s="80" t="s">
        <v>4378</v>
      </c>
      <c r="C2639" s="80"/>
      <c r="D2639" s="80"/>
      <c r="E2639" s="80"/>
      <c r="F2639" s="80"/>
      <c r="G2639" s="81"/>
      <c r="H2639" s="80"/>
      <c r="I2639" s="137"/>
      <c r="J2639" s="80"/>
      <c r="K2639" s="80"/>
    </row>
    <row r="2640" spans="1:11" ht="51" customHeight="1" x14ac:dyDescent="0.25">
      <c r="A2640" s="82" t="s">
        <v>4379</v>
      </c>
      <c r="B2640" s="83" t="s">
        <v>4380</v>
      </c>
      <c r="C2640" s="83"/>
      <c r="D2640" s="83"/>
      <c r="E2640" s="83" t="s">
        <v>4228</v>
      </c>
      <c r="F2640" s="82" t="s">
        <v>78</v>
      </c>
      <c r="G2640" s="82">
        <v>1</v>
      </c>
      <c r="H2640" s="82">
        <v>29000</v>
      </c>
      <c r="I2640" s="138">
        <f t="shared" ref="I2640:I2646" si="105">H2640*G2640</f>
        <v>29000</v>
      </c>
      <c r="J2640" s="82"/>
      <c r="K2640" s="83"/>
    </row>
    <row r="2641" spans="1:11" ht="39" customHeight="1" x14ac:dyDescent="0.25">
      <c r="A2641" s="82" t="s">
        <v>4381</v>
      </c>
      <c r="B2641" s="83" t="s">
        <v>4382</v>
      </c>
      <c r="C2641" s="83"/>
      <c r="D2641" s="83"/>
      <c r="E2641" s="83" t="s">
        <v>4228</v>
      </c>
      <c r="F2641" s="82" t="s">
        <v>78</v>
      </c>
      <c r="G2641" s="82">
        <v>1</v>
      </c>
      <c r="H2641" s="82"/>
      <c r="I2641" s="138">
        <f t="shared" si="105"/>
        <v>0</v>
      </c>
      <c r="J2641" s="82"/>
      <c r="K2641" s="83"/>
    </row>
    <row r="2642" spans="1:11" ht="51" customHeight="1" x14ac:dyDescent="0.25">
      <c r="A2642" s="82" t="s">
        <v>4383</v>
      </c>
      <c r="B2642" s="83" t="s">
        <v>4384</v>
      </c>
      <c r="C2642" s="83"/>
      <c r="D2642" s="83"/>
      <c r="E2642" s="83" t="s">
        <v>4228</v>
      </c>
      <c r="F2642" s="82" t="s">
        <v>78</v>
      </c>
      <c r="G2642" s="82">
        <v>1</v>
      </c>
      <c r="H2642" s="82">
        <v>16200</v>
      </c>
      <c r="I2642" s="138">
        <f t="shared" si="105"/>
        <v>16200</v>
      </c>
      <c r="J2642" s="82"/>
      <c r="K2642" s="83"/>
    </row>
    <row r="2643" spans="1:11" ht="15" customHeight="1" x14ac:dyDescent="0.25">
      <c r="A2643" s="82" t="s">
        <v>4385</v>
      </c>
      <c r="B2643" s="83" t="s">
        <v>4386</v>
      </c>
      <c r="C2643" s="83" t="s">
        <v>4387</v>
      </c>
      <c r="D2643" s="83"/>
      <c r="E2643" s="83" t="s">
        <v>4228</v>
      </c>
      <c r="F2643" s="82" t="s">
        <v>78</v>
      </c>
      <c r="G2643" s="82">
        <v>1</v>
      </c>
      <c r="H2643" s="82">
        <v>523000</v>
      </c>
      <c r="I2643" s="138">
        <f t="shared" si="105"/>
        <v>523000</v>
      </c>
      <c r="J2643" s="82" t="s">
        <v>4388</v>
      </c>
      <c r="K2643" s="83"/>
    </row>
    <row r="2644" spans="1:11" ht="15" customHeight="1" x14ac:dyDescent="0.25">
      <c r="A2644" s="82" t="s">
        <v>4236</v>
      </c>
      <c r="B2644" s="83" t="s">
        <v>4334</v>
      </c>
      <c r="C2644" s="83"/>
      <c r="D2644" s="83"/>
      <c r="E2644" s="83" t="s">
        <v>4228</v>
      </c>
      <c r="F2644" s="82" t="s">
        <v>78</v>
      </c>
      <c r="G2644" s="82">
        <v>1</v>
      </c>
      <c r="H2644" s="82">
        <v>4500</v>
      </c>
      <c r="I2644" s="138">
        <f t="shared" si="105"/>
        <v>4500</v>
      </c>
      <c r="J2644" s="82"/>
      <c r="K2644" s="83"/>
    </row>
    <row r="2645" spans="1:11" ht="15" customHeight="1" x14ac:dyDescent="0.25">
      <c r="A2645" s="82" t="s">
        <v>4236</v>
      </c>
      <c r="B2645" s="83" t="s">
        <v>4389</v>
      </c>
      <c r="C2645" s="83"/>
      <c r="D2645" s="83"/>
      <c r="E2645" s="83" t="s">
        <v>4228</v>
      </c>
      <c r="F2645" s="82" t="s">
        <v>78</v>
      </c>
      <c r="G2645" s="82">
        <v>1</v>
      </c>
      <c r="H2645" s="82">
        <v>4090</v>
      </c>
      <c r="I2645" s="138">
        <f t="shared" si="105"/>
        <v>4090</v>
      </c>
      <c r="J2645" s="82"/>
      <c r="K2645" s="83"/>
    </row>
    <row r="2646" spans="1:11" ht="15" customHeight="1" x14ac:dyDescent="0.25">
      <c r="A2646" s="82" t="s">
        <v>4236</v>
      </c>
      <c r="B2646" s="83" t="s">
        <v>4390</v>
      </c>
      <c r="C2646" s="83"/>
      <c r="D2646" s="83"/>
      <c r="E2646" s="83" t="s">
        <v>4228</v>
      </c>
      <c r="F2646" s="82" t="s">
        <v>78</v>
      </c>
      <c r="G2646" s="82">
        <v>1</v>
      </c>
      <c r="H2646" s="82"/>
      <c r="I2646" s="138">
        <f t="shared" si="105"/>
        <v>0</v>
      </c>
      <c r="J2646" s="82"/>
      <c r="K2646" s="83"/>
    </row>
    <row r="2647" spans="1:11" ht="15" customHeight="1" x14ac:dyDescent="0.25">
      <c r="A2647" s="80" t="s">
        <v>4391</v>
      </c>
      <c r="B2647" s="80" t="s">
        <v>4392</v>
      </c>
      <c r="C2647" s="80"/>
      <c r="D2647" s="80"/>
      <c r="E2647" s="80"/>
      <c r="F2647" s="80"/>
      <c r="G2647" s="81"/>
      <c r="H2647" s="80"/>
      <c r="I2647" s="137"/>
      <c r="J2647" s="80"/>
      <c r="K2647" s="80"/>
    </row>
    <row r="2648" spans="1:11" ht="15" customHeight="1" x14ac:dyDescent="0.25">
      <c r="A2648" s="82" t="s">
        <v>4236</v>
      </c>
      <c r="B2648" s="83" t="s">
        <v>4334</v>
      </c>
      <c r="C2648" s="83"/>
      <c r="D2648" s="83"/>
      <c r="E2648" s="83" t="s">
        <v>4228</v>
      </c>
      <c r="F2648" s="82" t="s">
        <v>78</v>
      </c>
      <c r="G2648" s="82">
        <v>1</v>
      </c>
      <c r="H2648" s="82">
        <v>4500</v>
      </c>
      <c r="I2648" s="138">
        <f>H2648*G2648</f>
        <v>4500</v>
      </c>
      <c r="J2648" s="82"/>
      <c r="K2648" s="83"/>
    </row>
    <row r="2649" spans="1:11" ht="15" customHeight="1" x14ac:dyDescent="0.25">
      <c r="A2649" s="82" t="s">
        <v>4236</v>
      </c>
      <c r="B2649" s="83" t="s">
        <v>4389</v>
      </c>
      <c r="C2649" s="83"/>
      <c r="D2649" s="83"/>
      <c r="E2649" s="83" t="s">
        <v>4228</v>
      </c>
      <c r="F2649" s="82" t="s">
        <v>78</v>
      </c>
      <c r="G2649" s="82">
        <v>1</v>
      </c>
      <c r="H2649" s="82">
        <v>4090</v>
      </c>
      <c r="I2649" s="138">
        <f>H2649*G2649</f>
        <v>4090</v>
      </c>
      <c r="J2649" s="82"/>
      <c r="K2649" s="83"/>
    </row>
    <row r="2650" spans="1:11" ht="15" customHeight="1" x14ac:dyDescent="0.25">
      <c r="A2650" s="82" t="s">
        <v>4236</v>
      </c>
      <c r="B2650" s="83" t="s">
        <v>4390</v>
      </c>
      <c r="C2650" s="83"/>
      <c r="D2650" s="83"/>
      <c r="E2650" s="83" t="s">
        <v>4228</v>
      </c>
      <c r="F2650" s="82" t="s">
        <v>78</v>
      </c>
      <c r="G2650" s="82">
        <v>1</v>
      </c>
      <c r="H2650" s="82"/>
      <c r="I2650" s="138">
        <f>H2650*G2650</f>
        <v>0</v>
      </c>
      <c r="J2650" s="82"/>
      <c r="K2650" s="83"/>
    </row>
    <row r="2651" spans="1:11" ht="15" customHeight="1" x14ac:dyDescent="0.25">
      <c r="A2651" s="80" t="s">
        <v>4393</v>
      </c>
      <c r="B2651" s="80" t="s">
        <v>4394</v>
      </c>
      <c r="C2651" s="80"/>
      <c r="D2651" s="80"/>
      <c r="E2651" s="80"/>
      <c r="F2651" s="80"/>
      <c r="G2651" s="81"/>
      <c r="H2651" s="80"/>
      <c r="I2651" s="137"/>
      <c r="J2651" s="80"/>
      <c r="K2651" s="80"/>
    </row>
    <row r="2652" spans="1:11" ht="15" customHeight="1" x14ac:dyDescent="0.25">
      <c r="A2652" s="82" t="s">
        <v>4236</v>
      </c>
      <c r="B2652" s="83" t="s">
        <v>4360</v>
      </c>
      <c r="C2652" s="83"/>
      <c r="D2652" s="83"/>
      <c r="E2652" s="83" t="s">
        <v>4228</v>
      </c>
      <c r="F2652" s="82" t="s">
        <v>78</v>
      </c>
      <c r="G2652" s="82">
        <v>20</v>
      </c>
      <c r="H2652" s="82">
        <v>2360</v>
      </c>
      <c r="I2652" s="138">
        <f t="shared" ref="I2652:I2676" si="106">H2652*G2652</f>
        <v>47200</v>
      </c>
      <c r="J2652" s="82"/>
      <c r="K2652" s="83"/>
    </row>
    <row r="2653" spans="1:11" ht="27" customHeight="1" x14ac:dyDescent="0.25">
      <c r="A2653" s="82" t="s">
        <v>4395</v>
      </c>
      <c r="B2653" s="83" t="s">
        <v>4396</v>
      </c>
      <c r="C2653" s="83" t="s">
        <v>4397</v>
      </c>
      <c r="D2653" s="83"/>
      <c r="E2653" s="83" t="s">
        <v>4228</v>
      </c>
      <c r="F2653" s="82" t="s">
        <v>78</v>
      </c>
      <c r="G2653" s="82">
        <v>1</v>
      </c>
      <c r="H2653" s="82"/>
      <c r="I2653" s="138">
        <f t="shared" si="106"/>
        <v>0</v>
      </c>
      <c r="J2653" s="82" t="s">
        <v>4398</v>
      </c>
      <c r="K2653" s="83"/>
    </row>
    <row r="2654" spans="1:11" ht="27" customHeight="1" x14ac:dyDescent="0.25">
      <c r="A2654" s="82" t="s">
        <v>4399</v>
      </c>
      <c r="B2654" s="83" t="s">
        <v>4400</v>
      </c>
      <c r="C2654" s="83" t="s">
        <v>4401</v>
      </c>
      <c r="D2654" s="83"/>
      <c r="E2654" s="83" t="s">
        <v>4228</v>
      </c>
      <c r="F2654" s="82" t="s">
        <v>78</v>
      </c>
      <c r="G2654" s="82">
        <v>1</v>
      </c>
      <c r="H2654" s="82"/>
      <c r="I2654" s="138">
        <f t="shared" si="106"/>
        <v>0</v>
      </c>
      <c r="J2654" s="82" t="s">
        <v>4402</v>
      </c>
      <c r="K2654" s="83" t="s">
        <v>4403</v>
      </c>
    </row>
    <row r="2655" spans="1:11" ht="15" customHeight="1" x14ac:dyDescent="0.25">
      <c r="A2655" s="82" t="s">
        <v>4404</v>
      </c>
      <c r="B2655" s="83" t="s">
        <v>4405</v>
      </c>
      <c r="C2655" s="83" t="s">
        <v>4406</v>
      </c>
      <c r="D2655" s="83"/>
      <c r="E2655" s="83" t="s">
        <v>4228</v>
      </c>
      <c r="F2655" s="82" t="s">
        <v>78</v>
      </c>
      <c r="G2655" s="82">
        <v>1</v>
      </c>
      <c r="H2655" s="82"/>
      <c r="I2655" s="138">
        <f t="shared" si="106"/>
        <v>0</v>
      </c>
      <c r="J2655" s="82" t="s">
        <v>4407</v>
      </c>
      <c r="K2655" s="83"/>
    </row>
    <row r="2656" spans="1:11" ht="15" customHeight="1" x14ac:dyDescent="0.25">
      <c r="A2656" s="82" t="s">
        <v>4408</v>
      </c>
      <c r="B2656" s="83" t="s">
        <v>4409</v>
      </c>
      <c r="C2656" s="83" t="s">
        <v>4410</v>
      </c>
      <c r="D2656" s="83"/>
      <c r="E2656" s="83" t="s">
        <v>4228</v>
      </c>
      <c r="F2656" s="82" t="s">
        <v>78</v>
      </c>
      <c r="G2656" s="82">
        <v>6</v>
      </c>
      <c r="H2656" s="82"/>
      <c r="I2656" s="138">
        <f t="shared" si="106"/>
        <v>0</v>
      </c>
      <c r="J2656" s="82" t="s">
        <v>774</v>
      </c>
      <c r="K2656" s="83"/>
    </row>
    <row r="2657" spans="1:11" ht="27" customHeight="1" x14ac:dyDescent="0.25">
      <c r="A2657" s="82" t="s">
        <v>4411</v>
      </c>
      <c r="B2657" s="83" t="s">
        <v>4412</v>
      </c>
      <c r="C2657" s="83" t="s">
        <v>4413</v>
      </c>
      <c r="D2657" s="83"/>
      <c r="E2657" s="83" t="s">
        <v>4228</v>
      </c>
      <c r="F2657" s="82" t="s">
        <v>78</v>
      </c>
      <c r="G2657" s="82">
        <v>1</v>
      </c>
      <c r="H2657" s="82"/>
      <c r="I2657" s="138">
        <f t="shared" si="106"/>
        <v>0</v>
      </c>
      <c r="J2657" s="82" t="s">
        <v>4414</v>
      </c>
      <c r="K2657" s="83" t="s">
        <v>4415</v>
      </c>
    </row>
    <row r="2658" spans="1:11" ht="27" customHeight="1" x14ac:dyDescent="0.25">
      <c r="A2658" s="82" t="s">
        <v>4416</v>
      </c>
      <c r="B2658" s="83" t="s">
        <v>4417</v>
      </c>
      <c r="C2658" s="83" t="s">
        <v>4418</v>
      </c>
      <c r="D2658" s="83"/>
      <c r="E2658" s="83" t="s">
        <v>4228</v>
      </c>
      <c r="F2658" s="82" t="s">
        <v>78</v>
      </c>
      <c r="G2658" s="82">
        <v>1</v>
      </c>
      <c r="H2658" s="82"/>
      <c r="I2658" s="138">
        <f t="shared" si="106"/>
        <v>0</v>
      </c>
      <c r="J2658" s="82" t="s">
        <v>4419</v>
      </c>
      <c r="K2658" s="83" t="s">
        <v>4420</v>
      </c>
    </row>
    <row r="2659" spans="1:11" ht="39" customHeight="1" x14ac:dyDescent="0.25">
      <c r="A2659" s="82" t="s">
        <v>4421</v>
      </c>
      <c r="B2659" s="83" t="s">
        <v>4422</v>
      </c>
      <c r="C2659" s="83" t="s">
        <v>4423</v>
      </c>
      <c r="D2659" s="83"/>
      <c r="E2659" s="83" t="s">
        <v>4228</v>
      </c>
      <c r="F2659" s="82" t="s">
        <v>78</v>
      </c>
      <c r="G2659" s="82">
        <v>2</v>
      </c>
      <c r="H2659" s="82"/>
      <c r="I2659" s="138">
        <f t="shared" si="106"/>
        <v>0</v>
      </c>
      <c r="J2659" s="82"/>
      <c r="K2659" s="83" t="s">
        <v>4424</v>
      </c>
    </row>
    <row r="2660" spans="1:11" ht="27" customHeight="1" x14ac:dyDescent="0.25">
      <c r="A2660" s="82" t="s">
        <v>4425</v>
      </c>
      <c r="B2660" s="83" t="s">
        <v>4426</v>
      </c>
      <c r="C2660" s="83" t="s">
        <v>4427</v>
      </c>
      <c r="D2660" s="83"/>
      <c r="E2660" s="83" t="s">
        <v>4228</v>
      </c>
      <c r="F2660" s="82" t="s">
        <v>78</v>
      </c>
      <c r="G2660" s="82">
        <v>1</v>
      </c>
      <c r="H2660" s="82"/>
      <c r="I2660" s="138">
        <f t="shared" si="106"/>
        <v>0</v>
      </c>
      <c r="J2660" s="82"/>
      <c r="K2660" s="83" t="s">
        <v>4428</v>
      </c>
    </row>
    <row r="2661" spans="1:11" ht="15" customHeight="1" x14ac:dyDescent="0.25">
      <c r="A2661" s="82" t="s">
        <v>4429</v>
      </c>
      <c r="B2661" s="83" t="s">
        <v>4430</v>
      </c>
      <c r="C2661" s="83" t="s">
        <v>4431</v>
      </c>
      <c r="D2661" s="83"/>
      <c r="E2661" s="83" t="s">
        <v>4228</v>
      </c>
      <c r="F2661" s="82" t="s">
        <v>78</v>
      </c>
      <c r="G2661" s="82">
        <v>2</v>
      </c>
      <c r="H2661" s="82"/>
      <c r="I2661" s="138">
        <f t="shared" si="106"/>
        <v>0</v>
      </c>
      <c r="J2661" s="82" t="s">
        <v>4432</v>
      </c>
      <c r="K2661" s="83"/>
    </row>
    <row r="2662" spans="1:11" ht="15" customHeight="1" x14ac:dyDescent="0.25">
      <c r="A2662" s="82" t="s">
        <v>4433</v>
      </c>
      <c r="B2662" s="83" t="s">
        <v>4434</v>
      </c>
      <c r="C2662" s="83" t="s">
        <v>4435</v>
      </c>
      <c r="D2662" s="83"/>
      <c r="E2662" s="83" t="s">
        <v>4228</v>
      </c>
      <c r="F2662" s="82" t="s">
        <v>78</v>
      </c>
      <c r="G2662" s="82">
        <v>1</v>
      </c>
      <c r="H2662" s="82"/>
      <c r="I2662" s="138">
        <f t="shared" si="106"/>
        <v>0</v>
      </c>
      <c r="J2662" s="82" t="s">
        <v>4436</v>
      </c>
      <c r="K2662" s="83"/>
    </row>
    <row r="2663" spans="1:11" ht="27" customHeight="1" x14ac:dyDescent="0.25">
      <c r="A2663" s="82" t="s">
        <v>4437</v>
      </c>
      <c r="B2663" s="83" t="s">
        <v>4438</v>
      </c>
      <c r="C2663" s="83" t="s">
        <v>4439</v>
      </c>
      <c r="D2663" s="83"/>
      <c r="E2663" s="83" t="s">
        <v>4228</v>
      </c>
      <c r="F2663" s="82" t="s">
        <v>78</v>
      </c>
      <c r="G2663" s="82">
        <v>1</v>
      </c>
      <c r="H2663" s="82"/>
      <c r="I2663" s="138">
        <f t="shared" si="106"/>
        <v>0</v>
      </c>
      <c r="J2663" s="82" t="s">
        <v>4440</v>
      </c>
      <c r="K2663" s="83" t="s">
        <v>4441</v>
      </c>
    </row>
    <row r="2664" spans="1:11" ht="15" customHeight="1" x14ac:dyDescent="0.25">
      <c r="A2664" s="82" t="s">
        <v>4442</v>
      </c>
      <c r="B2664" s="83" t="s">
        <v>4443</v>
      </c>
      <c r="C2664" s="83" t="s">
        <v>4444</v>
      </c>
      <c r="D2664" s="83"/>
      <c r="E2664" s="83" t="s">
        <v>4228</v>
      </c>
      <c r="F2664" s="82" t="s">
        <v>78</v>
      </c>
      <c r="G2664" s="82">
        <v>1</v>
      </c>
      <c r="H2664" s="82"/>
      <c r="I2664" s="138">
        <f t="shared" si="106"/>
        <v>0</v>
      </c>
      <c r="J2664" s="82" t="s">
        <v>4445</v>
      </c>
      <c r="K2664" s="83"/>
    </row>
    <row r="2665" spans="1:11" ht="27" customHeight="1" x14ac:dyDescent="0.25">
      <c r="A2665" s="82" t="s">
        <v>4446</v>
      </c>
      <c r="B2665" s="83" t="s">
        <v>4447</v>
      </c>
      <c r="C2665" s="83"/>
      <c r="D2665" s="83"/>
      <c r="E2665" s="83" t="s">
        <v>4228</v>
      </c>
      <c r="F2665" s="82" t="s">
        <v>78</v>
      </c>
      <c r="G2665" s="82">
        <v>1</v>
      </c>
      <c r="H2665" s="82"/>
      <c r="I2665" s="138">
        <f t="shared" si="106"/>
        <v>0</v>
      </c>
      <c r="J2665" s="82" t="s">
        <v>4448</v>
      </c>
      <c r="K2665" s="83" t="s">
        <v>4441</v>
      </c>
    </row>
    <row r="2666" spans="1:11" ht="27" customHeight="1" x14ac:dyDescent="0.25">
      <c r="A2666" s="82" t="s">
        <v>4449</v>
      </c>
      <c r="B2666" s="83" t="s">
        <v>4450</v>
      </c>
      <c r="C2666" s="83"/>
      <c r="D2666" s="83"/>
      <c r="E2666" s="83" t="s">
        <v>4228</v>
      </c>
      <c r="F2666" s="82" t="s">
        <v>78</v>
      </c>
      <c r="G2666" s="82">
        <v>1</v>
      </c>
      <c r="H2666" s="82"/>
      <c r="I2666" s="138">
        <f t="shared" si="106"/>
        <v>0</v>
      </c>
      <c r="J2666" s="82" t="s">
        <v>4448</v>
      </c>
      <c r="K2666" s="83" t="s">
        <v>4441</v>
      </c>
    </row>
    <row r="2667" spans="1:11" ht="27" customHeight="1" x14ac:dyDescent="0.25">
      <c r="A2667" s="82" t="s">
        <v>4451</v>
      </c>
      <c r="B2667" s="83" t="s">
        <v>4452</v>
      </c>
      <c r="C2667" s="83"/>
      <c r="D2667" s="83"/>
      <c r="E2667" s="83" t="s">
        <v>4228</v>
      </c>
      <c r="F2667" s="82" t="s">
        <v>78</v>
      </c>
      <c r="G2667" s="82">
        <v>1</v>
      </c>
      <c r="H2667" s="82"/>
      <c r="I2667" s="138">
        <f t="shared" si="106"/>
        <v>0</v>
      </c>
      <c r="J2667" s="82" t="s">
        <v>4448</v>
      </c>
      <c r="K2667" s="83" t="s">
        <v>4441</v>
      </c>
    </row>
    <row r="2668" spans="1:11" ht="27" customHeight="1" x14ac:dyDescent="0.25">
      <c r="A2668" s="82" t="s">
        <v>4453</v>
      </c>
      <c r="B2668" s="83" t="s">
        <v>4454</v>
      </c>
      <c r="C2668" s="83" t="s">
        <v>4455</v>
      </c>
      <c r="D2668" s="83"/>
      <c r="E2668" s="83" t="s">
        <v>4228</v>
      </c>
      <c r="F2668" s="82" t="s">
        <v>78</v>
      </c>
      <c r="G2668" s="82">
        <v>1</v>
      </c>
      <c r="H2668" s="82"/>
      <c r="I2668" s="138">
        <f t="shared" si="106"/>
        <v>0</v>
      </c>
      <c r="J2668" s="82" t="s">
        <v>4456</v>
      </c>
      <c r="K2668" s="83"/>
    </row>
    <row r="2669" spans="1:11" ht="27" customHeight="1" x14ac:dyDescent="0.25">
      <c r="A2669" s="82" t="s">
        <v>4457</v>
      </c>
      <c r="B2669" s="83" t="s">
        <v>4458</v>
      </c>
      <c r="C2669" s="83" t="s">
        <v>4459</v>
      </c>
      <c r="D2669" s="83"/>
      <c r="E2669" s="83" t="s">
        <v>4228</v>
      </c>
      <c r="F2669" s="82" t="s">
        <v>78</v>
      </c>
      <c r="G2669" s="82">
        <v>1</v>
      </c>
      <c r="H2669" s="82"/>
      <c r="I2669" s="138">
        <f t="shared" si="106"/>
        <v>0</v>
      </c>
      <c r="J2669" s="82" t="s">
        <v>4460</v>
      </c>
      <c r="K2669" s="83" t="s">
        <v>4403</v>
      </c>
    </row>
    <row r="2670" spans="1:11" ht="27" customHeight="1" x14ac:dyDescent="0.25">
      <c r="A2670" s="82" t="s">
        <v>4461</v>
      </c>
      <c r="B2670" s="83" t="s">
        <v>4462</v>
      </c>
      <c r="C2670" s="83" t="s">
        <v>4463</v>
      </c>
      <c r="D2670" s="83"/>
      <c r="E2670" s="83" t="s">
        <v>4228</v>
      </c>
      <c r="F2670" s="82" t="s">
        <v>78</v>
      </c>
      <c r="G2670" s="82">
        <v>1</v>
      </c>
      <c r="H2670" s="82"/>
      <c r="I2670" s="138">
        <f t="shared" si="106"/>
        <v>0</v>
      </c>
      <c r="J2670" s="82" t="s">
        <v>4464</v>
      </c>
      <c r="K2670" s="83"/>
    </row>
    <row r="2671" spans="1:11" ht="27" customHeight="1" x14ac:dyDescent="0.25">
      <c r="A2671" s="82" t="s">
        <v>4456</v>
      </c>
      <c r="B2671" s="83" t="s">
        <v>4465</v>
      </c>
      <c r="C2671" s="83" t="s">
        <v>4466</v>
      </c>
      <c r="D2671" s="83"/>
      <c r="E2671" s="83" t="s">
        <v>4228</v>
      </c>
      <c r="F2671" s="82" t="s">
        <v>78</v>
      </c>
      <c r="G2671" s="82">
        <v>1</v>
      </c>
      <c r="H2671" s="82"/>
      <c r="I2671" s="138">
        <f t="shared" si="106"/>
        <v>0</v>
      </c>
      <c r="J2671" s="82" t="s">
        <v>4467</v>
      </c>
      <c r="K2671" s="83"/>
    </row>
    <row r="2672" spans="1:11" ht="15" customHeight="1" x14ac:dyDescent="0.25">
      <c r="A2672" s="82" t="s">
        <v>4236</v>
      </c>
      <c r="B2672" s="83" t="s">
        <v>4468</v>
      </c>
      <c r="C2672" s="83" t="s">
        <v>4469</v>
      </c>
      <c r="D2672" s="83"/>
      <c r="E2672" s="83" t="s">
        <v>4228</v>
      </c>
      <c r="F2672" s="82" t="s">
        <v>47</v>
      </c>
      <c r="G2672" s="82">
        <v>1</v>
      </c>
      <c r="H2672" s="82"/>
      <c r="I2672" s="138">
        <f t="shared" si="106"/>
        <v>0</v>
      </c>
      <c r="J2672" s="82" t="s">
        <v>4467</v>
      </c>
      <c r="K2672" s="83"/>
    </row>
    <row r="2673" spans="1:11" ht="15" customHeight="1" x14ac:dyDescent="0.25">
      <c r="A2673" s="82" t="s">
        <v>4236</v>
      </c>
      <c r="B2673" s="83" t="s">
        <v>4470</v>
      </c>
      <c r="C2673" s="83" t="s">
        <v>4471</v>
      </c>
      <c r="D2673" s="83"/>
      <c r="E2673" s="83" t="s">
        <v>4228</v>
      </c>
      <c r="F2673" s="82" t="s">
        <v>47</v>
      </c>
      <c r="G2673" s="82">
        <v>1</v>
      </c>
      <c r="H2673" s="82"/>
      <c r="I2673" s="138">
        <f t="shared" si="106"/>
        <v>0</v>
      </c>
      <c r="J2673" s="82" t="s">
        <v>4472</v>
      </c>
      <c r="K2673" s="83"/>
    </row>
    <row r="2674" spans="1:11" ht="27" customHeight="1" x14ac:dyDescent="0.25">
      <c r="A2674" s="82" t="s">
        <v>4236</v>
      </c>
      <c r="B2674" s="83" t="s">
        <v>4473</v>
      </c>
      <c r="C2674" s="83"/>
      <c r="D2674" s="83"/>
      <c r="E2674" s="83" t="s">
        <v>4228</v>
      </c>
      <c r="F2674" s="82" t="s">
        <v>47</v>
      </c>
      <c r="G2674" s="82">
        <v>3</v>
      </c>
      <c r="H2674" s="82"/>
      <c r="I2674" s="138">
        <f t="shared" si="106"/>
        <v>0</v>
      </c>
      <c r="J2674" s="82"/>
      <c r="K2674" s="83" t="s">
        <v>4474</v>
      </c>
    </row>
    <row r="2675" spans="1:11" ht="15" customHeight="1" x14ac:dyDescent="0.25">
      <c r="A2675" s="82" t="s">
        <v>4236</v>
      </c>
      <c r="B2675" s="83" t="s">
        <v>4475</v>
      </c>
      <c r="C2675" s="83"/>
      <c r="D2675" s="83"/>
      <c r="E2675" s="83" t="s">
        <v>4228</v>
      </c>
      <c r="F2675" s="82" t="s">
        <v>47</v>
      </c>
      <c r="G2675" s="82">
        <v>1</v>
      </c>
      <c r="H2675" s="82"/>
      <c r="I2675" s="138">
        <f t="shared" si="106"/>
        <v>0</v>
      </c>
      <c r="J2675" s="82"/>
      <c r="K2675" s="83" t="s">
        <v>4476</v>
      </c>
    </row>
    <row r="2676" spans="1:11" ht="39" customHeight="1" x14ac:dyDescent="0.25">
      <c r="A2676" s="82" t="s">
        <v>4477</v>
      </c>
      <c r="B2676" s="83" t="s">
        <v>4478</v>
      </c>
      <c r="C2676" s="83" t="s">
        <v>4479</v>
      </c>
      <c r="D2676" s="83"/>
      <c r="E2676" s="83" t="s">
        <v>4228</v>
      </c>
      <c r="F2676" s="82" t="s">
        <v>78</v>
      </c>
      <c r="G2676" s="82">
        <v>1</v>
      </c>
      <c r="H2676" s="82">
        <v>33000</v>
      </c>
      <c r="I2676" s="138">
        <f t="shared" si="106"/>
        <v>33000</v>
      </c>
      <c r="J2676" s="82"/>
      <c r="K2676" s="83"/>
    </row>
    <row r="2677" spans="1:11" ht="15" customHeight="1" x14ac:dyDescent="0.25">
      <c r="A2677" s="80" t="s">
        <v>4480</v>
      </c>
      <c r="B2677" s="80" t="s">
        <v>4481</v>
      </c>
      <c r="C2677" s="80"/>
      <c r="D2677" s="80"/>
      <c r="E2677" s="80"/>
      <c r="F2677" s="80"/>
      <c r="G2677" s="81"/>
      <c r="H2677" s="80"/>
      <c r="I2677" s="137"/>
      <c r="J2677" s="80"/>
      <c r="K2677" s="80"/>
    </row>
    <row r="2678" spans="1:11" ht="39" customHeight="1" x14ac:dyDescent="0.25">
      <c r="A2678" s="82" t="s">
        <v>4482</v>
      </c>
      <c r="B2678" s="83" t="s">
        <v>4483</v>
      </c>
      <c r="C2678" s="83"/>
      <c r="D2678" s="83"/>
      <c r="E2678" s="83" t="s">
        <v>4228</v>
      </c>
      <c r="F2678" s="82" t="s">
        <v>78</v>
      </c>
      <c r="G2678" s="82">
        <v>5</v>
      </c>
      <c r="H2678" s="82"/>
      <c r="I2678" s="138">
        <f>H2678*G2678</f>
        <v>0</v>
      </c>
      <c r="J2678" s="82"/>
      <c r="K2678" s="83"/>
    </row>
    <row r="2679" spans="1:11" ht="15" customHeight="1" x14ac:dyDescent="0.25">
      <c r="A2679" s="82" t="s">
        <v>4484</v>
      </c>
      <c r="B2679" s="83" t="s">
        <v>4485</v>
      </c>
      <c r="C2679" s="83"/>
      <c r="D2679" s="83"/>
      <c r="E2679" s="83" t="s">
        <v>4228</v>
      </c>
      <c r="F2679" s="82" t="s">
        <v>78</v>
      </c>
      <c r="G2679" s="82">
        <v>3</v>
      </c>
      <c r="H2679" s="82"/>
      <c r="I2679" s="138">
        <f>H2679*G2679</f>
        <v>0</v>
      </c>
      <c r="J2679" s="82"/>
      <c r="K2679" s="83"/>
    </row>
    <row r="2680" spans="1:11" ht="39" customHeight="1" x14ac:dyDescent="0.25">
      <c r="A2680" s="82" t="s">
        <v>4486</v>
      </c>
      <c r="B2680" s="83" t="s">
        <v>4487</v>
      </c>
      <c r="C2680" s="83"/>
      <c r="D2680" s="83"/>
      <c r="E2680" s="83" t="s">
        <v>4228</v>
      </c>
      <c r="F2680" s="82" t="s">
        <v>78</v>
      </c>
      <c r="G2680" s="82">
        <v>1</v>
      </c>
      <c r="H2680" s="82">
        <v>9600</v>
      </c>
      <c r="I2680" s="138">
        <f>H2680*G2680</f>
        <v>9600</v>
      </c>
      <c r="J2680" s="82"/>
      <c r="K2680" s="83"/>
    </row>
    <row r="2681" spans="1:11" ht="15" customHeight="1" x14ac:dyDescent="0.25">
      <c r="A2681" s="82" t="s">
        <v>4236</v>
      </c>
      <c r="B2681" s="83" t="s">
        <v>4334</v>
      </c>
      <c r="C2681" s="83"/>
      <c r="D2681" s="83"/>
      <c r="E2681" s="83" t="s">
        <v>4228</v>
      </c>
      <c r="F2681" s="82" t="s">
        <v>78</v>
      </c>
      <c r="G2681" s="82">
        <v>2</v>
      </c>
      <c r="H2681" s="82">
        <v>4500</v>
      </c>
      <c r="I2681" s="138">
        <f>H2681*G2681</f>
        <v>9000</v>
      </c>
      <c r="J2681" s="82"/>
      <c r="K2681" s="83"/>
    </row>
    <row r="2682" spans="1:11" ht="15" customHeight="1" x14ac:dyDescent="0.25">
      <c r="A2682" s="82" t="s">
        <v>4236</v>
      </c>
      <c r="B2682" s="83" t="s">
        <v>4488</v>
      </c>
      <c r="C2682" s="83"/>
      <c r="D2682" s="83"/>
      <c r="E2682" s="83" t="s">
        <v>4228</v>
      </c>
      <c r="F2682" s="82" t="s">
        <v>78</v>
      </c>
      <c r="G2682" s="82">
        <v>1</v>
      </c>
      <c r="H2682" s="82">
        <v>6940</v>
      </c>
      <c r="I2682" s="138">
        <f>H2682*G2682</f>
        <v>6940</v>
      </c>
      <c r="J2682" s="82"/>
      <c r="K2682" s="83"/>
    </row>
    <row r="2683" spans="1:11" ht="15" customHeight="1" x14ac:dyDescent="0.25">
      <c r="A2683" s="80" t="s">
        <v>4489</v>
      </c>
      <c r="B2683" s="80" t="s">
        <v>4490</v>
      </c>
      <c r="C2683" s="80"/>
      <c r="D2683" s="80"/>
      <c r="E2683" s="80"/>
      <c r="F2683" s="80"/>
      <c r="G2683" s="81"/>
      <c r="H2683" s="80"/>
      <c r="I2683" s="137"/>
      <c r="J2683" s="80"/>
      <c r="K2683" s="80"/>
    </row>
    <row r="2684" spans="1:11" ht="27" customHeight="1" x14ac:dyDescent="0.25">
      <c r="A2684" s="82" t="s">
        <v>4236</v>
      </c>
      <c r="B2684" s="83" t="s">
        <v>4491</v>
      </c>
      <c r="C2684" s="83"/>
      <c r="D2684" s="83"/>
      <c r="E2684" s="83" t="s">
        <v>4228</v>
      </c>
      <c r="F2684" s="82" t="s">
        <v>78</v>
      </c>
      <c r="G2684" s="82">
        <v>1</v>
      </c>
      <c r="H2684" s="82">
        <v>16500</v>
      </c>
      <c r="I2684" s="138">
        <f t="shared" ref="I2684:I2689" si="107">H2684*G2684</f>
        <v>16500</v>
      </c>
      <c r="J2684" s="82"/>
      <c r="K2684" s="83"/>
    </row>
    <row r="2685" spans="1:11" ht="15" customHeight="1" x14ac:dyDescent="0.25">
      <c r="A2685" s="82" t="s">
        <v>4236</v>
      </c>
      <c r="B2685" s="83" t="s">
        <v>4389</v>
      </c>
      <c r="C2685" s="83"/>
      <c r="D2685" s="83"/>
      <c r="E2685" s="83" t="s">
        <v>4228</v>
      </c>
      <c r="F2685" s="82" t="s">
        <v>78</v>
      </c>
      <c r="G2685" s="82">
        <v>1</v>
      </c>
      <c r="H2685" s="82">
        <v>4090</v>
      </c>
      <c r="I2685" s="138">
        <f t="shared" si="107"/>
        <v>4090</v>
      </c>
      <c r="J2685" s="82"/>
      <c r="K2685" s="83"/>
    </row>
    <row r="2686" spans="1:11" ht="15" customHeight="1" x14ac:dyDescent="0.25">
      <c r="A2686" s="82" t="s">
        <v>4236</v>
      </c>
      <c r="B2686" s="83" t="s">
        <v>4492</v>
      </c>
      <c r="C2686" s="83"/>
      <c r="D2686" s="83"/>
      <c r="E2686" s="83" t="s">
        <v>4228</v>
      </c>
      <c r="F2686" s="82" t="s">
        <v>78</v>
      </c>
      <c r="G2686" s="82">
        <v>1</v>
      </c>
      <c r="H2686" s="82">
        <v>4720</v>
      </c>
      <c r="I2686" s="138">
        <f t="shared" si="107"/>
        <v>4720</v>
      </c>
      <c r="J2686" s="82"/>
      <c r="K2686" s="83"/>
    </row>
    <row r="2687" spans="1:11" ht="15" customHeight="1" x14ac:dyDescent="0.25">
      <c r="A2687" s="82" t="s">
        <v>4236</v>
      </c>
      <c r="B2687" s="83" t="s">
        <v>4493</v>
      </c>
      <c r="C2687" s="83"/>
      <c r="D2687" s="83"/>
      <c r="E2687" s="83" t="s">
        <v>4228</v>
      </c>
      <c r="F2687" s="82" t="s">
        <v>78</v>
      </c>
      <c r="G2687" s="82">
        <v>1</v>
      </c>
      <c r="H2687" s="82">
        <v>760</v>
      </c>
      <c r="I2687" s="138">
        <f t="shared" si="107"/>
        <v>760</v>
      </c>
      <c r="J2687" s="82"/>
      <c r="K2687" s="83"/>
    </row>
    <row r="2688" spans="1:11" ht="15" customHeight="1" x14ac:dyDescent="0.25">
      <c r="A2688" s="82" t="s">
        <v>4236</v>
      </c>
      <c r="B2688" s="83" t="s">
        <v>4494</v>
      </c>
      <c r="C2688" s="83"/>
      <c r="D2688" s="83"/>
      <c r="E2688" s="83" t="s">
        <v>4228</v>
      </c>
      <c r="F2688" s="82" t="s">
        <v>78</v>
      </c>
      <c r="G2688" s="82">
        <v>1</v>
      </c>
      <c r="H2688" s="82">
        <v>3390</v>
      </c>
      <c r="I2688" s="138">
        <f t="shared" si="107"/>
        <v>3390</v>
      </c>
      <c r="J2688" s="82"/>
      <c r="K2688" s="83"/>
    </row>
    <row r="2689" spans="1:11" ht="15" customHeight="1" x14ac:dyDescent="0.25">
      <c r="A2689" s="82" t="s">
        <v>4236</v>
      </c>
      <c r="B2689" s="83" t="s">
        <v>4334</v>
      </c>
      <c r="C2689" s="83"/>
      <c r="D2689" s="83"/>
      <c r="E2689" s="83" t="s">
        <v>4228</v>
      </c>
      <c r="F2689" s="82" t="s">
        <v>78</v>
      </c>
      <c r="G2689" s="82">
        <v>1</v>
      </c>
      <c r="H2689" s="82">
        <v>4500</v>
      </c>
      <c r="I2689" s="138">
        <f t="shared" si="107"/>
        <v>4500</v>
      </c>
      <c r="J2689" s="82"/>
      <c r="K2689" s="83"/>
    </row>
    <row r="2690" spans="1:11" ht="15" customHeight="1" x14ac:dyDescent="0.25">
      <c r="A2690" s="80" t="s">
        <v>4495</v>
      </c>
      <c r="B2690" s="80" t="s">
        <v>4496</v>
      </c>
      <c r="C2690" s="80"/>
      <c r="D2690" s="80"/>
      <c r="E2690" s="80"/>
      <c r="F2690" s="80"/>
      <c r="G2690" s="81"/>
      <c r="H2690" s="80"/>
      <c r="I2690" s="137"/>
      <c r="J2690" s="80"/>
      <c r="K2690" s="80"/>
    </row>
    <row r="2691" spans="1:11" ht="39" customHeight="1" x14ac:dyDescent="0.25">
      <c r="A2691" s="82" t="s">
        <v>4236</v>
      </c>
      <c r="B2691" s="83" t="s">
        <v>4497</v>
      </c>
      <c r="C2691" s="83"/>
      <c r="D2691" s="83"/>
      <c r="E2691" s="83" t="s">
        <v>4228</v>
      </c>
      <c r="F2691" s="82" t="s">
        <v>47</v>
      </c>
      <c r="G2691" s="82">
        <v>1</v>
      </c>
      <c r="H2691" s="82"/>
      <c r="I2691" s="138">
        <f>H2691*G2691</f>
        <v>0</v>
      </c>
      <c r="J2691" s="82"/>
      <c r="K2691" s="83"/>
    </row>
    <row r="2692" spans="1:11" ht="15" customHeight="1" x14ac:dyDescent="0.25">
      <c r="A2692" s="80" t="s">
        <v>4498</v>
      </c>
      <c r="B2692" s="80" t="s">
        <v>4499</v>
      </c>
      <c r="C2692" s="80"/>
      <c r="D2692" s="80"/>
      <c r="E2692" s="80"/>
      <c r="F2692" s="80"/>
      <c r="G2692" s="81"/>
      <c r="H2692" s="80"/>
      <c r="I2692" s="137"/>
      <c r="J2692" s="80"/>
      <c r="K2692" s="80"/>
    </row>
    <row r="2693" spans="1:11" ht="39" customHeight="1" x14ac:dyDescent="0.25">
      <c r="A2693" s="82" t="s">
        <v>4482</v>
      </c>
      <c r="B2693" s="83" t="s">
        <v>4483</v>
      </c>
      <c r="C2693" s="83"/>
      <c r="D2693" s="83"/>
      <c r="E2693" s="83" t="s">
        <v>4228</v>
      </c>
      <c r="F2693" s="82" t="s">
        <v>78</v>
      </c>
      <c r="G2693" s="82">
        <v>5</v>
      </c>
      <c r="H2693" s="82"/>
      <c r="I2693" s="138">
        <f>H2693*G2693</f>
        <v>0</v>
      </c>
      <c r="J2693" s="82"/>
      <c r="K2693" s="83"/>
    </row>
    <row r="2694" spans="1:11" ht="15" customHeight="1" x14ac:dyDescent="0.25">
      <c r="A2694" s="82" t="s">
        <v>4484</v>
      </c>
      <c r="B2694" s="83" t="s">
        <v>4500</v>
      </c>
      <c r="C2694" s="83"/>
      <c r="D2694" s="83"/>
      <c r="E2694" s="83" t="s">
        <v>4228</v>
      </c>
      <c r="F2694" s="82" t="s">
        <v>78</v>
      </c>
      <c r="G2694" s="82">
        <v>3</v>
      </c>
      <c r="H2694" s="82"/>
      <c r="I2694" s="138">
        <f>H2694*G2694</f>
        <v>0</v>
      </c>
      <c r="J2694" s="82"/>
      <c r="K2694" s="83"/>
    </row>
    <row r="2695" spans="1:11" ht="39" customHeight="1" x14ac:dyDescent="0.25">
      <c r="A2695" s="82" t="s">
        <v>4486</v>
      </c>
      <c r="B2695" s="83" t="s">
        <v>4487</v>
      </c>
      <c r="C2695" s="83"/>
      <c r="D2695" s="83"/>
      <c r="E2695" s="83" t="s">
        <v>4228</v>
      </c>
      <c r="F2695" s="82" t="s">
        <v>78</v>
      </c>
      <c r="G2695" s="82">
        <v>1</v>
      </c>
      <c r="H2695" s="82">
        <v>9600</v>
      </c>
      <c r="I2695" s="138">
        <f>H2695*G2695</f>
        <v>9600</v>
      </c>
      <c r="J2695" s="82"/>
      <c r="K2695" s="83"/>
    </row>
    <row r="2696" spans="1:11" ht="15" customHeight="1" x14ac:dyDescent="0.25">
      <c r="A2696" s="82" t="s">
        <v>4236</v>
      </c>
      <c r="B2696" s="83" t="s">
        <v>4334</v>
      </c>
      <c r="C2696" s="83"/>
      <c r="D2696" s="83"/>
      <c r="E2696" s="83" t="s">
        <v>4228</v>
      </c>
      <c r="F2696" s="82" t="s">
        <v>78</v>
      </c>
      <c r="G2696" s="82">
        <v>2</v>
      </c>
      <c r="H2696" s="82">
        <v>4500</v>
      </c>
      <c r="I2696" s="138">
        <f>H2696*G2696</f>
        <v>9000</v>
      </c>
      <c r="J2696" s="82"/>
      <c r="K2696" s="83"/>
    </row>
    <row r="2697" spans="1:11" ht="15" customHeight="1" x14ac:dyDescent="0.25">
      <c r="A2697" s="82" t="s">
        <v>4236</v>
      </c>
      <c r="B2697" s="83" t="s">
        <v>4343</v>
      </c>
      <c r="C2697" s="83"/>
      <c r="D2697" s="83"/>
      <c r="E2697" s="83" t="s">
        <v>4228</v>
      </c>
      <c r="F2697" s="82" t="s">
        <v>78</v>
      </c>
      <c r="G2697" s="82">
        <v>2</v>
      </c>
      <c r="H2697" s="82">
        <v>1570</v>
      </c>
      <c r="I2697" s="138">
        <f>H2697*G2697</f>
        <v>3140</v>
      </c>
      <c r="J2697" s="82"/>
      <c r="K2697" s="83"/>
    </row>
    <row r="2698" spans="1:11" ht="15" customHeight="1" x14ac:dyDescent="0.25">
      <c r="A2698" s="80" t="s">
        <v>4501</v>
      </c>
      <c r="B2698" s="80" t="s">
        <v>4490</v>
      </c>
      <c r="C2698" s="80"/>
      <c r="D2698" s="80"/>
      <c r="E2698" s="80"/>
      <c r="F2698" s="80"/>
      <c r="G2698" s="81"/>
      <c r="H2698" s="80"/>
      <c r="I2698" s="137"/>
      <c r="J2698" s="80"/>
      <c r="K2698" s="80"/>
    </row>
    <row r="2699" spans="1:11" ht="27" customHeight="1" x14ac:dyDescent="0.25">
      <c r="A2699" s="82" t="s">
        <v>4236</v>
      </c>
      <c r="B2699" s="83" t="s">
        <v>4491</v>
      </c>
      <c r="C2699" s="83"/>
      <c r="D2699" s="83"/>
      <c r="E2699" s="83" t="s">
        <v>4228</v>
      </c>
      <c r="F2699" s="82" t="s">
        <v>78</v>
      </c>
      <c r="G2699" s="82">
        <v>1</v>
      </c>
      <c r="H2699" s="82">
        <v>16500</v>
      </c>
      <c r="I2699" s="138">
        <f t="shared" ref="I2699:I2704" si="108">H2699*G2699</f>
        <v>16500</v>
      </c>
      <c r="J2699" s="82"/>
      <c r="K2699" s="83"/>
    </row>
    <row r="2700" spans="1:11" ht="15" customHeight="1" x14ac:dyDescent="0.25">
      <c r="A2700" s="82" t="s">
        <v>4236</v>
      </c>
      <c r="B2700" s="83" t="s">
        <v>4334</v>
      </c>
      <c r="C2700" s="83"/>
      <c r="D2700" s="83"/>
      <c r="E2700" s="83" t="s">
        <v>4228</v>
      </c>
      <c r="F2700" s="82" t="s">
        <v>78</v>
      </c>
      <c r="G2700" s="82">
        <v>1</v>
      </c>
      <c r="H2700" s="82">
        <v>4500</v>
      </c>
      <c r="I2700" s="138">
        <f t="shared" si="108"/>
        <v>4500</v>
      </c>
      <c r="J2700" s="82"/>
      <c r="K2700" s="83"/>
    </row>
    <row r="2701" spans="1:11" ht="15" customHeight="1" x14ac:dyDescent="0.25">
      <c r="A2701" s="82" t="s">
        <v>4236</v>
      </c>
      <c r="B2701" s="83" t="s">
        <v>4389</v>
      </c>
      <c r="C2701" s="83"/>
      <c r="D2701" s="83"/>
      <c r="E2701" s="83" t="s">
        <v>4228</v>
      </c>
      <c r="F2701" s="82" t="s">
        <v>78</v>
      </c>
      <c r="G2701" s="82">
        <v>1</v>
      </c>
      <c r="H2701" s="82">
        <v>4090</v>
      </c>
      <c r="I2701" s="138">
        <f t="shared" si="108"/>
        <v>4090</v>
      </c>
      <c r="J2701" s="82"/>
      <c r="K2701" s="83"/>
    </row>
    <row r="2702" spans="1:11" ht="15" customHeight="1" x14ac:dyDescent="0.25">
      <c r="A2702" s="82" t="s">
        <v>4236</v>
      </c>
      <c r="B2702" s="83" t="s">
        <v>4492</v>
      </c>
      <c r="C2702" s="83"/>
      <c r="D2702" s="83"/>
      <c r="E2702" s="83" t="s">
        <v>4228</v>
      </c>
      <c r="F2702" s="82" t="s">
        <v>78</v>
      </c>
      <c r="G2702" s="82">
        <v>1</v>
      </c>
      <c r="H2702" s="82">
        <v>4720</v>
      </c>
      <c r="I2702" s="138">
        <f t="shared" si="108"/>
        <v>4720</v>
      </c>
      <c r="J2702" s="82"/>
      <c r="K2702" s="83"/>
    </row>
    <row r="2703" spans="1:11" ht="15" customHeight="1" x14ac:dyDescent="0.25">
      <c r="A2703" s="82" t="s">
        <v>4236</v>
      </c>
      <c r="B2703" s="83" t="s">
        <v>4493</v>
      </c>
      <c r="C2703" s="83"/>
      <c r="D2703" s="83"/>
      <c r="E2703" s="83" t="s">
        <v>4228</v>
      </c>
      <c r="F2703" s="82" t="s">
        <v>78</v>
      </c>
      <c r="G2703" s="82">
        <v>1</v>
      </c>
      <c r="H2703" s="82">
        <v>760</v>
      </c>
      <c r="I2703" s="138">
        <f t="shared" si="108"/>
        <v>760</v>
      </c>
      <c r="J2703" s="82"/>
      <c r="K2703" s="83"/>
    </row>
    <row r="2704" spans="1:11" ht="15" customHeight="1" x14ac:dyDescent="0.25">
      <c r="A2704" s="82" t="s">
        <v>4236</v>
      </c>
      <c r="B2704" s="83" t="s">
        <v>4494</v>
      </c>
      <c r="C2704" s="83"/>
      <c r="D2704" s="83"/>
      <c r="E2704" s="83" t="s">
        <v>4228</v>
      </c>
      <c r="F2704" s="82" t="s">
        <v>78</v>
      </c>
      <c r="G2704" s="82">
        <v>1</v>
      </c>
      <c r="H2704" s="82">
        <v>3270</v>
      </c>
      <c r="I2704" s="138">
        <f t="shared" si="108"/>
        <v>3270</v>
      </c>
      <c r="J2704" s="82"/>
      <c r="K2704" s="83"/>
    </row>
    <row r="2705" spans="1:11" ht="15" customHeight="1" x14ac:dyDescent="0.25">
      <c r="A2705" s="80" t="s">
        <v>4502</v>
      </c>
      <c r="B2705" s="80" t="s">
        <v>4496</v>
      </c>
      <c r="C2705" s="80"/>
      <c r="D2705" s="80"/>
      <c r="E2705" s="80"/>
      <c r="F2705" s="80"/>
      <c r="G2705" s="81"/>
      <c r="H2705" s="80"/>
      <c r="I2705" s="137"/>
      <c r="J2705" s="80"/>
      <c r="K2705" s="80"/>
    </row>
    <row r="2706" spans="1:11" ht="39" customHeight="1" x14ac:dyDescent="0.25">
      <c r="A2706" s="82" t="s">
        <v>4236</v>
      </c>
      <c r="B2706" s="83" t="s">
        <v>4497</v>
      </c>
      <c r="C2706" s="83"/>
      <c r="D2706" s="83"/>
      <c r="E2706" s="83" t="s">
        <v>4228</v>
      </c>
      <c r="F2706" s="82" t="s">
        <v>47</v>
      </c>
      <c r="G2706" s="82">
        <v>1</v>
      </c>
      <c r="H2706" s="82"/>
      <c r="I2706" s="138">
        <f>H2706*G2706</f>
        <v>0</v>
      </c>
      <c r="J2706" s="82"/>
      <c r="K2706" s="83"/>
    </row>
    <row r="2707" spans="1:11" ht="15" customHeight="1" x14ac:dyDescent="0.25">
      <c r="A2707" s="80" t="s">
        <v>4503</v>
      </c>
      <c r="B2707" s="80" t="s">
        <v>4378</v>
      </c>
      <c r="C2707" s="80"/>
      <c r="D2707" s="80"/>
      <c r="E2707" s="80"/>
      <c r="F2707" s="80"/>
      <c r="G2707" s="81"/>
      <c r="H2707" s="80"/>
      <c r="I2707" s="137"/>
      <c r="J2707" s="80"/>
      <c r="K2707" s="80"/>
    </row>
    <row r="2708" spans="1:11" ht="51" customHeight="1" x14ac:dyDescent="0.25">
      <c r="A2708" s="82" t="s">
        <v>4379</v>
      </c>
      <c r="B2708" s="83" t="s">
        <v>4380</v>
      </c>
      <c r="C2708" s="83"/>
      <c r="D2708" s="83"/>
      <c r="E2708" s="83" t="s">
        <v>4228</v>
      </c>
      <c r="F2708" s="82" t="s">
        <v>78</v>
      </c>
      <c r="G2708" s="82">
        <v>1</v>
      </c>
      <c r="H2708" s="82">
        <v>29000</v>
      </c>
      <c r="I2708" s="138">
        <f t="shared" ref="I2708:I2714" si="109">H2708*G2708</f>
        <v>29000</v>
      </c>
      <c r="J2708" s="82"/>
      <c r="K2708" s="83"/>
    </row>
    <row r="2709" spans="1:11" ht="39" customHeight="1" x14ac:dyDescent="0.25">
      <c r="A2709" s="82" t="s">
        <v>4381</v>
      </c>
      <c r="B2709" s="83" t="s">
        <v>4382</v>
      </c>
      <c r="C2709" s="83"/>
      <c r="D2709" s="83"/>
      <c r="E2709" s="83" t="s">
        <v>4228</v>
      </c>
      <c r="F2709" s="82" t="s">
        <v>78</v>
      </c>
      <c r="G2709" s="82">
        <v>1</v>
      </c>
      <c r="H2709" s="82"/>
      <c r="I2709" s="138">
        <f t="shared" si="109"/>
        <v>0</v>
      </c>
      <c r="J2709" s="82"/>
      <c r="K2709" s="83"/>
    </row>
    <row r="2710" spans="1:11" ht="51" customHeight="1" x14ac:dyDescent="0.25">
      <c r="A2710" s="82" t="s">
        <v>4383</v>
      </c>
      <c r="B2710" s="83" t="s">
        <v>4384</v>
      </c>
      <c r="C2710" s="83"/>
      <c r="D2710" s="83"/>
      <c r="E2710" s="83" t="s">
        <v>4228</v>
      </c>
      <c r="F2710" s="82" t="s">
        <v>78</v>
      </c>
      <c r="G2710" s="82">
        <v>1</v>
      </c>
      <c r="H2710" s="82">
        <v>16200</v>
      </c>
      <c r="I2710" s="138">
        <f t="shared" si="109"/>
        <v>16200</v>
      </c>
      <c r="J2710" s="82"/>
      <c r="K2710" s="83"/>
    </row>
    <row r="2711" spans="1:11" ht="15" customHeight="1" x14ac:dyDescent="0.25">
      <c r="A2711" s="82" t="s">
        <v>4385</v>
      </c>
      <c r="B2711" s="83" t="s">
        <v>4386</v>
      </c>
      <c r="C2711" s="83" t="s">
        <v>4387</v>
      </c>
      <c r="D2711" s="83"/>
      <c r="E2711" s="83" t="s">
        <v>4228</v>
      </c>
      <c r="F2711" s="82" t="s">
        <v>78</v>
      </c>
      <c r="G2711" s="82">
        <v>1</v>
      </c>
      <c r="H2711" s="82">
        <v>523000</v>
      </c>
      <c r="I2711" s="138">
        <f t="shared" si="109"/>
        <v>523000</v>
      </c>
      <c r="J2711" s="82" t="s">
        <v>4388</v>
      </c>
      <c r="K2711" s="83"/>
    </row>
    <row r="2712" spans="1:11" ht="15" customHeight="1" x14ac:dyDescent="0.25">
      <c r="A2712" s="82" t="s">
        <v>4236</v>
      </c>
      <c r="B2712" s="83" t="s">
        <v>4334</v>
      </c>
      <c r="C2712" s="83"/>
      <c r="D2712" s="83"/>
      <c r="E2712" s="83" t="s">
        <v>4228</v>
      </c>
      <c r="F2712" s="82" t="s">
        <v>78</v>
      </c>
      <c r="G2712" s="82">
        <v>1</v>
      </c>
      <c r="H2712" s="82">
        <v>4500</v>
      </c>
      <c r="I2712" s="138">
        <f t="shared" si="109"/>
        <v>4500</v>
      </c>
      <c r="J2712" s="82"/>
      <c r="K2712" s="83"/>
    </row>
    <row r="2713" spans="1:11" ht="15" customHeight="1" x14ac:dyDescent="0.25">
      <c r="A2713" s="82" t="s">
        <v>4236</v>
      </c>
      <c r="B2713" s="83" t="s">
        <v>4389</v>
      </c>
      <c r="C2713" s="83"/>
      <c r="D2713" s="83"/>
      <c r="E2713" s="83" t="s">
        <v>4228</v>
      </c>
      <c r="F2713" s="82" t="s">
        <v>78</v>
      </c>
      <c r="G2713" s="82">
        <v>1</v>
      </c>
      <c r="H2713" s="82">
        <v>4090</v>
      </c>
      <c r="I2713" s="138">
        <f t="shared" si="109"/>
        <v>4090</v>
      </c>
      <c r="J2713" s="82"/>
      <c r="K2713" s="83"/>
    </row>
    <row r="2714" spans="1:11" ht="15" customHeight="1" x14ac:dyDescent="0.25">
      <c r="A2714" s="82" t="s">
        <v>4236</v>
      </c>
      <c r="B2714" s="83" t="s">
        <v>4390</v>
      </c>
      <c r="C2714" s="83"/>
      <c r="D2714" s="83"/>
      <c r="E2714" s="83" t="s">
        <v>4228</v>
      </c>
      <c r="F2714" s="82" t="s">
        <v>78</v>
      </c>
      <c r="G2714" s="82">
        <v>1</v>
      </c>
      <c r="H2714" s="82"/>
      <c r="I2714" s="138">
        <f t="shared" si="109"/>
        <v>0</v>
      </c>
      <c r="J2714" s="82"/>
      <c r="K2714" s="83"/>
    </row>
    <row r="2715" spans="1:11" ht="15" customHeight="1" x14ac:dyDescent="0.25">
      <c r="A2715" s="80" t="s">
        <v>4504</v>
      </c>
      <c r="B2715" s="80" t="s">
        <v>4505</v>
      </c>
      <c r="C2715" s="80"/>
      <c r="D2715" s="80"/>
      <c r="E2715" s="80"/>
      <c r="F2715" s="80"/>
      <c r="G2715" s="81"/>
      <c r="H2715" s="80"/>
      <c r="I2715" s="137"/>
      <c r="J2715" s="80"/>
      <c r="K2715" s="80"/>
    </row>
    <row r="2716" spans="1:11" ht="15" customHeight="1" x14ac:dyDescent="0.25">
      <c r="A2716" s="80" t="s">
        <v>4506</v>
      </c>
      <c r="B2716" s="80" t="s">
        <v>4507</v>
      </c>
      <c r="C2716" s="80"/>
      <c r="D2716" s="80"/>
      <c r="E2716" s="80"/>
      <c r="F2716" s="80"/>
      <c r="G2716" s="81"/>
      <c r="H2716" s="80"/>
      <c r="I2716" s="137"/>
      <c r="J2716" s="80"/>
      <c r="K2716" s="80"/>
    </row>
    <row r="2717" spans="1:11" ht="15" customHeight="1" x14ac:dyDescent="0.25">
      <c r="A2717" s="82" t="s">
        <v>4236</v>
      </c>
      <c r="B2717" s="83" t="s">
        <v>4334</v>
      </c>
      <c r="C2717" s="83"/>
      <c r="D2717" s="83"/>
      <c r="E2717" s="83" t="s">
        <v>4228</v>
      </c>
      <c r="F2717" s="82" t="s">
        <v>78</v>
      </c>
      <c r="G2717" s="82">
        <v>1</v>
      </c>
      <c r="H2717" s="82">
        <v>4500</v>
      </c>
      <c r="I2717" s="138">
        <f>H2717*G2717</f>
        <v>4500</v>
      </c>
      <c r="J2717" s="82"/>
      <c r="K2717" s="83"/>
    </row>
    <row r="2718" spans="1:11" ht="15" customHeight="1" x14ac:dyDescent="0.25">
      <c r="A2718" s="82" t="s">
        <v>4236</v>
      </c>
      <c r="B2718" s="83" t="s">
        <v>4492</v>
      </c>
      <c r="C2718" s="83"/>
      <c r="D2718" s="83"/>
      <c r="E2718" s="83" t="s">
        <v>4228</v>
      </c>
      <c r="F2718" s="82" t="s">
        <v>78</v>
      </c>
      <c r="G2718" s="82">
        <v>1</v>
      </c>
      <c r="H2718" s="82">
        <v>4720</v>
      </c>
      <c r="I2718" s="138">
        <f>H2718*G2718</f>
        <v>4720</v>
      </c>
      <c r="J2718" s="82"/>
      <c r="K2718" s="83"/>
    </row>
    <row r="2719" spans="1:11" ht="15" customHeight="1" x14ac:dyDescent="0.25">
      <c r="A2719" s="82" t="s">
        <v>4236</v>
      </c>
      <c r="B2719" s="83" t="s">
        <v>4493</v>
      </c>
      <c r="C2719" s="83"/>
      <c r="D2719" s="83"/>
      <c r="E2719" s="83" t="s">
        <v>4228</v>
      </c>
      <c r="F2719" s="82" t="s">
        <v>78</v>
      </c>
      <c r="G2719" s="82">
        <v>1</v>
      </c>
      <c r="H2719" s="82">
        <v>760</v>
      </c>
      <c r="I2719" s="138">
        <f>H2719*G2719</f>
        <v>760</v>
      </c>
      <c r="J2719" s="82"/>
      <c r="K2719" s="83"/>
    </row>
    <row r="2720" spans="1:11" ht="15" customHeight="1" x14ac:dyDescent="0.25">
      <c r="A2720" s="80" t="s">
        <v>4508</v>
      </c>
      <c r="B2720" s="80" t="s">
        <v>4509</v>
      </c>
      <c r="C2720" s="80"/>
      <c r="D2720" s="80"/>
      <c r="E2720" s="80"/>
      <c r="F2720" s="80"/>
      <c r="G2720" s="81"/>
      <c r="H2720" s="80"/>
      <c r="I2720" s="137"/>
      <c r="J2720" s="80"/>
      <c r="K2720" s="80"/>
    </row>
    <row r="2721" spans="1:11" ht="27" customHeight="1" x14ac:dyDescent="0.25">
      <c r="A2721" s="82" t="s">
        <v>4236</v>
      </c>
      <c r="B2721" s="83" t="s">
        <v>4491</v>
      </c>
      <c r="C2721" s="83"/>
      <c r="D2721" s="83"/>
      <c r="E2721" s="83" t="s">
        <v>4228</v>
      </c>
      <c r="F2721" s="82" t="s">
        <v>78</v>
      </c>
      <c r="G2721" s="82">
        <v>1</v>
      </c>
      <c r="H2721" s="82">
        <v>16500</v>
      </c>
      <c r="I2721" s="138">
        <f>H2721*G2721</f>
        <v>16500</v>
      </c>
      <c r="J2721" s="82"/>
      <c r="K2721" s="83"/>
    </row>
    <row r="2722" spans="1:11" ht="15" customHeight="1" x14ac:dyDescent="0.25">
      <c r="A2722" s="80" t="s">
        <v>4510</v>
      </c>
      <c r="B2722" s="80" t="s">
        <v>4511</v>
      </c>
      <c r="C2722" s="80"/>
      <c r="D2722" s="80"/>
      <c r="E2722" s="80"/>
      <c r="F2722" s="80"/>
      <c r="G2722" s="81"/>
      <c r="H2722" s="80"/>
      <c r="I2722" s="137"/>
      <c r="J2722" s="80"/>
      <c r="K2722" s="80"/>
    </row>
    <row r="2723" spans="1:11" ht="15" customHeight="1" x14ac:dyDescent="0.25">
      <c r="A2723" s="82" t="s">
        <v>4236</v>
      </c>
      <c r="B2723" s="83" t="s">
        <v>4334</v>
      </c>
      <c r="C2723" s="83"/>
      <c r="D2723" s="83"/>
      <c r="E2723" s="83" t="s">
        <v>4228</v>
      </c>
      <c r="F2723" s="82" t="s">
        <v>78</v>
      </c>
      <c r="G2723" s="82">
        <v>4</v>
      </c>
      <c r="H2723" s="82">
        <v>4500</v>
      </c>
      <c r="I2723" s="138">
        <f>H2723*G2723</f>
        <v>18000</v>
      </c>
      <c r="J2723" s="82"/>
      <c r="K2723" s="83"/>
    </row>
    <row r="2724" spans="1:11" ht="15" customHeight="1" x14ac:dyDescent="0.25">
      <c r="A2724" s="82" t="s">
        <v>4236</v>
      </c>
      <c r="B2724" s="83" t="s">
        <v>4492</v>
      </c>
      <c r="C2724" s="83"/>
      <c r="D2724" s="83"/>
      <c r="E2724" s="83" t="s">
        <v>4228</v>
      </c>
      <c r="F2724" s="82" t="s">
        <v>78</v>
      </c>
      <c r="G2724" s="82">
        <v>4</v>
      </c>
      <c r="H2724" s="82">
        <v>4720</v>
      </c>
      <c r="I2724" s="138">
        <f>H2724*G2724</f>
        <v>18880</v>
      </c>
      <c r="J2724" s="82"/>
      <c r="K2724" s="83"/>
    </row>
    <row r="2725" spans="1:11" ht="15" customHeight="1" x14ac:dyDescent="0.25">
      <c r="A2725" s="82" t="s">
        <v>4236</v>
      </c>
      <c r="B2725" s="83" t="s">
        <v>4493</v>
      </c>
      <c r="C2725" s="83"/>
      <c r="D2725" s="83"/>
      <c r="E2725" s="83" t="s">
        <v>4228</v>
      </c>
      <c r="F2725" s="82" t="s">
        <v>78</v>
      </c>
      <c r="G2725" s="82">
        <v>4</v>
      </c>
      <c r="H2725" s="82">
        <v>760</v>
      </c>
      <c r="I2725" s="138">
        <f>H2725*G2725</f>
        <v>3040</v>
      </c>
      <c r="J2725" s="82"/>
      <c r="K2725" s="83"/>
    </row>
    <row r="2726" spans="1:11" ht="15" customHeight="1" x14ac:dyDescent="0.25">
      <c r="A2726" s="80" t="s">
        <v>4512</v>
      </c>
      <c r="B2726" s="80" t="s">
        <v>4513</v>
      </c>
      <c r="C2726" s="80"/>
      <c r="D2726" s="80"/>
      <c r="E2726" s="80"/>
      <c r="F2726" s="80"/>
      <c r="G2726" s="81"/>
      <c r="H2726" s="80"/>
      <c r="I2726" s="137"/>
      <c r="J2726" s="80"/>
      <c r="K2726" s="80"/>
    </row>
    <row r="2727" spans="1:11" ht="15" customHeight="1" x14ac:dyDescent="0.25">
      <c r="A2727" s="82" t="s">
        <v>4236</v>
      </c>
      <c r="B2727" s="83" t="s">
        <v>4514</v>
      </c>
      <c r="C2727" s="83"/>
      <c r="D2727" s="83"/>
      <c r="E2727" s="83" t="s">
        <v>4228</v>
      </c>
      <c r="F2727" s="82" t="s">
        <v>78</v>
      </c>
      <c r="G2727" s="82">
        <v>1</v>
      </c>
      <c r="H2727" s="82">
        <v>4790</v>
      </c>
      <c r="I2727" s="138">
        <f>H2727*G2727</f>
        <v>4790</v>
      </c>
      <c r="J2727" s="82"/>
      <c r="K2727" s="83"/>
    </row>
    <row r="2728" spans="1:11" ht="15" customHeight="1" x14ac:dyDescent="0.25">
      <c r="A2728" s="80" t="s">
        <v>4515</v>
      </c>
      <c r="B2728" s="80" t="s">
        <v>4516</v>
      </c>
      <c r="C2728" s="80"/>
      <c r="D2728" s="80"/>
      <c r="E2728" s="80"/>
      <c r="F2728" s="80"/>
      <c r="G2728" s="81"/>
      <c r="H2728" s="80"/>
      <c r="I2728" s="137"/>
      <c r="J2728" s="80"/>
      <c r="K2728" s="80"/>
    </row>
    <row r="2729" spans="1:11" ht="15" customHeight="1" x14ac:dyDescent="0.25">
      <c r="A2729" s="82" t="s">
        <v>4236</v>
      </c>
      <c r="B2729" s="83" t="s">
        <v>4514</v>
      </c>
      <c r="C2729" s="83"/>
      <c r="D2729" s="83"/>
      <c r="E2729" s="83" t="s">
        <v>4228</v>
      </c>
      <c r="F2729" s="82" t="s">
        <v>78</v>
      </c>
      <c r="G2729" s="82">
        <v>1</v>
      </c>
      <c r="H2729" s="82">
        <v>4790</v>
      </c>
      <c r="I2729" s="138">
        <f t="shared" ref="I2729:I2735" si="110">H2729*G2729</f>
        <v>4790</v>
      </c>
      <c r="J2729" s="82"/>
      <c r="K2729" s="83"/>
    </row>
    <row r="2730" spans="1:11" ht="99" customHeight="1" x14ac:dyDescent="0.25">
      <c r="A2730" s="82" t="s">
        <v>4517</v>
      </c>
      <c r="B2730" s="83" t="s">
        <v>4518</v>
      </c>
      <c r="C2730" s="83"/>
      <c r="D2730" s="83"/>
      <c r="E2730" s="83" t="s">
        <v>4228</v>
      </c>
      <c r="F2730" s="82" t="s">
        <v>78</v>
      </c>
      <c r="G2730" s="82">
        <v>3</v>
      </c>
      <c r="H2730" s="82"/>
      <c r="I2730" s="138">
        <f t="shared" si="110"/>
        <v>0</v>
      </c>
      <c r="J2730" s="82" t="s">
        <v>4519</v>
      </c>
      <c r="K2730" s="83" t="s">
        <v>4520</v>
      </c>
    </row>
    <row r="2731" spans="1:11" ht="99" customHeight="1" x14ac:dyDescent="0.25">
      <c r="A2731" s="82" t="s">
        <v>4521</v>
      </c>
      <c r="B2731" s="83" t="s">
        <v>4522</v>
      </c>
      <c r="C2731" s="83"/>
      <c r="D2731" s="83"/>
      <c r="E2731" s="83" t="s">
        <v>4228</v>
      </c>
      <c r="F2731" s="82" t="s">
        <v>78</v>
      </c>
      <c r="G2731" s="82">
        <v>2</v>
      </c>
      <c r="H2731" s="82"/>
      <c r="I2731" s="138">
        <f t="shared" si="110"/>
        <v>0</v>
      </c>
      <c r="J2731" s="82" t="s">
        <v>4523</v>
      </c>
      <c r="K2731" s="83"/>
    </row>
    <row r="2732" spans="1:11" ht="15" customHeight="1" x14ac:dyDescent="0.25">
      <c r="A2732" s="82" t="s">
        <v>4346</v>
      </c>
      <c r="B2732" s="83" t="s">
        <v>4347</v>
      </c>
      <c r="C2732" s="83"/>
      <c r="D2732" s="83"/>
      <c r="E2732" s="83" t="s">
        <v>110</v>
      </c>
      <c r="F2732" s="82" t="s">
        <v>78</v>
      </c>
      <c r="G2732" s="82">
        <v>6</v>
      </c>
      <c r="H2732" s="82"/>
      <c r="I2732" s="138">
        <f t="shared" si="110"/>
        <v>0</v>
      </c>
      <c r="J2732" s="82"/>
      <c r="K2732" s="83"/>
    </row>
    <row r="2733" spans="1:11" ht="39" customHeight="1" x14ac:dyDescent="0.25">
      <c r="A2733" s="82" t="s">
        <v>4486</v>
      </c>
      <c r="B2733" s="83" t="s">
        <v>4487</v>
      </c>
      <c r="C2733" s="83"/>
      <c r="D2733" s="83"/>
      <c r="E2733" s="83" t="s">
        <v>4228</v>
      </c>
      <c r="F2733" s="82" t="s">
        <v>78</v>
      </c>
      <c r="G2733" s="82">
        <v>2</v>
      </c>
      <c r="H2733" s="82">
        <v>9600</v>
      </c>
      <c r="I2733" s="138">
        <f t="shared" si="110"/>
        <v>19200</v>
      </c>
      <c r="J2733" s="82"/>
      <c r="K2733" s="83"/>
    </row>
    <row r="2734" spans="1:11" ht="15" customHeight="1" x14ac:dyDescent="0.25">
      <c r="A2734" s="82" t="s">
        <v>4236</v>
      </c>
      <c r="B2734" s="83" t="s">
        <v>4343</v>
      </c>
      <c r="C2734" s="83"/>
      <c r="D2734" s="83"/>
      <c r="E2734" s="83" t="s">
        <v>4228</v>
      </c>
      <c r="F2734" s="82" t="s">
        <v>78</v>
      </c>
      <c r="G2734" s="82">
        <v>4</v>
      </c>
      <c r="H2734" s="82">
        <v>1570</v>
      </c>
      <c r="I2734" s="138">
        <f t="shared" si="110"/>
        <v>6280</v>
      </c>
      <c r="J2734" s="82"/>
      <c r="K2734" s="83"/>
    </row>
    <row r="2735" spans="1:11" ht="15" customHeight="1" x14ac:dyDescent="0.25">
      <c r="A2735" s="82" t="s">
        <v>4236</v>
      </c>
      <c r="B2735" s="83" t="s">
        <v>4334</v>
      </c>
      <c r="C2735" s="83"/>
      <c r="D2735" s="83"/>
      <c r="E2735" s="83" t="s">
        <v>4228</v>
      </c>
      <c r="F2735" s="82" t="s">
        <v>78</v>
      </c>
      <c r="G2735" s="82">
        <v>1</v>
      </c>
      <c r="H2735" s="82">
        <v>4500</v>
      </c>
      <c r="I2735" s="138">
        <f t="shared" si="110"/>
        <v>4500</v>
      </c>
      <c r="J2735" s="82"/>
      <c r="K2735" s="83"/>
    </row>
    <row r="2736" spans="1:11" ht="15" customHeight="1" x14ac:dyDescent="0.25">
      <c r="A2736" s="80" t="s">
        <v>4524</v>
      </c>
      <c r="B2736" s="80" t="s">
        <v>4525</v>
      </c>
      <c r="C2736" s="80"/>
      <c r="D2736" s="80"/>
      <c r="E2736" s="80"/>
      <c r="F2736" s="80"/>
      <c r="G2736" s="81"/>
      <c r="H2736" s="80"/>
      <c r="I2736" s="137"/>
      <c r="J2736" s="80"/>
      <c r="K2736" s="80"/>
    </row>
    <row r="2737" spans="1:11" ht="39" customHeight="1" x14ac:dyDescent="0.25">
      <c r="A2737" s="82" t="s">
        <v>4236</v>
      </c>
      <c r="B2737" s="83" t="s">
        <v>4497</v>
      </c>
      <c r="C2737" s="83"/>
      <c r="D2737" s="83"/>
      <c r="E2737" s="83" t="s">
        <v>4228</v>
      </c>
      <c r="F2737" s="82" t="s">
        <v>47</v>
      </c>
      <c r="G2737" s="82">
        <v>4</v>
      </c>
      <c r="H2737" s="82"/>
      <c r="I2737" s="138">
        <f>H2737*G2737</f>
        <v>0</v>
      </c>
      <c r="J2737" s="82"/>
      <c r="K2737" s="83"/>
    </row>
    <row r="2738" spans="1:11" ht="15" customHeight="1" x14ac:dyDescent="0.25">
      <c r="A2738" s="80" t="s">
        <v>4526</v>
      </c>
      <c r="B2738" s="80" t="s">
        <v>4527</v>
      </c>
      <c r="C2738" s="80"/>
      <c r="D2738" s="80"/>
      <c r="E2738" s="80"/>
      <c r="F2738" s="80"/>
      <c r="G2738" s="81"/>
      <c r="H2738" s="80"/>
      <c r="I2738" s="137"/>
      <c r="J2738" s="80"/>
      <c r="K2738" s="80"/>
    </row>
    <row r="2739" spans="1:11" ht="15" customHeight="1" x14ac:dyDescent="0.25">
      <c r="A2739" s="80" t="s">
        <v>4528</v>
      </c>
      <c r="B2739" s="80" t="s">
        <v>4529</v>
      </c>
      <c r="C2739" s="80"/>
      <c r="D2739" s="80"/>
      <c r="E2739" s="80"/>
      <c r="F2739" s="80"/>
      <c r="G2739" s="81"/>
      <c r="H2739" s="80"/>
      <c r="I2739" s="137"/>
      <c r="J2739" s="80"/>
      <c r="K2739" s="80"/>
    </row>
    <row r="2740" spans="1:11" ht="15" customHeight="1" x14ac:dyDescent="0.25">
      <c r="A2740" s="80" t="s">
        <v>4530</v>
      </c>
      <c r="B2740" s="80" t="s">
        <v>4531</v>
      </c>
      <c r="C2740" s="80"/>
      <c r="D2740" s="80"/>
      <c r="E2740" s="80"/>
      <c r="F2740" s="80"/>
      <c r="G2740" s="81"/>
      <c r="H2740" s="80"/>
      <c r="I2740" s="137"/>
      <c r="J2740" s="80"/>
      <c r="K2740" s="80"/>
    </row>
    <row r="2741" spans="1:11" ht="15" customHeight="1" x14ac:dyDescent="0.25">
      <c r="A2741" s="82" t="s">
        <v>4236</v>
      </c>
      <c r="B2741" s="83" t="s">
        <v>4334</v>
      </c>
      <c r="C2741" s="83"/>
      <c r="D2741" s="83"/>
      <c r="E2741" s="83" t="s">
        <v>4228</v>
      </c>
      <c r="F2741" s="82" t="s">
        <v>78</v>
      </c>
      <c r="G2741" s="82">
        <v>1</v>
      </c>
      <c r="H2741" s="82">
        <v>4500</v>
      </c>
      <c r="I2741" s="138">
        <f>H2741*G2741</f>
        <v>4500</v>
      </c>
      <c r="J2741" s="82"/>
      <c r="K2741" s="83"/>
    </row>
    <row r="2742" spans="1:11" ht="15" customHeight="1" x14ac:dyDescent="0.25">
      <c r="A2742" s="82" t="s">
        <v>4236</v>
      </c>
      <c r="B2742" s="83" t="s">
        <v>4492</v>
      </c>
      <c r="C2742" s="83"/>
      <c r="D2742" s="83"/>
      <c r="E2742" s="83" t="s">
        <v>4228</v>
      </c>
      <c r="F2742" s="82" t="s">
        <v>78</v>
      </c>
      <c r="G2742" s="82">
        <v>1</v>
      </c>
      <c r="H2742" s="82">
        <v>4720</v>
      </c>
      <c r="I2742" s="138">
        <f>H2742*G2742</f>
        <v>4720</v>
      </c>
      <c r="J2742" s="82"/>
      <c r="K2742" s="83"/>
    </row>
    <row r="2743" spans="1:11" ht="15" customHeight="1" x14ac:dyDescent="0.25">
      <c r="A2743" s="82" t="s">
        <v>4236</v>
      </c>
      <c r="B2743" s="83" t="s">
        <v>4493</v>
      </c>
      <c r="C2743" s="83"/>
      <c r="D2743" s="83"/>
      <c r="E2743" s="83" t="s">
        <v>4228</v>
      </c>
      <c r="F2743" s="82" t="s">
        <v>78</v>
      </c>
      <c r="G2743" s="82">
        <v>1</v>
      </c>
      <c r="H2743" s="82">
        <v>760</v>
      </c>
      <c r="I2743" s="138">
        <f>H2743*G2743</f>
        <v>760</v>
      </c>
      <c r="J2743" s="82"/>
      <c r="K2743" s="83"/>
    </row>
    <row r="2744" spans="1:11" ht="15" customHeight="1" x14ac:dyDescent="0.25">
      <c r="A2744" s="80" t="s">
        <v>4532</v>
      </c>
      <c r="B2744" s="80" t="s">
        <v>4533</v>
      </c>
      <c r="C2744" s="80"/>
      <c r="D2744" s="80"/>
      <c r="E2744" s="80"/>
      <c r="F2744" s="80"/>
      <c r="G2744" s="81"/>
      <c r="H2744" s="80"/>
      <c r="I2744" s="137"/>
      <c r="J2744" s="80"/>
      <c r="K2744" s="80"/>
    </row>
    <row r="2745" spans="1:11" ht="39" customHeight="1" x14ac:dyDescent="0.25">
      <c r="A2745" s="82" t="s">
        <v>4486</v>
      </c>
      <c r="B2745" s="83" t="s">
        <v>4487</v>
      </c>
      <c r="C2745" s="83"/>
      <c r="D2745" s="83"/>
      <c r="E2745" s="83" t="s">
        <v>4228</v>
      </c>
      <c r="F2745" s="82" t="s">
        <v>78</v>
      </c>
      <c r="G2745" s="82">
        <v>1</v>
      </c>
      <c r="H2745" s="82">
        <v>9600</v>
      </c>
      <c r="I2745" s="138">
        <f>H2745*G2745</f>
        <v>9600</v>
      </c>
      <c r="J2745" s="82"/>
      <c r="K2745" s="83"/>
    </row>
    <row r="2746" spans="1:11" ht="15" customHeight="1" x14ac:dyDescent="0.25">
      <c r="A2746" s="82" t="s">
        <v>4236</v>
      </c>
      <c r="B2746" s="83" t="s">
        <v>4334</v>
      </c>
      <c r="C2746" s="83"/>
      <c r="D2746" s="83"/>
      <c r="E2746" s="83" t="s">
        <v>4228</v>
      </c>
      <c r="F2746" s="82" t="s">
        <v>78</v>
      </c>
      <c r="G2746" s="82">
        <v>1</v>
      </c>
      <c r="H2746" s="82">
        <v>4500</v>
      </c>
      <c r="I2746" s="138">
        <f>H2746*G2746</f>
        <v>4500</v>
      </c>
      <c r="J2746" s="82"/>
      <c r="K2746" s="83"/>
    </row>
    <row r="2747" spans="1:11" ht="15" customHeight="1" x14ac:dyDescent="0.25">
      <c r="A2747" s="82" t="s">
        <v>4236</v>
      </c>
      <c r="B2747" s="83" t="s">
        <v>4492</v>
      </c>
      <c r="C2747" s="83"/>
      <c r="D2747" s="83"/>
      <c r="E2747" s="83" t="s">
        <v>4228</v>
      </c>
      <c r="F2747" s="82" t="s">
        <v>78</v>
      </c>
      <c r="G2747" s="82">
        <v>1</v>
      </c>
      <c r="H2747" s="82">
        <v>4720</v>
      </c>
      <c r="I2747" s="138">
        <f>H2747*G2747</f>
        <v>4720</v>
      </c>
      <c r="J2747" s="82"/>
      <c r="K2747" s="83"/>
    </row>
    <row r="2748" spans="1:11" ht="15" customHeight="1" x14ac:dyDescent="0.25">
      <c r="A2748" s="82" t="s">
        <v>4236</v>
      </c>
      <c r="B2748" s="83" t="s">
        <v>4493</v>
      </c>
      <c r="C2748" s="83"/>
      <c r="D2748" s="83"/>
      <c r="E2748" s="83" t="s">
        <v>4228</v>
      </c>
      <c r="F2748" s="82" t="s">
        <v>78</v>
      </c>
      <c r="G2748" s="82">
        <v>1</v>
      </c>
      <c r="H2748" s="82">
        <v>760</v>
      </c>
      <c r="I2748" s="138">
        <f>H2748*G2748</f>
        <v>760</v>
      </c>
      <c r="J2748" s="82"/>
      <c r="K2748" s="83"/>
    </row>
    <row r="2749" spans="1:11" ht="15" customHeight="1" x14ac:dyDescent="0.25">
      <c r="A2749" s="80" t="s">
        <v>4534</v>
      </c>
      <c r="B2749" s="80" t="s">
        <v>4535</v>
      </c>
      <c r="C2749" s="80"/>
      <c r="D2749" s="80"/>
      <c r="E2749" s="80"/>
      <c r="F2749" s="80"/>
      <c r="G2749" s="81"/>
      <c r="H2749" s="80"/>
      <c r="I2749" s="137"/>
      <c r="J2749" s="80"/>
      <c r="K2749" s="80"/>
    </row>
    <row r="2750" spans="1:11" ht="15" customHeight="1" x14ac:dyDescent="0.25">
      <c r="A2750" s="82" t="s">
        <v>4236</v>
      </c>
      <c r="B2750" s="83" t="s">
        <v>4514</v>
      </c>
      <c r="C2750" s="83"/>
      <c r="D2750" s="83"/>
      <c r="E2750" s="83" t="s">
        <v>4228</v>
      </c>
      <c r="F2750" s="82" t="s">
        <v>78</v>
      </c>
      <c r="G2750" s="82">
        <v>1</v>
      </c>
      <c r="H2750" s="82">
        <v>4790</v>
      </c>
      <c r="I2750" s="138">
        <f t="shared" ref="I2750:I2756" si="111">H2750*G2750</f>
        <v>4790</v>
      </c>
      <c r="J2750" s="82"/>
      <c r="K2750" s="83"/>
    </row>
    <row r="2751" spans="1:11" ht="15" customHeight="1" x14ac:dyDescent="0.25">
      <c r="A2751" s="82" t="s">
        <v>4484</v>
      </c>
      <c r="B2751" s="83" t="s">
        <v>4485</v>
      </c>
      <c r="C2751" s="83"/>
      <c r="D2751" s="83"/>
      <c r="E2751" s="83" t="s">
        <v>4228</v>
      </c>
      <c r="F2751" s="82" t="s">
        <v>78</v>
      </c>
      <c r="G2751" s="82">
        <v>3</v>
      </c>
      <c r="H2751" s="82"/>
      <c r="I2751" s="138">
        <f t="shared" si="111"/>
        <v>0</v>
      </c>
      <c r="J2751" s="82"/>
      <c r="K2751" s="83"/>
    </row>
    <row r="2752" spans="1:11" ht="99" customHeight="1" x14ac:dyDescent="0.25">
      <c r="A2752" s="82" t="s">
        <v>4521</v>
      </c>
      <c r="B2752" s="83" t="s">
        <v>4522</v>
      </c>
      <c r="C2752" s="83"/>
      <c r="D2752" s="83"/>
      <c r="E2752" s="83" t="s">
        <v>4228</v>
      </c>
      <c r="F2752" s="82" t="s">
        <v>78</v>
      </c>
      <c r="G2752" s="82">
        <v>2</v>
      </c>
      <c r="H2752" s="82"/>
      <c r="I2752" s="138">
        <f t="shared" si="111"/>
        <v>0</v>
      </c>
      <c r="J2752" s="82" t="s">
        <v>4523</v>
      </c>
      <c r="K2752" s="83"/>
    </row>
    <row r="2753" spans="1:11" ht="99" customHeight="1" x14ac:dyDescent="0.25">
      <c r="A2753" s="82" t="s">
        <v>4517</v>
      </c>
      <c r="B2753" s="83" t="s">
        <v>4518</v>
      </c>
      <c r="C2753" s="83"/>
      <c r="D2753" s="83"/>
      <c r="E2753" s="83" t="s">
        <v>4228</v>
      </c>
      <c r="F2753" s="82" t="s">
        <v>78</v>
      </c>
      <c r="G2753" s="82">
        <v>2</v>
      </c>
      <c r="H2753" s="82"/>
      <c r="I2753" s="138">
        <f t="shared" si="111"/>
        <v>0</v>
      </c>
      <c r="J2753" s="82" t="s">
        <v>4519</v>
      </c>
      <c r="K2753" s="83" t="s">
        <v>4520</v>
      </c>
    </row>
    <row r="2754" spans="1:11" ht="39" customHeight="1" x14ac:dyDescent="0.25">
      <c r="A2754" s="82" t="s">
        <v>4486</v>
      </c>
      <c r="B2754" s="83" t="s">
        <v>4487</v>
      </c>
      <c r="C2754" s="83"/>
      <c r="D2754" s="83"/>
      <c r="E2754" s="83" t="s">
        <v>4228</v>
      </c>
      <c r="F2754" s="82" t="s">
        <v>78</v>
      </c>
      <c r="G2754" s="82">
        <v>2</v>
      </c>
      <c r="H2754" s="82">
        <v>9600</v>
      </c>
      <c r="I2754" s="138">
        <f t="shared" si="111"/>
        <v>19200</v>
      </c>
      <c r="J2754" s="82"/>
      <c r="K2754" s="83"/>
    </row>
    <row r="2755" spans="1:11" ht="15" customHeight="1" x14ac:dyDescent="0.25">
      <c r="A2755" s="82" t="s">
        <v>4236</v>
      </c>
      <c r="B2755" s="83" t="s">
        <v>4343</v>
      </c>
      <c r="C2755" s="83"/>
      <c r="D2755" s="83"/>
      <c r="E2755" s="83" t="s">
        <v>4228</v>
      </c>
      <c r="F2755" s="82" t="s">
        <v>78</v>
      </c>
      <c r="G2755" s="82">
        <v>4</v>
      </c>
      <c r="H2755" s="82">
        <v>1570</v>
      </c>
      <c r="I2755" s="138">
        <f t="shared" si="111"/>
        <v>6280</v>
      </c>
      <c r="J2755" s="82"/>
      <c r="K2755" s="83"/>
    </row>
    <row r="2756" spans="1:11" ht="15" customHeight="1" x14ac:dyDescent="0.25">
      <c r="A2756" s="82" t="s">
        <v>4236</v>
      </c>
      <c r="B2756" s="83" t="s">
        <v>4334</v>
      </c>
      <c r="C2756" s="83"/>
      <c r="D2756" s="83"/>
      <c r="E2756" s="83" t="s">
        <v>4228</v>
      </c>
      <c r="F2756" s="82" t="s">
        <v>78</v>
      </c>
      <c r="G2756" s="82">
        <v>1</v>
      </c>
      <c r="H2756" s="82">
        <v>4500</v>
      </c>
      <c r="I2756" s="138">
        <f t="shared" si="111"/>
        <v>4500</v>
      </c>
      <c r="J2756" s="82"/>
      <c r="K2756" s="83"/>
    </row>
    <row r="2757" spans="1:11" ht="15" customHeight="1" x14ac:dyDescent="0.25">
      <c r="A2757" s="80" t="s">
        <v>4536</v>
      </c>
      <c r="B2757" s="80" t="s">
        <v>4537</v>
      </c>
      <c r="C2757" s="80"/>
      <c r="D2757" s="80"/>
      <c r="E2757" s="80"/>
      <c r="F2757" s="80"/>
      <c r="G2757" s="81"/>
      <c r="H2757" s="80"/>
      <c r="I2757" s="137"/>
      <c r="J2757" s="80"/>
      <c r="K2757" s="80"/>
    </row>
    <row r="2758" spans="1:11" ht="39" customHeight="1" x14ac:dyDescent="0.25">
      <c r="A2758" s="82" t="s">
        <v>4236</v>
      </c>
      <c r="B2758" s="83" t="s">
        <v>4497</v>
      </c>
      <c r="C2758" s="83"/>
      <c r="D2758" s="83"/>
      <c r="E2758" s="83" t="s">
        <v>4228</v>
      </c>
      <c r="F2758" s="82" t="s">
        <v>47</v>
      </c>
      <c r="G2758" s="82">
        <v>4</v>
      </c>
      <c r="H2758" s="82"/>
      <c r="I2758" s="138">
        <f>H2758*G2758</f>
        <v>0</v>
      </c>
      <c r="J2758" s="82"/>
      <c r="K2758" s="83"/>
    </row>
    <row r="2759" spans="1:11" ht="15" customHeight="1" x14ac:dyDescent="0.25">
      <c r="A2759" s="80" t="s">
        <v>4538</v>
      </c>
      <c r="B2759" s="80" t="s">
        <v>4539</v>
      </c>
      <c r="C2759" s="80"/>
      <c r="D2759" s="80"/>
      <c r="E2759" s="80"/>
      <c r="F2759" s="80"/>
      <c r="G2759" s="81"/>
      <c r="H2759" s="80"/>
      <c r="I2759" s="137"/>
      <c r="J2759" s="80"/>
      <c r="K2759" s="80"/>
    </row>
    <row r="2760" spans="1:11" ht="15" customHeight="1" x14ac:dyDescent="0.25">
      <c r="A2760" s="80" t="s">
        <v>4540</v>
      </c>
      <c r="B2760" s="80" t="s">
        <v>4541</v>
      </c>
      <c r="C2760" s="80"/>
      <c r="D2760" s="80"/>
      <c r="E2760" s="80"/>
      <c r="F2760" s="80"/>
      <c r="G2760" s="81"/>
      <c r="H2760" s="80"/>
      <c r="I2760" s="137"/>
      <c r="J2760" s="80"/>
      <c r="K2760" s="80"/>
    </row>
    <row r="2761" spans="1:11" ht="15" customHeight="1" x14ac:dyDescent="0.25">
      <c r="A2761" s="80" t="s">
        <v>4542</v>
      </c>
      <c r="B2761" s="80" t="s">
        <v>4543</v>
      </c>
      <c r="C2761" s="80"/>
      <c r="D2761" s="80"/>
      <c r="E2761" s="80"/>
      <c r="F2761" s="80"/>
      <c r="G2761" s="81"/>
      <c r="H2761" s="80"/>
      <c r="I2761" s="137"/>
      <c r="J2761" s="80"/>
      <c r="K2761" s="80"/>
    </row>
    <row r="2762" spans="1:11" ht="15" customHeight="1" x14ac:dyDescent="0.25">
      <c r="A2762" s="82" t="s">
        <v>4236</v>
      </c>
      <c r="B2762" s="83" t="s">
        <v>4334</v>
      </c>
      <c r="C2762" s="83"/>
      <c r="D2762" s="83"/>
      <c r="E2762" s="83" t="s">
        <v>4228</v>
      </c>
      <c r="F2762" s="82" t="s">
        <v>78</v>
      </c>
      <c r="G2762" s="82">
        <v>1</v>
      </c>
      <c r="H2762" s="82">
        <v>4500</v>
      </c>
      <c r="I2762" s="138">
        <f>H2762*G2762</f>
        <v>4500</v>
      </c>
      <c r="J2762" s="82"/>
      <c r="K2762" s="83"/>
    </row>
    <row r="2763" spans="1:11" ht="15" customHeight="1" x14ac:dyDescent="0.25">
      <c r="A2763" s="82" t="s">
        <v>4236</v>
      </c>
      <c r="B2763" s="83" t="s">
        <v>4492</v>
      </c>
      <c r="C2763" s="83"/>
      <c r="D2763" s="83"/>
      <c r="E2763" s="83" t="s">
        <v>4544</v>
      </c>
      <c r="F2763" s="82" t="s">
        <v>78</v>
      </c>
      <c r="G2763" s="82">
        <v>1</v>
      </c>
      <c r="H2763" s="82">
        <v>4720</v>
      </c>
      <c r="I2763" s="138">
        <f>H2763*G2763</f>
        <v>4720</v>
      </c>
      <c r="J2763" s="82"/>
      <c r="K2763" s="83"/>
    </row>
    <row r="2764" spans="1:11" ht="15" customHeight="1" x14ac:dyDescent="0.25">
      <c r="A2764" s="82" t="s">
        <v>4236</v>
      </c>
      <c r="B2764" s="83" t="s">
        <v>4493</v>
      </c>
      <c r="C2764" s="83"/>
      <c r="D2764" s="83"/>
      <c r="E2764" s="83" t="s">
        <v>4228</v>
      </c>
      <c r="F2764" s="82" t="s">
        <v>78</v>
      </c>
      <c r="G2764" s="82">
        <v>1</v>
      </c>
      <c r="H2764" s="82">
        <v>760</v>
      </c>
      <c r="I2764" s="138">
        <f>H2764*G2764</f>
        <v>760</v>
      </c>
      <c r="J2764" s="82"/>
      <c r="K2764" s="83"/>
    </row>
    <row r="2765" spans="1:11" ht="15" customHeight="1" x14ac:dyDescent="0.25">
      <c r="A2765" s="80" t="s">
        <v>4545</v>
      </c>
      <c r="B2765" s="80" t="s">
        <v>4546</v>
      </c>
      <c r="C2765" s="80"/>
      <c r="D2765" s="80"/>
      <c r="E2765" s="80"/>
      <c r="F2765" s="80"/>
      <c r="G2765" s="81"/>
      <c r="H2765" s="80"/>
      <c r="I2765" s="137"/>
      <c r="J2765" s="80"/>
      <c r="K2765" s="80"/>
    </row>
    <row r="2766" spans="1:11" ht="39" customHeight="1" x14ac:dyDescent="0.25">
      <c r="A2766" s="82" t="s">
        <v>4486</v>
      </c>
      <c r="B2766" s="83" t="s">
        <v>4487</v>
      </c>
      <c r="C2766" s="83"/>
      <c r="D2766" s="83"/>
      <c r="E2766" s="83" t="s">
        <v>4228</v>
      </c>
      <c r="F2766" s="82" t="s">
        <v>78</v>
      </c>
      <c r="G2766" s="82">
        <v>1</v>
      </c>
      <c r="H2766" s="82">
        <v>9600</v>
      </c>
      <c r="I2766" s="138">
        <f>H2766*G2766</f>
        <v>9600</v>
      </c>
      <c r="J2766" s="82"/>
      <c r="K2766" s="83"/>
    </row>
    <row r="2767" spans="1:11" ht="15" customHeight="1" x14ac:dyDescent="0.25">
      <c r="A2767" s="82" t="s">
        <v>4236</v>
      </c>
      <c r="B2767" s="83" t="s">
        <v>4334</v>
      </c>
      <c r="C2767" s="83"/>
      <c r="D2767" s="83"/>
      <c r="E2767" s="83" t="s">
        <v>4228</v>
      </c>
      <c r="F2767" s="82" t="s">
        <v>78</v>
      </c>
      <c r="G2767" s="82">
        <v>1</v>
      </c>
      <c r="H2767" s="82">
        <v>4500</v>
      </c>
      <c r="I2767" s="138">
        <f>H2767*G2767</f>
        <v>4500</v>
      </c>
      <c r="J2767" s="82"/>
      <c r="K2767" s="83"/>
    </row>
    <row r="2768" spans="1:11" ht="15" customHeight="1" x14ac:dyDescent="0.25">
      <c r="A2768" s="82" t="s">
        <v>4236</v>
      </c>
      <c r="B2768" s="83" t="s">
        <v>4492</v>
      </c>
      <c r="C2768" s="83"/>
      <c r="D2768" s="83"/>
      <c r="E2768" s="83" t="s">
        <v>4228</v>
      </c>
      <c r="F2768" s="82" t="s">
        <v>78</v>
      </c>
      <c r="G2768" s="82">
        <v>1</v>
      </c>
      <c r="H2768" s="82">
        <v>4720</v>
      </c>
      <c r="I2768" s="138">
        <f>H2768*G2768</f>
        <v>4720</v>
      </c>
      <c r="J2768" s="82"/>
      <c r="K2768" s="83"/>
    </row>
    <row r="2769" spans="1:11" ht="15" customHeight="1" x14ac:dyDescent="0.25">
      <c r="A2769" s="82" t="s">
        <v>4236</v>
      </c>
      <c r="B2769" s="83" t="s">
        <v>4493</v>
      </c>
      <c r="C2769" s="83"/>
      <c r="D2769" s="83"/>
      <c r="E2769" s="83" t="s">
        <v>4228</v>
      </c>
      <c r="F2769" s="82" t="s">
        <v>78</v>
      </c>
      <c r="G2769" s="82">
        <v>1</v>
      </c>
      <c r="H2769" s="82">
        <v>760</v>
      </c>
      <c r="I2769" s="138">
        <f>H2769*G2769</f>
        <v>760</v>
      </c>
      <c r="J2769" s="82"/>
      <c r="K2769" s="83"/>
    </row>
    <row r="2770" spans="1:11" ht="15" customHeight="1" x14ac:dyDescent="0.25">
      <c r="A2770" s="80" t="s">
        <v>4547</v>
      </c>
      <c r="B2770" s="80" t="s">
        <v>4548</v>
      </c>
      <c r="C2770" s="80"/>
      <c r="D2770" s="80"/>
      <c r="E2770" s="80"/>
      <c r="F2770" s="80"/>
      <c r="G2770" s="81"/>
      <c r="H2770" s="80"/>
      <c r="I2770" s="137"/>
      <c r="J2770" s="80"/>
      <c r="K2770" s="80"/>
    </row>
    <row r="2771" spans="1:11" ht="27" customHeight="1" x14ac:dyDescent="0.25">
      <c r="A2771" s="82" t="s">
        <v>4310</v>
      </c>
      <c r="B2771" s="83" t="s">
        <v>4311</v>
      </c>
      <c r="C2771" s="83" t="s">
        <v>4312</v>
      </c>
      <c r="D2771" s="83"/>
      <c r="E2771" s="83" t="s">
        <v>4228</v>
      </c>
      <c r="F2771" s="82" t="s">
        <v>78</v>
      </c>
      <c r="G2771" s="82">
        <v>1</v>
      </c>
      <c r="H2771" s="82"/>
      <c r="I2771" s="138">
        <f t="shared" ref="I2771:I2779" si="112">H2771*G2771</f>
        <v>0</v>
      </c>
      <c r="J2771" s="82"/>
      <c r="K2771" s="83"/>
    </row>
    <row r="2772" spans="1:11" ht="27" customHeight="1" x14ac:dyDescent="0.25">
      <c r="A2772" s="82" t="s">
        <v>4242</v>
      </c>
      <c r="B2772" s="83" t="s">
        <v>4313</v>
      </c>
      <c r="C2772" s="83" t="s">
        <v>4282</v>
      </c>
      <c r="D2772" s="83"/>
      <c r="E2772" s="83" t="s">
        <v>4228</v>
      </c>
      <c r="F2772" s="82" t="s">
        <v>78</v>
      </c>
      <c r="G2772" s="82">
        <v>2</v>
      </c>
      <c r="H2772" s="82">
        <v>1950</v>
      </c>
      <c r="I2772" s="138">
        <f t="shared" si="112"/>
        <v>3900</v>
      </c>
      <c r="J2772" s="82"/>
      <c r="K2772" s="83" t="s">
        <v>4246</v>
      </c>
    </row>
    <row r="2773" spans="1:11" ht="27" customHeight="1" x14ac:dyDescent="0.25">
      <c r="A2773" s="82" t="s">
        <v>4549</v>
      </c>
      <c r="B2773" s="83" t="s">
        <v>4550</v>
      </c>
      <c r="C2773" s="83"/>
      <c r="D2773" s="83"/>
      <c r="E2773" s="83" t="s">
        <v>4228</v>
      </c>
      <c r="F2773" s="82" t="s">
        <v>78</v>
      </c>
      <c r="G2773" s="82">
        <v>23</v>
      </c>
      <c r="H2773" s="82"/>
      <c r="I2773" s="138">
        <f t="shared" si="112"/>
        <v>0</v>
      </c>
      <c r="J2773" s="82"/>
      <c r="K2773" s="83"/>
    </row>
    <row r="2774" spans="1:11" ht="27" customHeight="1" x14ac:dyDescent="0.25">
      <c r="A2774" s="82" t="s">
        <v>4551</v>
      </c>
      <c r="B2774" s="83" t="s">
        <v>4552</v>
      </c>
      <c r="C2774" s="83"/>
      <c r="D2774" s="83"/>
      <c r="E2774" s="83" t="s">
        <v>4228</v>
      </c>
      <c r="F2774" s="82" t="s">
        <v>78</v>
      </c>
      <c r="G2774" s="82">
        <v>2</v>
      </c>
      <c r="H2774" s="82"/>
      <c r="I2774" s="138">
        <f t="shared" si="112"/>
        <v>0</v>
      </c>
      <c r="J2774" s="82"/>
      <c r="K2774" s="83"/>
    </row>
    <row r="2775" spans="1:11" ht="27" customHeight="1" x14ac:dyDescent="0.25">
      <c r="A2775" s="82" t="s">
        <v>4553</v>
      </c>
      <c r="B2775" s="83" t="s">
        <v>4554</v>
      </c>
      <c r="C2775" s="83"/>
      <c r="D2775" s="83"/>
      <c r="E2775" s="83" t="s">
        <v>4228</v>
      </c>
      <c r="F2775" s="82" t="s">
        <v>78</v>
      </c>
      <c r="G2775" s="82">
        <v>1</v>
      </c>
      <c r="H2775" s="82"/>
      <c r="I2775" s="138">
        <f t="shared" si="112"/>
        <v>0</v>
      </c>
      <c r="J2775" s="82"/>
      <c r="K2775" s="83"/>
    </row>
    <row r="2776" spans="1:11" ht="39" customHeight="1" x14ac:dyDescent="0.25">
      <c r="A2776" s="82" t="s">
        <v>4486</v>
      </c>
      <c r="B2776" s="83" t="s">
        <v>4487</v>
      </c>
      <c r="C2776" s="83"/>
      <c r="D2776" s="83"/>
      <c r="E2776" s="83" t="s">
        <v>4228</v>
      </c>
      <c r="F2776" s="82" t="s">
        <v>78</v>
      </c>
      <c r="G2776" s="82">
        <v>2</v>
      </c>
      <c r="H2776" s="82">
        <v>9600</v>
      </c>
      <c r="I2776" s="138">
        <f t="shared" si="112"/>
        <v>19200</v>
      </c>
      <c r="J2776" s="82"/>
      <c r="K2776" s="83"/>
    </row>
    <row r="2777" spans="1:11" ht="15" customHeight="1" x14ac:dyDescent="0.25">
      <c r="A2777" s="82" t="s">
        <v>4236</v>
      </c>
      <c r="B2777" s="83" t="s">
        <v>4343</v>
      </c>
      <c r="C2777" s="83"/>
      <c r="D2777" s="83"/>
      <c r="E2777" s="83" t="s">
        <v>4228</v>
      </c>
      <c r="F2777" s="82" t="s">
        <v>78</v>
      </c>
      <c r="G2777" s="82">
        <v>4</v>
      </c>
      <c r="H2777" s="82">
        <v>1570</v>
      </c>
      <c r="I2777" s="138">
        <f t="shared" si="112"/>
        <v>6280</v>
      </c>
      <c r="J2777" s="82"/>
      <c r="K2777" s="83"/>
    </row>
    <row r="2778" spans="1:11" ht="39" customHeight="1" x14ac:dyDescent="0.25">
      <c r="A2778" s="82" t="s">
        <v>4477</v>
      </c>
      <c r="B2778" s="83" t="s">
        <v>4478</v>
      </c>
      <c r="C2778" s="83" t="s">
        <v>4479</v>
      </c>
      <c r="D2778" s="83"/>
      <c r="E2778" s="83" t="s">
        <v>4228</v>
      </c>
      <c r="F2778" s="82" t="s">
        <v>78</v>
      </c>
      <c r="G2778" s="82">
        <v>1</v>
      </c>
      <c r="H2778" s="82">
        <v>33000</v>
      </c>
      <c r="I2778" s="138">
        <f t="shared" si="112"/>
        <v>33000</v>
      </c>
      <c r="J2778" s="82"/>
      <c r="K2778" s="83"/>
    </row>
    <row r="2779" spans="1:11" ht="15" customHeight="1" x14ac:dyDescent="0.25">
      <c r="A2779" s="82" t="s">
        <v>4236</v>
      </c>
      <c r="B2779" s="83" t="s">
        <v>4334</v>
      </c>
      <c r="C2779" s="83"/>
      <c r="D2779" s="83"/>
      <c r="E2779" s="83" t="s">
        <v>4228</v>
      </c>
      <c r="F2779" s="82" t="s">
        <v>78</v>
      </c>
      <c r="G2779" s="82">
        <v>1</v>
      </c>
      <c r="H2779" s="82">
        <v>4500</v>
      </c>
      <c r="I2779" s="138">
        <f t="shared" si="112"/>
        <v>4500</v>
      </c>
      <c r="J2779" s="82"/>
      <c r="K2779" s="83"/>
    </row>
    <row r="2780" spans="1:11" ht="15" customHeight="1" x14ac:dyDescent="0.25">
      <c r="A2780" s="80" t="s">
        <v>4555</v>
      </c>
      <c r="B2780" s="80" t="s">
        <v>4556</v>
      </c>
      <c r="C2780" s="80"/>
      <c r="D2780" s="80"/>
      <c r="E2780" s="80"/>
      <c r="F2780" s="80"/>
      <c r="G2780" s="81"/>
      <c r="H2780" s="80"/>
      <c r="I2780" s="137"/>
      <c r="J2780" s="80"/>
      <c r="K2780" s="80"/>
    </row>
    <row r="2781" spans="1:11" ht="39" customHeight="1" x14ac:dyDescent="0.25">
      <c r="A2781" s="82" t="s">
        <v>4236</v>
      </c>
      <c r="B2781" s="83" t="s">
        <v>4497</v>
      </c>
      <c r="C2781" s="83"/>
      <c r="D2781" s="83"/>
      <c r="E2781" s="83" t="s">
        <v>4228</v>
      </c>
      <c r="F2781" s="82" t="s">
        <v>47</v>
      </c>
      <c r="G2781" s="82">
        <v>5</v>
      </c>
      <c r="H2781" s="82"/>
      <c r="I2781" s="138">
        <f>H2781*G2781</f>
        <v>0</v>
      </c>
      <c r="J2781" s="82"/>
      <c r="K2781" s="83"/>
    </row>
    <row r="2782" spans="1:11" ht="15" customHeight="1" x14ac:dyDescent="0.25">
      <c r="A2782" s="80" t="s">
        <v>4557</v>
      </c>
      <c r="B2782" s="80" t="s">
        <v>4558</v>
      </c>
      <c r="C2782" s="80"/>
      <c r="D2782" s="80"/>
      <c r="E2782" s="80"/>
      <c r="F2782" s="80"/>
      <c r="G2782" s="81"/>
      <c r="H2782" s="80"/>
      <c r="I2782" s="137"/>
      <c r="J2782" s="80"/>
      <c r="K2782" s="80"/>
    </row>
    <row r="2783" spans="1:11" ht="15" customHeight="1" x14ac:dyDescent="0.25">
      <c r="A2783" s="80" t="s">
        <v>4559</v>
      </c>
      <c r="B2783" s="80" t="s">
        <v>4560</v>
      </c>
      <c r="C2783" s="80"/>
      <c r="D2783" s="80"/>
      <c r="E2783" s="80"/>
      <c r="F2783" s="80"/>
      <c r="G2783" s="81"/>
      <c r="H2783" s="80"/>
      <c r="I2783" s="137"/>
      <c r="J2783" s="80"/>
      <c r="K2783" s="80"/>
    </row>
    <row r="2784" spans="1:11" ht="15" customHeight="1" x14ac:dyDescent="0.25">
      <c r="A2784" s="82" t="s">
        <v>4236</v>
      </c>
      <c r="B2784" s="83" t="s">
        <v>4334</v>
      </c>
      <c r="C2784" s="83"/>
      <c r="D2784" s="83"/>
      <c r="E2784" s="83" t="s">
        <v>4228</v>
      </c>
      <c r="F2784" s="82" t="s">
        <v>78</v>
      </c>
      <c r="G2784" s="82">
        <v>1</v>
      </c>
      <c r="H2784" s="82">
        <v>4500</v>
      </c>
      <c r="I2784" s="138">
        <f>H2784*G2784</f>
        <v>4500</v>
      </c>
      <c r="J2784" s="82"/>
      <c r="K2784" s="83"/>
    </row>
    <row r="2785" spans="1:11" ht="15" customHeight="1" x14ac:dyDescent="0.25">
      <c r="A2785" s="82" t="s">
        <v>4236</v>
      </c>
      <c r="B2785" s="83" t="s">
        <v>4492</v>
      </c>
      <c r="C2785" s="83"/>
      <c r="D2785" s="83"/>
      <c r="E2785" s="83" t="s">
        <v>4228</v>
      </c>
      <c r="F2785" s="82" t="s">
        <v>78</v>
      </c>
      <c r="G2785" s="82">
        <v>1</v>
      </c>
      <c r="H2785" s="82">
        <v>4720</v>
      </c>
      <c r="I2785" s="138">
        <f>H2785*G2785</f>
        <v>4720</v>
      </c>
      <c r="J2785" s="82"/>
      <c r="K2785" s="83"/>
    </row>
    <row r="2786" spans="1:11" ht="15" customHeight="1" x14ac:dyDescent="0.25">
      <c r="A2786" s="82" t="s">
        <v>4236</v>
      </c>
      <c r="B2786" s="83" t="s">
        <v>4389</v>
      </c>
      <c r="C2786" s="83"/>
      <c r="D2786" s="83"/>
      <c r="E2786" s="83" t="s">
        <v>4228</v>
      </c>
      <c r="F2786" s="82" t="s">
        <v>78</v>
      </c>
      <c r="G2786" s="82">
        <v>1</v>
      </c>
      <c r="H2786" s="82">
        <v>4090</v>
      </c>
      <c r="I2786" s="138">
        <f>H2786*G2786</f>
        <v>4090</v>
      </c>
      <c r="J2786" s="82"/>
      <c r="K2786" s="83"/>
    </row>
    <row r="2787" spans="1:11" ht="15" customHeight="1" x14ac:dyDescent="0.25">
      <c r="A2787" s="82" t="s">
        <v>4236</v>
      </c>
      <c r="B2787" s="83" t="s">
        <v>4493</v>
      </c>
      <c r="C2787" s="83"/>
      <c r="D2787" s="83"/>
      <c r="E2787" s="83" t="s">
        <v>4228</v>
      </c>
      <c r="F2787" s="82" t="s">
        <v>78</v>
      </c>
      <c r="G2787" s="82">
        <v>1</v>
      </c>
      <c r="H2787" s="82">
        <v>760</v>
      </c>
      <c r="I2787" s="138">
        <f>H2787*G2787</f>
        <v>760</v>
      </c>
      <c r="J2787" s="82"/>
      <c r="K2787" s="83"/>
    </row>
    <row r="2788" spans="1:11" ht="15" customHeight="1" x14ac:dyDescent="0.25">
      <c r="A2788" s="82" t="s">
        <v>4236</v>
      </c>
      <c r="B2788" s="83" t="s">
        <v>4494</v>
      </c>
      <c r="C2788" s="83"/>
      <c r="D2788" s="83"/>
      <c r="E2788" s="83" t="s">
        <v>4228</v>
      </c>
      <c r="F2788" s="82" t="s">
        <v>78</v>
      </c>
      <c r="G2788" s="82">
        <v>1</v>
      </c>
      <c r="H2788" s="82">
        <v>3270</v>
      </c>
      <c r="I2788" s="138">
        <f>H2788*G2788</f>
        <v>3270</v>
      </c>
      <c r="J2788" s="82"/>
      <c r="K2788" s="83"/>
    </row>
    <row r="2789" spans="1:11" ht="15" customHeight="1" x14ac:dyDescent="0.25">
      <c r="A2789" s="80" t="s">
        <v>4561</v>
      </c>
      <c r="B2789" s="80" t="s">
        <v>4562</v>
      </c>
      <c r="C2789" s="80"/>
      <c r="D2789" s="80"/>
      <c r="E2789" s="80"/>
      <c r="F2789" s="80"/>
      <c r="G2789" s="81"/>
      <c r="H2789" s="80"/>
      <c r="I2789" s="137"/>
      <c r="J2789" s="80"/>
      <c r="K2789" s="80"/>
    </row>
    <row r="2790" spans="1:11" ht="27" customHeight="1" x14ac:dyDescent="0.25">
      <c r="A2790" s="82" t="s">
        <v>4257</v>
      </c>
      <c r="B2790" s="83" t="s">
        <v>4258</v>
      </c>
      <c r="C2790" s="83"/>
      <c r="D2790" s="83"/>
      <c r="E2790" s="83" t="s">
        <v>4228</v>
      </c>
      <c r="F2790" s="82" t="s">
        <v>78</v>
      </c>
      <c r="G2790" s="82">
        <v>2</v>
      </c>
      <c r="H2790" s="82"/>
      <c r="I2790" s="138">
        <f>H2790*G2790</f>
        <v>0</v>
      </c>
      <c r="J2790" s="82"/>
      <c r="K2790" s="83"/>
    </row>
    <row r="2791" spans="1:11" ht="15" customHeight="1" x14ac:dyDescent="0.25">
      <c r="A2791" s="80" t="s">
        <v>4563</v>
      </c>
      <c r="B2791" s="80" t="s">
        <v>4564</v>
      </c>
      <c r="C2791" s="80"/>
      <c r="D2791" s="80"/>
      <c r="E2791" s="80"/>
      <c r="F2791" s="80"/>
      <c r="G2791" s="81"/>
      <c r="H2791" s="80"/>
      <c r="I2791" s="137"/>
      <c r="J2791" s="80"/>
      <c r="K2791" s="80"/>
    </row>
    <row r="2792" spans="1:11" ht="75" customHeight="1" x14ac:dyDescent="0.25">
      <c r="A2792" s="82" t="s">
        <v>4565</v>
      </c>
      <c r="B2792" s="83" t="s">
        <v>4566</v>
      </c>
      <c r="C2792" s="83" t="s">
        <v>4567</v>
      </c>
      <c r="D2792" s="83"/>
      <c r="E2792" s="83" t="s">
        <v>4228</v>
      </c>
      <c r="F2792" s="82" t="s">
        <v>78</v>
      </c>
      <c r="G2792" s="82">
        <v>1</v>
      </c>
      <c r="H2792" s="82"/>
      <c r="I2792" s="138">
        <f t="shared" ref="I2792:I2800" si="113">H2792*G2792</f>
        <v>0</v>
      </c>
      <c r="J2792" s="82" t="s">
        <v>4568</v>
      </c>
      <c r="K2792" s="83" t="s">
        <v>4569</v>
      </c>
    </row>
    <row r="2793" spans="1:11" ht="15" customHeight="1" x14ac:dyDescent="0.25">
      <c r="A2793" s="82" t="s">
        <v>4236</v>
      </c>
      <c r="B2793" s="83" t="s">
        <v>4570</v>
      </c>
      <c r="C2793" s="83"/>
      <c r="D2793" s="83"/>
      <c r="E2793" s="83" t="s">
        <v>4228</v>
      </c>
      <c r="F2793" s="82" t="s">
        <v>576</v>
      </c>
      <c r="G2793" s="82">
        <v>4.5</v>
      </c>
      <c r="H2793" s="82"/>
      <c r="I2793" s="138">
        <f t="shared" si="113"/>
        <v>0</v>
      </c>
      <c r="J2793" s="82"/>
      <c r="K2793" s="83"/>
    </row>
    <row r="2794" spans="1:11" ht="15" customHeight="1" x14ac:dyDescent="0.25">
      <c r="A2794" s="82" t="s">
        <v>4236</v>
      </c>
      <c r="B2794" s="83" t="s">
        <v>4571</v>
      </c>
      <c r="C2794" s="83"/>
      <c r="D2794" s="83"/>
      <c r="E2794" s="83" t="s">
        <v>4228</v>
      </c>
      <c r="F2794" s="82" t="s">
        <v>47</v>
      </c>
      <c r="G2794" s="82">
        <v>1</v>
      </c>
      <c r="H2794" s="82">
        <v>1000</v>
      </c>
      <c r="I2794" s="138">
        <f t="shared" si="113"/>
        <v>1000</v>
      </c>
      <c r="J2794" s="82" t="s">
        <v>4519</v>
      </c>
      <c r="K2794" s="83"/>
    </row>
    <row r="2795" spans="1:11" ht="15" customHeight="1" x14ac:dyDescent="0.25">
      <c r="A2795" s="82" t="s">
        <v>4236</v>
      </c>
      <c r="B2795" s="83" t="s">
        <v>4572</v>
      </c>
      <c r="C2795" s="83"/>
      <c r="D2795" s="83"/>
      <c r="E2795" s="83" t="s">
        <v>4228</v>
      </c>
      <c r="F2795" s="82" t="s">
        <v>78</v>
      </c>
      <c r="G2795" s="82">
        <v>1</v>
      </c>
      <c r="H2795" s="82"/>
      <c r="I2795" s="138">
        <f t="shared" si="113"/>
        <v>0</v>
      </c>
      <c r="J2795" s="82"/>
      <c r="K2795" s="83"/>
    </row>
    <row r="2796" spans="1:11" ht="15" customHeight="1" x14ac:dyDescent="0.25">
      <c r="A2796" s="82" t="s">
        <v>4236</v>
      </c>
      <c r="B2796" s="83" t="s">
        <v>4573</v>
      </c>
      <c r="C2796" s="83"/>
      <c r="D2796" s="83"/>
      <c r="E2796" s="83" t="s">
        <v>4228</v>
      </c>
      <c r="F2796" s="82" t="s">
        <v>78</v>
      </c>
      <c r="G2796" s="82">
        <v>1</v>
      </c>
      <c r="H2796" s="82"/>
      <c r="I2796" s="138">
        <f t="shared" si="113"/>
        <v>0</v>
      </c>
      <c r="J2796" s="82"/>
      <c r="K2796" s="83"/>
    </row>
    <row r="2797" spans="1:11" ht="15" customHeight="1" x14ac:dyDescent="0.25">
      <c r="A2797" s="82" t="s">
        <v>4236</v>
      </c>
      <c r="B2797" s="83" t="s">
        <v>4574</v>
      </c>
      <c r="C2797" s="83"/>
      <c r="D2797" s="83"/>
      <c r="E2797" s="83" t="s">
        <v>4228</v>
      </c>
      <c r="F2797" s="82" t="s">
        <v>47</v>
      </c>
      <c r="G2797" s="82">
        <v>1</v>
      </c>
      <c r="H2797" s="82"/>
      <c r="I2797" s="138">
        <f t="shared" si="113"/>
        <v>0</v>
      </c>
      <c r="J2797" s="82"/>
      <c r="K2797" s="83"/>
    </row>
    <row r="2798" spans="1:11" ht="15" customHeight="1" x14ac:dyDescent="0.25">
      <c r="A2798" s="82" t="s">
        <v>4236</v>
      </c>
      <c r="B2798" s="83" t="s">
        <v>4575</v>
      </c>
      <c r="C2798" s="83"/>
      <c r="D2798" s="83"/>
      <c r="E2798" s="83" t="s">
        <v>4228</v>
      </c>
      <c r="F2798" s="82" t="s">
        <v>78</v>
      </c>
      <c r="G2798" s="82">
        <v>1</v>
      </c>
      <c r="H2798" s="82">
        <v>500</v>
      </c>
      <c r="I2798" s="138">
        <f t="shared" si="113"/>
        <v>500</v>
      </c>
      <c r="J2798" s="82"/>
      <c r="K2798" s="83"/>
    </row>
    <row r="2799" spans="1:11" ht="15" customHeight="1" x14ac:dyDescent="0.25">
      <c r="A2799" s="82" t="s">
        <v>4236</v>
      </c>
      <c r="B2799" s="83" t="s">
        <v>4576</v>
      </c>
      <c r="C2799" s="83"/>
      <c r="D2799" s="83"/>
      <c r="E2799" s="83" t="s">
        <v>4228</v>
      </c>
      <c r="F2799" s="82" t="s">
        <v>78</v>
      </c>
      <c r="G2799" s="82">
        <v>1</v>
      </c>
      <c r="H2799" s="82"/>
      <c r="I2799" s="138">
        <f t="shared" si="113"/>
        <v>0</v>
      </c>
      <c r="J2799" s="82"/>
      <c r="K2799" s="83"/>
    </row>
    <row r="2800" spans="1:11" ht="15" customHeight="1" x14ac:dyDescent="0.25">
      <c r="A2800" s="82" t="s">
        <v>4577</v>
      </c>
      <c r="B2800" s="83" t="s">
        <v>4578</v>
      </c>
      <c r="C2800" s="83" t="s">
        <v>4579</v>
      </c>
      <c r="D2800" s="83"/>
      <c r="E2800" s="83" t="s">
        <v>4228</v>
      </c>
      <c r="F2800" s="82" t="s">
        <v>78</v>
      </c>
      <c r="G2800" s="82">
        <v>4</v>
      </c>
      <c r="H2800" s="82"/>
      <c r="I2800" s="138">
        <f t="shared" si="113"/>
        <v>0</v>
      </c>
      <c r="J2800" s="82"/>
      <c r="K2800" s="83"/>
    </row>
    <row r="2801" spans="1:11" ht="15" customHeight="1" x14ac:dyDescent="0.25">
      <c r="A2801" s="80" t="s">
        <v>4580</v>
      </c>
      <c r="B2801" s="80" t="s">
        <v>4581</v>
      </c>
      <c r="C2801" s="80"/>
      <c r="D2801" s="80"/>
      <c r="E2801" s="80"/>
      <c r="F2801" s="80"/>
      <c r="G2801" s="81"/>
      <c r="H2801" s="80"/>
      <c r="I2801" s="137"/>
      <c r="J2801" s="80"/>
      <c r="K2801" s="80"/>
    </row>
    <row r="2802" spans="1:11" ht="27" customHeight="1" x14ac:dyDescent="0.25">
      <c r="A2802" s="82" t="s">
        <v>4310</v>
      </c>
      <c r="B2802" s="83" t="s">
        <v>4311</v>
      </c>
      <c r="C2802" s="83" t="s">
        <v>4312</v>
      </c>
      <c r="D2802" s="83"/>
      <c r="E2802" s="83" t="s">
        <v>4228</v>
      </c>
      <c r="F2802" s="82" t="s">
        <v>78</v>
      </c>
      <c r="G2802" s="82">
        <v>1</v>
      </c>
      <c r="H2802" s="82"/>
      <c r="I2802" s="138">
        <f t="shared" ref="I2802:I2810" si="114">H2802*G2802</f>
        <v>0</v>
      </c>
      <c r="J2802" s="82"/>
      <c r="K2802" s="83"/>
    </row>
    <row r="2803" spans="1:11" ht="27" customHeight="1" x14ac:dyDescent="0.25">
      <c r="A2803" s="82" t="s">
        <v>4242</v>
      </c>
      <c r="B2803" s="83" t="s">
        <v>4313</v>
      </c>
      <c r="C2803" s="83" t="s">
        <v>4282</v>
      </c>
      <c r="D2803" s="83"/>
      <c r="E2803" s="83" t="s">
        <v>4228</v>
      </c>
      <c r="F2803" s="82" t="s">
        <v>78</v>
      </c>
      <c r="G2803" s="82">
        <v>2</v>
      </c>
      <c r="H2803" s="82">
        <v>1950</v>
      </c>
      <c r="I2803" s="138">
        <f t="shared" si="114"/>
        <v>3900</v>
      </c>
      <c r="J2803" s="82"/>
      <c r="K2803" s="83" t="s">
        <v>4246</v>
      </c>
    </row>
    <row r="2804" spans="1:11" ht="27" customHeight="1" x14ac:dyDescent="0.25">
      <c r="A2804" s="82" t="s">
        <v>4549</v>
      </c>
      <c r="B2804" s="83" t="s">
        <v>4550</v>
      </c>
      <c r="C2804" s="83"/>
      <c r="D2804" s="83"/>
      <c r="E2804" s="83" t="s">
        <v>4228</v>
      </c>
      <c r="F2804" s="82" t="s">
        <v>78</v>
      </c>
      <c r="G2804" s="82">
        <v>23</v>
      </c>
      <c r="H2804" s="82"/>
      <c r="I2804" s="138">
        <f t="shared" si="114"/>
        <v>0</v>
      </c>
      <c r="J2804" s="82"/>
      <c r="K2804" s="83"/>
    </row>
    <row r="2805" spans="1:11" ht="27" customHeight="1" x14ac:dyDescent="0.25">
      <c r="A2805" s="82" t="s">
        <v>4551</v>
      </c>
      <c r="B2805" s="83" t="s">
        <v>4552</v>
      </c>
      <c r="C2805" s="83"/>
      <c r="D2805" s="83"/>
      <c r="E2805" s="83" t="s">
        <v>4228</v>
      </c>
      <c r="F2805" s="82" t="s">
        <v>78</v>
      </c>
      <c r="G2805" s="82">
        <v>2</v>
      </c>
      <c r="H2805" s="82"/>
      <c r="I2805" s="138">
        <f t="shared" si="114"/>
        <v>0</v>
      </c>
      <c r="J2805" s="82"/>
      <c r="K2805" s="83"/>
    </row>
    <row r="2806" spans="1:11" ht="27" customHeight="1" x14ac:dyDescent="0.25">
      <c r="A2806" s="82" t="s">
        <v>4553</v>
      </c>
      <c r="B2806" s="83" t="s">
        <v>4554</v>
      </c>
      <c r="C2806" s="83"/>
      <c r="D2806" s="83"/>
      <c r="E2806" s="83" t="s">
        <v>4228</v>
      </c>
      <c r="F2806" s="82" t="s">
        <v>78</v>
      </c>
      <c r="G2806" s="82">
        <v>1</v>
      </c>
      <c r="H2806" s="82"/>
      <c r="I2806" s="138">
        <f t="shared" si="114"/>
        <v>0</v>
      </c>
      <c r="J2806" s="82"/>
      <c r="K2806" s="83"/>
    </row>
    <row r="2807" spans="1:11" ht="39" customHeight="1" x14ac:dyDescent="0.25">
      <c r="A2807" s="82" t="s">
        <v>4477</v>
      </c>
      <c r="B2807" s="83" t="s">
        <v>4478</v>
      </c>
      <c r="C2807" s="83" t="s">
        <v>4479</v>
      </c>
      <c r="D2807" s="83"/>
      <c r="E2807" s="83" t="s">
        <v>4228</v>
      </c>
      <c r="F2807" s="82" t="s">
        <v>78</v>
      </c>
      <c r="G2807" s="82">
        <v>1</v>
      </c>
      <c r="H2807" s="82">
        <v>33000</v>
      </c>
      <c r="I2807" s="138">
        <f t="shared" si="114"/>
        <v>33000</v>
      </c>
      <c r="J2807" s="82"/>
      <c r="K2807" s="83"/>
    </row>
    <row r="2808" spans="1:11" ht="39" customHeight="1" x14ac:dyDescent="0.25">
      <c r="A2808" s="82" t="s">
        <v>4486</v>
      </c>
      <c r="B2808" s="83" t="s">
        <v>4487</v>
      </c>
      <c r="C2808" s="83"/>
      <c r="D2808" s="83"/>
      <c r="E2808" s="83" t="s">
        <v>4228</v>
      </c>
      <c r="F2808" s="82" t="s">
        <v>78</v>
      </c>
      <c r="G2808" s="82">
        <v>2</v>
      </c>
      <c r="H2808" s="82">
        <v>9600</v>
      </c>
      <c r="I2808" s="138">
        <f t="shared" si="114"/>
        <v>19200</v>
      </c>
      <c r="J2808" s="82"/>
      <c r="K2808" s="83"/>
    </row>
    <row r="2809" spans="1:11" ht="15" customHeight="1" x14ac:dyDescent="0.25">
      <c r="A2809" s="82" t="s">
        <v>4236</v>
      </c>
      <c r="B2809" s="83" t="s">
        <v>4343</v>
      </c>
      <c r="C2809" s="83"/>
      <c r="D2809" s="83"/>
      <c r="E2809" s="83" t="s">
        <v>4228</v>
      </c>
      <c r="F2809" s="82" t="s">
        <v>78</v>
      </c>
      <c r="G2809" s="82">
        <v>4</v>
      </c>
      <c r="H2809" s="82">
        <v>1570</v>
      </c>
      <c r="I2809" s="138">
        <f t="shared" si="114"/>
        <v>6280</v>
      </c>
      <c r="J2809" s="82"/>
      <c r="K2809" s="83"/>
    </row>
    <row r="2810" spans="1:11" ht="15" customHeight="1" x14ac:dyDescent="0.25">
      <c r="A2810" s="82" t="s">
        <v>4236</v>
      </c>
      <c r="B2810" s="83" t="s">
        <v>4334</v>
      </c>
      <c r="C2810" s="83"/>
      <c r="D2810" s="83"/>
      <c r="E2810" s="83" t="s">
        <v>4228</v>
      </c>
      <c r="F2810" s="82" t="s">
        <v>78</v>
      </c>
      <c r="G2810" s="82">
        <v>2</v>
      </c>
      <c r="H2810" s="82">
        <v>4500</v>
      </c>
      <c r="I2810" s="138">
        <f t="shared" si="114"/>
        <v>9000</v>
      </c>
      <c r="J2810" s="82"/>
      <c r="K2810" s="83"/>
    </row>
    <row r="2811" spans="1:11" ht="15" customHeight="1" x14ac:dyDescent="0.25">
      <c r="A2811" s="80" t="s">
        <v>4582</v>
      </c>
      <c r="B2811" s="80" t="s">
        <v>4583</v>
      </c>
      <c r="C2811" s="80"/>
      <c r="D2811" s="80"/>
      <c r="E2811" s="80"/>
      <c r="F2811" s="80"/>
      <c r="G2811" s="81"/>
      <c r="H2811" s="80"/>
      <c r="I2811" s="137"/>
      <c r="J2811" s="80"/>
      <c r="K2811" s="80"/>
    </row>
    <row r="2812" spans="1:11" ht="39" customHeight="1" x14ac:dyDescent="0.25">
      <c r="A2812" s="82" t="s">
        <v>4236</v>
      </c>
      <c r="B2812" s="83" t="s">
        <v>4497</v>
      </c>
      <c r="C2812" s="83"/>
      <c r="D2812" s="83"/>
      <c r="E2812" s="83" t="s">
        <v>4228</v>
      </c>
      <c r="F2812" s="82" t="s">
        <v>47</v>
      </c>
      <c r="G2812" s="82">
        <v>5</v>
      </c>
      <c r="H2812" s="82"/>
      <c r="I2812" s="138">
        <f>H2812*G2812</f>
        <v>0</v>
      </c>
      <c r="J2812" s="82"/>
      <c r="K2812" s="83"/>
    </row>
    <row r="2813" spans="1:11" ht="15" customHeight="1" x14ac:dyDescent="0.25">
      <c r="A2813" s="80" t="s">
        <v>4584</v>
      </c>
      <c r="B2813" s="80" t="s">
        <v>4558</v>
      </c>
      <c r="C2813" s="80"/>
      <c r="D2813" s="80"/>
      <c r="E2813" s="80"/>
      <c r="F2813" s="80"/>
      <c r="G2813" s="81"/>
      <c r="H2813" s="80"/>
      <c r="I2813" s="137"/>
      <c r="J2813" s="80"/>
      <c r="K2813" s="80"/>
    </row>
    <row r="2814" spans="1:11" ht="15" customHeight="1" x14ac:dyDescent="0.25">
      <c r="A2814" s="80" t="s">
        <v>4585</v>
      </c>
      <c r="B2814" s="80" t="s">
        <v>4586</v>
      </c>
      <c r="C2814" s="80"/>
      <c r="D2814" s="80"/>
      <c r="E2814" s="80"/>
      <c r="F2814" s="80"/>
      <c r="G2814" s="81"/>
      <c r="H2814" s="80"/>
      <c r="I2814" s="137"/>
      <c r="J2814" s="80"/>
      <c r="K2814" s="80"/>
    </row>
    <row r="2815" spans="1:11" ht="15" customHeight="1" x14ac:dyDescent="0.25">
      <c r="A2815" s="82" t="s">
        <v>4236</v>
      </c>
      <c r="B2815" s="83" t="s">
        <v>4334</v>
      </c>
      <c r="C2815" s="83"/>
      <c r="D2815" s="83"/>
      <c r="E2815" s="83" t="s">
        <v>4228</v>
      </c>
      <c r="F2815" s="82" t="s">
        <v>78</v>
      </c>
      <c r="G2815" s="82">
        <v>1</v>
      </c>
      <c r="H2815" s="82">
        <v>4500</v>
      </c>
      <c r="I2815" s="138">
        <f>H2815*G2815</f>
        <v>4500</v>
      </c>
      <c r="J2815" s="82"/>
      <c r="K2815" s="83"/>
    </row>
    <row r="2816" spans="1:11" ht="15" customHeight="1" x14ac:dyDescent="0.25">
      <c r="A2816" s="82" t="s">
        <v>4236</v>
      </c>
      <c r="B2816" s="83" t="s">
        <v>4492</v>
      </c>
      <c r="C2816" s="83"/>
      <c r="D2816" s="83"/>
      <c r="E2816" s="83" t="s">
        <v>4228</v>
      </c>
      <c r="F2816" s="82" t="s">
        <v>78</v>
      </c>
      <c r="G2816" s="82">
        <v>1</v>
      </c>
      <c r="H2816" s="82">
        <v>4720</v>
      </c>
      <c r="I2816" s="138">
        <f>H2816*G2816</f>
        <v>4720</v>
      </c>
      <c r="J2816" s="82"/>
      <c r="K2816" s="83"/>
    </row>
    <row r="2817" spans="1:11" ht="15" customHeight="1" x14ac:dyDescent="0.25">
      <c r="A2817" s="82" t="s">
        <v>4236</v>
      </c>
      <c r="B2817" s="83" t="s">
        <v>4389</v>
      </c>
      <c r="C2817" s="83"/>
      <c r="D2817" s="83"/>
      <c r="E2817" s="83" t="s">
        <v>4228</v>
      </c>
      <c r="F2817" s="82" t="s">
        <v>78</v>
      </c>
      <c r="G2817" s="82">
        <v>1</v>
      </c>
      <c r="H2817" s="82">
        <v>4090</v>
      </c>
      <c r="I2817" s="138">
        <f>H2817*G2817</f>
        <v>4090</v>
      </c>
      <c r="J2817" s="82"/>
      <c r="K2817" s="83"/>
    </row>
    <row r="2818" spans="1:11" ht="15" customHeight="1" x14ac:dyDescent="0.25">
      <c r="A2818" s="82" t="s">
        <v>4236</v>
      </c>
      <c r="B2818" s="83" t="s">
        <v>4493</v>
      </c>
      <c r="C2818" s="83"/>
      <c r="D2818" s="83"/>
      <c r="E2818" s="83" t="s">
        <v>4228</v>
      </c>
      <c r="F2818" s="82" t="s">
        <v>78</v>
      </c>
      <c r="G2818" s="82">
        <v>1</v>
      </c>
      <c r="H2818" s="82">
        <v>760</v>
      </c>
      <c r="I2818" s="138">
        <f>H2818*G2818</f>
        <v>760</v>
      </c>
      <c r="J2818" s="82"/>
      <c r="K2818" s="83"/>
    </row>
    <row r="2819" spans="1:11" ht="15" customHeight="1" x14ac:dyDescent="0.25">
      <c r="A2819" s="82" t="s">
        <v>4236</v>
      </c>
      <c r="B2819" s="83" t="s">
        <v>4494</v>
      </c>
      <c r="C2819" s="83"/>
      <c r="D2819" s="83"/>
      <c r="E2819" s="83" t="s">
        <v>4228</v>
      </c>
      <c r="F2819" s="82" t="s">
        <v>78</v>
      </c>
      <c r="G2819" s="82">
        <v>1</v>
      </c>
      <c r="H2819" s="82">
        <v>3270</v>
      </c>
      <c r="I2819" s="138">
        <f>H2819*G2819</f>
        <v>3270</v>
      </c>
      <c r="J2819" s="82"/>
      <c r="K2819" s="83"/>
    </row>
    <row r="2820" spans="1:11" ht="15" customHeight="1" x14ac:dyDescent="0.25">
      <c r="A2820" s="80" t="s">
        <v>4587</v>
      </c>
      <c r="B2820" s="80" t="s">
        <v>4588</v>
      </c>
      <c r="C2820" s="80"/>
      <c r="D2820" s="80"/>
      <c r="E2820" s="80"/>
      <c r="F2820" s="80"/>
      <c r="G2820" s="81"/>
      <c r="H2820" s="80"/>
      <c r="I2820" s="137"/>
      <c r="J2820" s="80"/>
      <c r="K2820" s="80"/>
    </row>
    <row r="2821" spans="1:11" ht="27" customHeight="1" x14ac:dyDescent="0.25">
      <c r="A2821" s="82" t="s">
        <v>4257</v>
      </c>
      <c r="B2821" s="83" t="s">
        <v>4258</v>
      </c>
      <c r="C2821" s="83"/>
      <c r="D2821" s="83"/>
      <c r="E2821" s="83" t="s">
        <v>4228</v>
      </c>
      <c r="F2821" s="82" t="s">
        <v>78</v>
      </c>
      <c r="G2821" s="82">
        <v>2</v>
      </c>
      <c r="H2821" s="82"/>
      <c r="I2821" s="138">
        <f>H2821*G2821</f>
        <v>0</v>
      </c>
      <c r="J2821" s="82"/>
      <c r="K2821" s="83"/>
    </row>
    <row r="2822" spans="1:11" ht="15" customHeight="1" x14ac:dyDescent="0.25">
      <c r="A2822" s="80" t="s">
        <v>4587</v>
      </c>
      <c r="B2822" s="80" t="s">
        <v>4589</v>
      </c>
      <c r="C2822" s="80"/>
      <c r="D2822" s="80"/>
      <c r="E2822" s="80"/>
      <c r="F2822" s="80"/>
      <c r="G2822" s="81"/>
      <c r="H2822" s="80"/>
      <c r="I2822" s="137"/>
      <c r="J2822" s="80"/>
      <c r="K2822" s="80"/>
    </row>
    <row r="2823" spans="1:11" ht="75" customHeight="1" x14ac:dyDescent="0.25">
      <c r="A2823" s="82" t="s">
        <v>4565</v>
      </c>
      <c r="B2823" s="83" t="s">
        <v>4566</v>
      </c>
      <c r="C2823" s="83" t="s">
        <v>4567</v>
      </c>
      <c r="D2823" s="83"/>
      <c r="E2823" s="83" t="s">
        <v>4228</v>
      </c>
      <c r="F2823" s="82" t="s">
        <v>78</v>
      </c>
      <c r="G2823" s="82">
        <v>1</v>
      </c>
      <c r="H2823" s="82"/>
      <c r="I2823" s="138">
        <f t="shared" ref="I2823:I2831" si="115">H2823*G2823</f>
        <v>0</v>
      </c>
      <c r="J2823" s="82" t="s">
        <v>4568</v>
      </c>
      <c r="K2823" s="83" t="s">
        <v>4590</v>
      </c>
    </row>
    <row r="2824" spans="1:11" ht="15" customHeight="1" x14ac:dyDescent="0.25">
      <c r="A2824" s="82" t="s">
        <v>4236</v>
      </c>
      <c r="B2824" s="83" t="s">
        <v>4570</v>
      </c>
      <c r="C2824" s="83"/>
      <c r="D2824" s="83"/>
      <c r="E2824" s="83" t="s">
        <v>4228</v>
      </c>
      <c r="F2824" s="82" t="s">
        <v>576</v>
      </c>
      <c r="G2824" s="82">
        <v>4.5</v>
      </c>
      <c r="H2824" s="82"/>
      <c r="I2824" s="138">
        <f t="shared" si="115"/>
        <v>0</v>
      </c>
      <c r="J2824" s="82"/>
      <c r="K2824" s="83"/>
    </row>
    <row r="2825" spans="1:11" ht="15" customHeight="1" x14ac:dyDescent="0.25">
      <c r="A2825" s="82" t="s">
        <v>4236</v>
      </c>
      <c r="B2825" s="83" t="s">
        <v>4571</v>
      </c>
      <c r="C2825" s="83"/>
      <c r="D2825" s="83"/>
      <c r="E2825" s="83" t="s">
        <v>4228</v>
      </c>
      <c r="F2825" s="82" t="s">
        <v>47</v>
      </c>
      <c r="G2825" s="82">
        <v>1</v>
      </c>
      <c r="H2825" s="82">
        <v>1000</v>
      </c>
      <c r="I2825" s="138">
        <f t="shared" si="115"/>
        <v>1000</v>
      </c>
      <c r="J2825" s="82" t="s">
        <v>4519</v>
      </c>
      <c r="K2825" s="83"/>
    </row>
    <row r="2826" spans="1:11" ht="15" customHeight="1" x14ac:dyDescent="0.25">
      <c r="A2826" s="82" t="s">
        <v>4236</v>
      </c>
      <c r="B2826" s="83" t="s">
        <v>4572</v>
      </c>
      <c r="C2826" s="83"/>
      <c r="D2826" s="83"/>
      <c r="E2826" s="83" t="s">
        <v>4228</v>
      </c>
      <c r="F2826" s="82" t="s">
        <v>78</v>
      </c>
      <c r="G2826" s="82">
        <v>1</v>
      </c>
      <c r="H2826" s="82"/>
      <c r="I2826" s="138">
        <f t="shared" si="115"/>
        <v>0</v>
      </c>
      <c r="J2826" s="82"/>
      <c r="K2826" s="83"/>
    </row>
    <row r="2827" spans="1:11" ht="15" customHeight="1" x14ac:dyDescent="0.25">
      <c r="A2827" s="82" t="s">
        <v>4236</v>
      </c>
      <c r="B2827" s="83" t="s">
        <v>4573</v>
      </c>
      <c r="C2827" s="83"/>
      <c r="D2827" s="83"/>
      <c r="E2827" s="83" t="s">
        <v>4228</v>
      </c>
      <c r="F2827" s="82" t="s">
        <v>78</v>
      </c>
      <c r="G2827" s="82">
        <v>1</v>
      </c>
      <c r="H2827" s="82"/>
      <c r="I2827" s="138">
        <f t="shared" si="115"/>
        <v>0</v>
      </c>
      <c r="J2827" s="82"/>
      <c r="K2827" s="83"/>
    </row>
    <row r="2828" spans="1:11" ht="15" customHeight="1" x14ac:dyDescent="0.25">
      <c r="A2828" s="82" t="s">
        <v>4236</v>
      </c>
      <c r="B2828" s="83" t="s">
        <v>4574</v>
      </c>
      <c r="C2828" s="83"/>
      <c r="D2828" s="83"/>
      <c r="E2828" s="83" t="s">
        <v>4228</v>
      </c>
      <c r="F2828" s="82" t="s">
        <v>47</v>
      </c>
      <c r="G2828" s="82">
        <v>1</v>
      </c>
      <c r="H2828" s="82"/>
      <c r="I2828" s="138">
        <f t="shared" si="115"/>
        <v>0</v>
      </c>
      <c r="J2828" s="82"/>
      <c r="K2828" s="83"/>
    </row>
    <row r="2829" spans="1:11" ht="15" customHeight="1" x14ac:dyDescent="0.25">
      <c r="A2829" s="82" t="s">
        <v>4236</v>
      </c>
      <c r="B2829" s="83" t="s">
        <v>4575</v>
      </c>
      <c r="C2829" s="83"/>
      <c r="D2829" s="83"/>
      <c r="E2829" s="83" t="s">
        <v>4228</v>
      </c>
      <c r="F2829" s="82" t="s">
        <v>78</v>
      </c>
      <c r="G2829" s="82">
        <v>1</v>
      </c>
      <c r="H2829" s="82">
        <v>500</v>
      </c>
      <c r="I2829" s="138">
        <f t="shared" si="115"/>
        <v>500</v>
      </c>
      <c r="J2829" s="82"/>
      <c r="K2829" s="83"/>
    </row>
    <row r="2830" spans="1:11" ht="15" customHeight="1" x14ac:dyDescent="0.25">
      <c r="A2830" s="82" t="s">
        <v>4236</v>
      </c>
      <c r="B2830" s="83" t="s">
        <v>4576</v>
      </c>
      <c r="C2830" s="83"/>
      <c r="D2830" s="83"/>
      <c r="E2830" s="83" t="s">
        <v>4228</v>
      </c>
      <c r="F2830" s="82" t="s">
        <v>78</v>
      </c>
      <c r="G2830" s="82">
        <v>1</v>
      </c>
      <c r="H2830" s="82"/>
      <c r="I2830" s="138">
        <f t="shared" si="115"/>
        <v>0</v>
      </c>
      <c r="J2830" s="82"/>
      <c r="K2830" s="83"/>
    </row>
    <row r="2831" spans="1:11" ht="15" customHeight="1" x14ac:dyDescent="0.25">
      <c r="A2831" s="82" t="s">
        <v>4577</v>
      </c>
      <c r="B2831" s="83" t="s">
        <v>4578</v>
      </c>
      <c r="C2831" s="83" t="s">
        <v>4579</v>
      </c>
      <c r="D2831" s="83"/>
      <c r="E2831" s="83" t="s">
        <v>4228</v>
      </c>
      <c r="F2831" s="82" t="s">
        <v>78</v>
      </c>
      <c r="G2831" s="82">
        <v>4</v>
      </c>
      <c r="H2831" s="82"/>
      <c r="I2831" s="138">
        <f t="shared" si="115"/>
        <v>0</v>
      </c>
      <c r="J2831" s="82"/>
      <c r="K2831" s="83"/>
    </row>
    <row r="2832" spans="1:11" ht="15" customHeight="1" x14ac:dyDescent="0.25">
      <c r="A2832" s="80" t="s">
        <v>4591</v>
      </c>
      <c r="B2832" s="80" t="s">
        <v>4592</v>
      </c>
      <c r="C2832" s="80"/>
      <c r="D2832" s="80"/>
      <c r="E2832" s="80"/>
      <c r="F2832" s="80"/>
      <c r="G2832" s="81"/>
      <c r="H2832" s="80"/>
      <c r="I2832" s="137"/>
      <c r="J2832" s="80"/>
      <c r="K2832" s="80"/>
    </row>
    <row r="2833" spans="1:11" ht="27" customHeight="1" x14ac:dyDescent="0.25">
      <c r="A2833" s="82" t="s">
        <v>4310</v>
      </c>
      <c r="B2833" s="83" t="s">
        <v>4311</v>
      </c>
      <c r="C2833" s="83" t="s">
        <v>4312</v>
      </c>
      <c r="D2833" s="83"/>
      <c r="E2833" s="83" t="s">
        <v>4228</v>
      </c>
      <c r="F2833" s="82" t="s">
        <v>78</v>
      </c>
      <c r="G2833" s="82">
        <v>1</v>
      </c>
      <c r="H2833" s="82"/>
      <c r="I2833" s="138">
        <f t="shared" ref="I2833:I2841" si="116">H2833*G2833</f>
        <v>0</v>
      </c>
      <c r="J2833" s="82"/>
      <c r="K2833" s="83"/>
    </row>
    <row r="2834" spans="1:11" ht="27" customHeight="1" x14ac:dyDescent="0.25">
      <c r="A2834" s="82" t="s">
        <v>4242</v>
      </c>
      <c r="B2834" s="83" t="s">
        <v>4313</v>
      </c>
      <c r="C2834" s="83" t="s">
        <v>4282</v>
      </c>
      <c r="D2834" s="83"/>
      <c r="E2834" s="83" t="s">
        <v>4228</v>
      </c>
      <c r="F2834" s="82" t="s">
        <v>78</v>
      </c>
      <c r="G2834" s="82">
        <v>2</v>
      </c>
      <c r="H2834" s="82">
        <v>1950</v>
      </c>
      <c r="I2834" s="138">
        <f t="shared" si="116"/>
        <v>3900</v>
      </c>
      <c r="J2834" s="82"/>
      <c r="K2834" s="83" t="s">
        <v>4246</v>
      </c>
    </row>
    <row r="2835" spans="1:11" ht="27" customHeight="1" x14ac:dyDescent="0.25">
      <c r="A2835" s="82" t="s">
        <v>4549</v>
      </c>
      <c r="B2835" s="83" t="s">
        <v>4550</v>
      </c>
      <c r="C2835" s="83"/>
      <c r="D2835" s="83"/>
      <c r="E2835" s="83" t="s">
        <v>4228</v>
      </c>
      <c r="F2835" s="82" t="s">
        <v>78</v>
      </c>
      <c r="G2835" s="82">
        <v>23</v>
      </c>
      <c r="H2835" s="82"/>
      <c r="I2835" s="138">
        <f t="shared" si="116"/>
        <v>0</v>
      </c>
      <c r="J2835" s="82"/>
      <c r="K2835" s="83"/>
    </row>
    <row r="2836" spans="1:11" ht="27" customHeight="1" x14ac:dyDescent="0.25">
      <c r="A2836" s="82" t="s">
        <v>4551</v>
      </c>
      <c r="B2836" s="83" t="s">
        <v>4552</v>
      </c>
      <c r="C2836" s="83"/>
      <c r="D2836" s="83"/>
      <c r="E2836" s="83" t="s">
        <v>4228</v>
      </c>
      <c r="F2836" s="82" t="s">
        <v>78</v>
      </c>
      <c r="G2836" s="82">
        <v>2</v>
      </c>
      <c r="H2836" s="82"/>
      <c r="I2836" s="138">
        <f t="shared" si="116"/>
        <v>0</v>
      </c>
      <c r="J2836" s="82"/>
      <c r="K2836" s="83"/>
    </row>
    <row r="2837" spans="1:11" ht="27" customHeight="1" x14ac:dyDescent="0.25">
      <c r="A2837" s="82" t="s">
        <v>4553</v>
      </c>
      <c r="B2837" s="83" t="s">
        <v>4554</v>
      </c>
      <c r="C2837" s="83"/>
      <c r="D2837" s="83"/>
      <c r="E2837" s="83" t="s">
        <v>4228</v>
      </c>
      <c r="F2837" s="82" t="s">
        <v>78</v>
      </c>
      <c r="G2837" s="82">
        <v>1</v>
      </c>
      <c r="H2837" s="82"/>
      <c r="I2837" s="138">
        <f t="shared" si="116"/>
        <v>0</v>
      </c>
      <c r="J2837" s="82"/>
      <c r="K2837" s="83"/>
    </row>
    <row r="2838" spans="1:11" ht="39" customHeight="1" x14ac:dyDescent="0.25">
      <c r="A2838" s="82" t="s">
        <v>4477</v>
      </c>
      <c r="B2838" s="83" t="s">
        <v>4478</v>
      </c>
      <c r="C2838" s="83" t="s">
        <v>4479</v>
      </c>
      <c r="D2838" s="83"/>
      <c r="E2838" s="83" t="s">
        <v>4228</v>
      </c>
      <c r="F2838" s="82" t="s">
        <v>78</v>
      </c>
      <c r="G2838" s="82">
        <v>1</v>
      </c>
      <c r="H2838" s="82">
        <v>33000</v>
      </c>
      <c r="I2838" s="138">
        <f t="shared" si="116"/>
        <v>33000</v>
      </c>
      <c r="J2838" s="82"/>
      <c r="K2838" s="83"/>
    </row>
    <row r="2839" spans="1:11" ht="39" customHeight="1" x14ac:dyDescent="0.25">
      <c r="A2839" s="82" t="s">
        <v>4486</v>
      </c>
      <c r="B2839" s="83" t="s">
        <v>4487</v>
      </c>
      <c r="C2839" s="83"/>
      <c r="D2839" s="83"/>
      <c r="E2839" s="83" t="s">
        <v>4228</v>
      </c>
      <c r="F2839" s="82" t="s">
        <v>78</v>
      </c>
      <c r="G2839" s="82">
        <v>2</v>
      </c>
      <c r="H2839" s="82">
        <v>9600</v>
      </c>
      <c r="I2839" s="138">
        <f t="shared" si="116"/>
        <v>19200</v>
      </c>
      <c r="J2839" s="82"/>
      <c r="K2839" s="83"/>
    </row>
    <row r="2840" spans="1:11" ht="15" customHeight="1" x14ac:dyDescent="0.25">
      <c r="A2840" s="82" t="s">
        <v>4236</v>
      </c>
      <c r="B2840" s="83" t="s">
        <v>4343</v>
      </c>
      <c r="C2840" s="83"/>
      <c r="D2840" s="83"/>
      <c r="E2840" s="83" t="s">
        <v>4228</v>
      </c>
      <c r="F2840" s="82" t="s">
        <v>78</v>
      </c>
      <c r="G2840" s="82">
        <v>4</v>
      </c>
      <c r="H2840" s="82">
        <v>1570</v>
      </c>
      <c r="I2840" s="138">
        <f t="shared" si="116"/>
        <v>6280</v>
      </c>
      <c r="J2840" s="82"/>
      <c r="K2840" s="83"/>
    </row>
    <row r="2841" spans="1:11" ht="15" customHeight="1" x14ac:dyDescent="0.25">
      <c r="A2841" s="82" t="s">
        <v>4236</v>
      </c>
      <c r="B2841" s="83" t="s">
        <v>4334</v>
      </c>
      <c r="C2841" s="83"/>
      <c r="D2841" s="83"/>
      <c r="E2841" s="83" t="s">
        <v>4228</v>
      </c>
      <c r="F2841" s="82" t="s">
        <v>78</v>
      </c>
      <c r="G2841" s="82">
        <v>2</v>
      </c>
      <c r="H2841" s="82">
        <v>4500</v>
      </c>
      <c r="I2841" s="138">
        <f t="shared" si="116"/>
        <v>9000</v>
      </c>
      <c r="J2841" s="82"/>
      <c r="K2841" s="83"/>
    </row>
    <row r="2842" spans="1:11" ht="15" customHeight="1" x14ac:dyDescent="0.25">
      <c r="A2842" s="80" t="s">
        <v>4593</v>
      </c>
      <c r="B2842" s="80" t="s">
        <v>4594</v>
      </c>
      <c r="C2842" s="80"/>
      <c r="D2842" s="80"/>
      <c r="E2842" s="80"/>
      <c r="F2842" s="80"/>
      <c r="G2842" s="81"/>
      <c r="H2842" s="80"/>
      <c r="I2842" s="137"/>
      <c r="J2842" s="80"/>
      <c r="K2842" s="80"/>
    </row>
    <row r="2843" spans="1:11" ht="39" customHeight="1" x14ac:dyDescent="0.25">
      <c r="A2843" s="82" t="s">
        <v>4236</v>
      </c>
      <c r="B2843" s="83" t="s">
        <v>4497</v>
      </c>
      <c r="C2843" s="83"/>
      <c r="D2843" s="83"/>
      <c r="E2843" s="83" t="s">
        <v>4228</v>
      </c>
      <c r="F2843" s="82" t="s">
        <v>47</v>
      </c>
      <c r="G2843" s="82">
        <v>5</v>
      </c>
      <c r="H2843" s="82"/>
      <c r="I2843" s="138">
        <f>H2843*G2843</f>
        <v>0</v>
      </c>
      <c r="J2843" s="82"/>
      <c r="K2843" s="83"/>
    </row>
    <row r="2844" spans="1:11" ht="15" customHeight="1" x14ac:dyDescent="0.25">
      <c r="A2844" s="80" t="s">
        <v>4595</v>
      </c>
      <c r="B2844" s="80" t="s">
        <v>4558</v>
      </c>
      <c r="C2844" s="80"/>
      <c r="D2844" s="80"/>
      <c r="E2844" s="80"/>
      <c r="F2844" s="80"/>
      <c r="G2844" s="81"/>
      <c r="H2844" s="80"/>
      <c r="I2844" s="137"/>
      <c r="J2844" s="80"/>
      <c r="K2844" s="80"/>
    </row>
    <row r="2845" spans="1:11" ht="15" customHeight="1" x14ac:dyDescent="0.25">
      <c r="A2845" s="80" t="s">
        <v>4596</v>
      </c>
      <c r="B2845" s="80" t="s">
        <v>4597</v>
      </c>
      <c r="C2845" s="80"/>
      <c r="D2845" s="80"/>
      <c r="E2845" s="80"/>
      <c r="F2845" s="80"/>
      <c r="G2845" s="81"/>
      <c r="H2845" s="80"/>
      <c r="I2845" s="137"/>
      <c r="J2845" s="80"/>
      <c r="K2845" s="80"/>
    </row>
    <row r="2846" spans="1:11" ht="15" customHeight="1" x14ac:dyDescent="0.25">
      <c r="A2846" s="82" t="s">
        <v>4236</v>
      </c>
      <c r="B2846" s="83" t="s">
        <v>4334</v>
      </c>
      <c r="C2846" s="83"/>
      <c r="D2846" s="83"/>
      <c r="E2846" s="83" t="s">
        <v>4228</v>
      </c>
      <c r="F2846" s="82" t="s">
        <v>78</v>
      </c>
      <c r="G2846" s="82">
        <v>1</v>
      </c>
      <c r="H2846" s="82">
        <v>4500</v>
      </c>
      <c r="I2846" s="138">
        <f>H2846*G2846</f>
        <v>4500</v>
      </c>
      <c r="J2846" s="82"/>
      <c r="K2846" s="83"/>
    </row>
    <row r="2847" spans="1:11" ht="15" customHeight="1" x14ac:dyDescent="0.25">
      <c r="A2847" s="82" t="s">
        <v>4236</v>
      </c>
      <c r="B2847" s="83" t="s">
        <v>4492</v>
      </c>
      <c r="C2847" s="83"/>
      <c r="D2847" s="83"/>
      <c r="E2847" s="83" t="s">
        <v>4228</v>
      </c>
      <c r="F2847" s="82" t="s">
        <v>78</v>
      </c>
      <c r="G2847" s="82">
        <v>1</v>
      </c>
      <c r="H2847" s="82">
        <v>4720</v>
      </c>
      <c r="I2847" s="138">
        <f>H2847*G2847</f>
        <v>4720</v>
      </c>
      <c r="J2847" s="82"/>
      <c r="K2847" s="83"/>
    </row>
    <row r="2848" spans="1:11" ht="15" customHeight="1" x14ac:dyDescent="0.25">
      <c r="A2848" s="82" t="s">
        <v>4236</v>
      </c>
      <c r="B2848" s="83" t="s">
        <v>4389</v>
      </c>
      <c r="C2848" s="83"/>
      <c r="D2848" s="83"/>
      <c r="E2848" s="83" t="s">
        <v>4228</v>
      </c>
      <c r="F2848" s="82" t="s">
        <v>78</v>
      </c>
      <c r="G2848" s="82">
        <v>1</v>
      </c>
      <c r="H2848" s="82">
        <v>4090</v>
      </c>
      <c r="I2848" s="138">
        <f>H2848*G2848</f>
        <v>4090</v>
      </c>
      <c r="J2848" s="82"/>
      <c r="K2848" s="83"/>
    </row>
    <row r="2849" spans="1:11" ht="15" customHeight="1" x14ac:dyDescent="0.25">
      <c r="A2849" s="82" t="s">
        <v>4236</v>
      </c>
      <c r="B2849" s="83" t="s">
        <v>4493</v>
      </c>
      <c r="C2849" s="83"/>
      <c r="D2849" s="83"/>
      <c r="E2849" s="83" t="s">
        <v>4228</v>
      </c>
      <c r="F2849" s="82" t="s">
        <v>78</v>
      </c>
      <c r="G2849" s="82">
        <v>1</v>
      </c>
      <c r="H2849" s="82">
        <v>760</v>
      </c>
      <c r="I2849" s="138">
        <f>H2849*G2849</f>
        <v>760</v>
      </c>
      <c r="J2849" s="82"/>
      <c r="K2849" s="83"/>
    </row>
    <row r="2850" spans="1:11" ht="15" customHeight="1" x14ac:dyDescent="0.25">
      <c r="A2850" s="82" t="s">
        <v>4236</v>
      </c>
      <c r="B2850" s="83" t="s">
        <v>4494</v>
      </c>
      <c r="C2850" s="83"/>
      <c r="D2850" s="83"/>
      <c r="E2850" s="83" t="s">
        <v>4228</v>
      </c>
      <c r="F2850" s="82" t="s">
        <v>78</v>
      </c>
      <c r="G2850" s="82">
        <v>1</v>
      </c>
      <c r="H2850" s="82">
        <v>3270</v>
      </c>
      <c r="I2850" s="138">
        <f>H2850*G2850</f>
        <v>3270</v>
      </c>
      <c r="J2850" s="82"/>
      <c r="K2850" s="83"/>
    </row>
    <row r="2851" spans="1:11" ht="15" customHeight="1" x14ac:dyDescent="0.25">
      <c r="A2851" s="80" t="s">
        <v>4598</v>
      </c>
      <c r="B2851" s="80" t="s">
        <v>4599</v>
      </c>
      <c r="C2851" s="80"/>
      <c r="D2851" s="80"/>
      <c r="E2851" s="80"/>
      <c r="F2851" s="80"/>
      <c r="G2851" s="81"/>
      <c r="H2851" s="80"/>
      <c r="I2851" s="137"/>
      <c r="J2851" s="80"/>
      <c r="K2851" s="80"/>
    </row>
    <row r="2852" spans="1:11" ht="27" customHeight="1" x14ac:dyDescent="0.25">
      <c r="A2852" s="82" t="s">
        <v>4257</v>
      </c>
      <c r="B2852" s="83" t="s">
        <v>4258</v>
      </c>
      <c r="C2852" s="83"/>
      <c r="D2852" s="83"/>
      <c r="E2852" s="83" t="s">
        <v>4228</v>
      </c>
      <c r="F2852" s="82" t="s">
        <v>78</v>
      </c>
      <c r="G2852" s="82">
        <v>2</v>
      </c>
      <c r="H2852" s="82"/>
      <c r="I2852" s="138">
        <f>H2852*G2852</f>
        <v>0</v>
      </c>
      <c r="J2852" s="82"/>
      <c r="K2852" s="83"/>
    </row>
    <row r="2853" spans="1:11" ht="15" customHeight="1" x14ac:dyDescent="0.25">
      <c r="A2853" s="80" t="s">
        <v>4600</v>
      </c>
      <c r="B2853" s="80" t="s">
        <v>4601</v>
      </c>
      <c r="C2853" s="80"/>
      <c r="D2853" s="80"/>
      <c r="E2853" s="80"/>
      <c r="F2853" s="80"/>
      <c r="G2853" s="81"/>
      <c r="H2853" s="80"/>
      <c r="I2853" s="137"/>
      <c r="J2853" s="80"/>
      <c r="K2853" s="80"/>
    </row>
    <row r="2854" spans="1:11" ht="75" customHeight="1" x14ac:dyDescent="0.25">
      <c r="A2854" s="82" t="s">
        <v>4565</v>
      </c>
      <c r="B2854" s="83" t="s">
        <v>4566</v>
      </c>
      <c r="C2854" s="83" t="s">
        <v>4567</v>
      </c>
      <c r="D2854" s="83"/>
      <c r="E2854" s="83" t="s">
        <v>4228</v>
      </c>
      <c r="F2854" s="82" t="s">
        <v>78</v>
      </c>
      <c r="G2854" s="82">
        <v>1</v>
      </c>
      <c r="H2854" s="82"/>
      <c r="I2854" s="138">
        <f t="shared" ref="I2854:I2862" si="117">H2854*G2854</f>
        <v>0</v>
      </c>
      <c r="J2854" s="82" t="s">
        <v>4568</v>
      </c>
      <c r="K2854" s="83" t="s">
        <v>4569</v>
      </c>
    </row>
    <row r="2855" spans="1:11" ht="15" customHeight="1" x14ac:dyDescent="0.25">
      <c r="A2855" s="82" t="s">
        <v>4236</v>
      </c>
      <c r="B2855" s="83" t="s">
        <v>4570</v>
      </c>
      <c r="C2855" s="83"/>
      <c r="D2855" s="83"/>
      <c r="E2855" s="83" t="s">
        <v>4228</v>
      </c>
      <c r="F2855" s="82" t="s">
        <v>576</v>
      </c>
      <c r="G2855" s="82">
        <v>4.5</v>
      </c>
      <c r="H2855" s="82"/>
      <c r="I2855" s="138">
        <f t="shared" si="117"/>
        <v>0</v>
      </c>
      <c r="J2855" s="82"/>
      <c r="K2855" s="83"/>
    </row>
    <row r="2856" spans="1:11" ht="15" customHeight="1" x14ac:dyDescent="0.25">
      <c r="A2856" s="82" t="s">
        <v>4236</v>
      </c>
      <c r="B2856" s="83" t="s">
        <v>4571</v>
      </c>
      <c r="C2856" s="83"/>
      <c r="D2856" s="83"/>
      <c r="E2856" s="83" t="s">
        <v>4228</v>
      </c>
      <c r="F2856" s="82" t="s">
        <v>47</v>
      </c>
      <c r="G2856" s="82">
        <v>1</v>
      </c>
      <c r="H2856" s="82">
        <v>1000</v>
      </c>
      <c r="I2856" s="138">
        <f t="shared" si="117"/>
        <v>1000</v>
      </c>
      <c r="J2856" s="82" t="s">
        <v>4519</v>
      </c>
      <c r="K2856" s="83"/>
    </row>
    <row r="2857" spans="1:11" ht="15" customHeight="1" x14ac:dyDescent="0.25">
      <c r="A2857" s="82" t="s">
        <v>4236</v>
      </c>
      <c r="B2857" s="83" t="s">
        <v>4572</v>
      </c>
      <c r="C2857" s="83"/>
      <c r="D2857" s="83"/>
      <c r="E2857" s="83" t="s">
        <v>4228</v>
      </c>
      <c r="F2857" s="82" t="s">
        <v>78</v>
      </c>
      <c r="G2857" s="82">
        <v>1</v>
      </c>
      <c r="H2857" s="82"/>
      <c r="I2857" s="138">
        <f t="shared" si="117"/>
        <v>0</v>
      </c>
      <c r="J2857" s="82"/>
      <c r="K2857" s="83"/>
    </row>
    <row r="2858" spans="1:11" ht="15" customHeight="1" x14ac:dyDescent="0.25">
      <c r="A2858" s="82" t="s">
        <v>4236</v>
      </c>
      <c r="B2858" s="83" t="s">
        <v>4573</v>
      </c>
      <c r="C2858" s="83"/>
      <c r="D2858" s="83"/>
      <c r="E2858" s="83" t="s">
        <v>4228</v>
      </c>
      <c r="F2858" s="82" t="s">
        <v>78</v>
      </c>
      <c r="G2858" s="82">
        <v>1</v>
      </c>
      <c r="H2858" s="82"/>
      <c r="I2858" s="138">
        <f t="shared" si="117"/>
        <v>0</v>
      </c>
      <c r="J2858" s="82"/>
      <c r="K2858" s="83"/>
    </row>
    <row r="2859" spans="1:11" ht="15" customHeight="1" x14ac:dyDescent="0.25">
      <c r="A2859" s="82" t="s">
        <v>4236</v>
      </c>
      <c r="B2859" s="83" t="s">
        <v>4574</v>
      </c>
      <c r="C2859" s="83"/>
      <c r="D2859" s="83"/>
      <c r="E2859" s="83" t="s">
        <v>4228</v>
      </c>
      <c r="F2859" s="82" t="s">
        <v>47</v>
      </c>
      <c r="G2859" s="82">
        <v>1</v>
      </c>
      <c r="H2859" s="82"/>
      <c r="I2859" s="138">
        <f t="shared" si="117"/>
        <v>0</v>
      </c>
      <c r="J2859" s="82"/>
      <c r="K2859" s="83"/>
    </row>
    <row r="2860" spans="1:11" ht="15" customHeight="1" x14ac:dyDescent="0.25">
      <c r="A2860" s="82" t="s">
        <v>4236</v>
      </c>
      <c r="B2860" s="83" t="s">
        <v>4575</v>
      </c>
      <c r="C2860" s="83"/>
      <c r="D2860" s="83"/>
      <c r="E2860" s="83" t="s">
        <v>4228</v>
      </c>
      <c r="F2860" s="82" t="s">
        <v>78</v>
      </c>
      <c r="G2860" s="82">
        <v>1</v>
      </c>
      <c r="H2860" s="82">
        <v>500</v>
      </c>
      <c r="I2860" s="138">
        <f t="shared" si="117"/>
        <v>500</v>
      </c>
      <c r="J2860" s="82"/>
      <c r="K2860" s="83"/>
    </row>
    <row r="2861" spans="1:11" ht="15" customHeight="1" x14ac:dyDescent="0.25">
      <c r="A2861" s="82" t="s">
        <v>4236</v>
      </c>
      <c r="B2861" s="83" t="s">
        <v>4576</v>
      </c>
      <c r="C2861" s="83"/>
      <c r="D2861" s="83"/>
      <c r="E2861" s="83" t="s">
        <v>4228</v>
      </c>
      <c r="F2861" s="82" t="s">
        <v>78</v>
      </c>
      <c r="G2861" s="82">
        <v>1</v>
      </c>
      <c r="H2861" s="82"/>
      <c r="I2861" s="138">
        <f t="shared" si="117"/>
        <v>0</v>
      </c>
      <c r="J2861" s="82"/>
      <c r="K2861" s="83"/>
    </row>
    <row r="2862" spans="1:11" ht="15" customHeight="1" x14ac:dyDescent="0.25">
      <c r="A2862" s="82" t="s">
        <v>4577</v>
      </c>
      <c r="B2862" s="83" t="s">
        <v>4578</v>
      </c>
      <c r="C2862" s="83" t="s">
        <v>4579</v>
      </c>
      <c r="D2862" s="83"/>
      <c r="E2862" s="83" t="s">
        <v>4228</v>
      </c>
      <c r="F2862" s="82" t="s">
        <v>78</v>
      </c>
      <c r="G2862" s="82">
        <v>4</v>
      </c>
      <c r="H2862" s="82"/>
      <c r="I2862" s="138">
        <f t="shared" si="117"/>
        <v>0</v>
      </c>
      <c r="J2862" s="82"/>
      <c r="K2862" s="83"/>
    </row>
    <row r="2863" spans="1:11" ht="15" customHeight="1" x14ac:dyDescent="0.25">
      <c r="A2863" s="80" t="s">
        <v>4602</v>
      </c>
      <c r="B2863" s="80" t="s">
        <v>4603</v>
      </c>
      <c r="C2863" s="80"/>
      <c r="D2863" s="80"/>
      <c r="E2863" s="80"/>
      <c r="F2863" s="80"/>
      <c r="G2863" s="81"/>
      <c r="H2863" s="80"/>
      <c r="I2863" s="137"/>
      <c r="J2863" s="80"/>
      <c r="K2863" s="80"/>
    </row>
    <row r="2864" spans="1:11" ht="27" customHeight="1" x14ac:dyDescent="0.25">
      <c r="A2864" s="82" t="s">
        <v>4310</v>
      </c>
      <c r="B2864" s="83" t="s">
        <v>4311</v>
      </c>
      <c r="C2864" s="83" t="s">
        <v>4312</v>
      </c>
      <c r="D2864" s="83"/>
      <c r="E2864" s="83" t="s">
        <v>4228</v>
      </c>
      <c r="F2864" s="82" t="s">
        <v>78</v>
      </c>
      <c r="G2864" s="82">
        <v>1</v>
      </c>
      <c r="H2864" s="82"/>
      <c r="I2864" s="138">
        <f t="shared" ref="I2864:I2872" si="118">H2864*G2864</f>
        <v>0</v>
      </c>
      <c r="J2864" s="82"/>
      <c r="K2864" s="83"/>
    </row>
    <row r="2865" spans="1:11" ht="27" customHeight="1" x14ac:dyDescent="0.25">
      <c r="A2865" s="82" t="s">
        <v>4242</v>
      </c>
      <c r="B2865" s="83" t="s">
        <v>4313</v>
      </c>
      <c r="C2865" s="83" t="s">
        <v>4282</v>
      </c>
      <c r="D2865" s="83"/>
      <c r="E2865" s="83" t="s">
        <v>4228</v>
      </c>
      <c r="F2865" s="82" t="s">
        <v>78</v>
      </c>
      <c r="G2865" s="82">
        <v>2</v>
      </c>
      <c r="H2865" s="82">
        <v>1950</v>
      </c>
      <c r="I2865" s="138">
        <f t="shared" si="118"/>
        <v>3900</v>
      </c>
      <c r="J2865" s="82"/>
      <c r="K2865" s="83" t="s">
        <v>4246</v>
      </c>
    </row>
    <row r="2866" spans="1:11" ht="27" customHeight="1" x14ac:dyDescent="0.25">
      <c r="A2866" s="82" t="s">
        <v>4549</v>
      </c>
      <c r="B2866" s="83" t="s">
        <v>4550</v>
      </c>
      <c r="C2866" s="83"/>
      <c r="D2866" s="83"/>
      <c r="E2866" s="83" t="s">
        <v>4228</v>
      </c>
      <c r="F2866" s="82" t="s">
        <v>78</v>
      </c>
      <c r="G2866" s="82">
        <v>23</v>
      </c>
      <c r="H2866" s="82"/>
      <c r="I2866" s="138">
        <f t="shared" si="118"/>
        <v>0</v>
      </c>
      <c r="J2866" s="82"/>
      <c r="K2866" s="83"/>
    </row>
    <row r="2867" spans="1:11" ht="27" customHeight="1" x14ac:dyDescent="0.25">
      <c r="A2867" s="82" t="s">
        <v>4551</v>
      </c>
      <c r="B2867" s="83" t="s">
        <v>4552</v>
      </c>
      <c r="C2867" s="83"/>
      <c r="D2867" s="83"/>
      <c r="E2867" s="83" t="s">
        <v>4228</v>
      </c>
      <c r="F2867" s="82" t="s">
        <v>78</v>
      </c>
      <c r="G2867" s="82">
        <v>2</v>
      </c>
      <c r="H2867" s="82"/>
      <c r="I2867" s="138">
        <f t="shared" si="118"/>
        <v>0</v>
      </c>
      <c r="J2867" s="82"/>
      <c r="K2867" s="83"/>
    </row>
    <row r="2868" spans="1:11" ht="27" customHeight="1" x14ac:dyDescent="0.25">
      <c r="A2868" s="82" t="s">
        <v>4553</v>
      </c>
      <c r="B2868" s="83" t="s">
        <v>4554</v>
      </c>
      <c r="C2868" s="83"/>
      <c r="D2868" s="83"/>
      <c r="E2868" s="83" t="s">
        <v>4228</v>
      </c>
      <c r="F2868" s="82" t="s">
        <v>78</v>
      </c>
      <c r="G2868" s="82">
        <v>1</v>
      </c>
      <c r="H2868" s="82"/>
      <c r="I2868" s="138">
        <f t="shared" si="118"/>
        <v>0</v>
      </c>
      <c r="J2868" s="82"/>
      <c r="K2868" s="83"/>
    </row>
    <row r="2869" spans="1:11" ht="39" customHeight="1" x14ac:dyDescent="0.25">
      <c r="A2869" s="82" t="s">
        <v>4477</v>
      </c>
      <c r="B2869" s="83" t="s">
        <v>4478</v>
      </c>
      <c r="C2869" s="83" t="s">
        <v>4479</v>
      </c>
      <c r="D2869" s="83"/>
      <c r="E2869" s="83" t="s">
        <v>4228</v>
      </c>
      <c r="F2869" s="82" t="s">
        <v>78</v>
      </c>
      <c r="G2869" s="82">
        <v>1</v>
      </c>
      <c r="H2869" s="82">
        <v>33000</v>
      </c>
      <c r="I2869" s="138">
        <f t="shared" si="118"/>
        <v>33000</v>
      </c>
      <c r="J2869" s="82"/>
      <c r="K2869" s="83"/>
    </row>
    <row r="2870" spans="1:11" ht="39" customHeight="1" x14ac:dyDescent="0.25">
      <c r="A2870" s="82" t="s">
        <v>4486</v>
      </c>
      <c r="B2870" s="83" t="s">
        <v>4487</v>
      </c>
      <c r="C2870" s="83"/>
      <c r="D2870" s="83"/>
      <c r="E2870" s="83" t="s">
        <v>4228</v>
      </c>
      <c r="F2870" s="82" t="s">
        <v>78</v>
      </c>
      <c r="G2870" s="82">
        <v>2</v>
      </c>
      <c r="H2870" s="82">
        <v>9600</v>
      </c>
      <c r="I2870" s="138">
        <f t="shared" si="118"/>
        <v>19200</v>
      </c>
      <c r="J2870" s="82"/>
      <c r="K2870" s="83"/>
    </row>
    <row r="2871" spans="1:11" ht="15" customHeight="1" x14ac:dyDescent="0.25">
      <c r="A2871" s="82" t="s">
        <v>4236</v>
      </c>
      <c r="B2871" s="83" t="s">
        <v>4343</v>
      </c>
      <c r="C2871" s="83"/>
      <c r="D2871" s="83"/>
      <c r="E2871" s="83" t="s">
        <v>4228</v>
      </c>
      <c r="F2871" s="82" t="s">
        <v>78</v>
      </c>
      <c r="G2871" s="82">
        <v>4</v>
      </c>
      <c r="H2871" s="82">
        <v>1570</v>
      </c>
      <c r="I2871" s="138">
        <f t="shared" si="118"/>
        <v>6280</v>
      </c>
      <c r="J2871" s="82"/>
      <c r="K2871" s="83"/>
    </row>
    <row r="2872" spans="1:11" ht="15" customHeight="1" x14ac:dyDescent="0.25">
      <c r="A2872" s="82" t="s">
        <v>4236</v>
      </c>
      <c r="B2872" s="83" t="s">
        <v>4334</v>
      </c>
      <c r="C2872" s="83"/>
      <c r="D2872" s="83"/>
      <c r="E2872" s="83" t="s">
        <v>4228</v>
      </c>
      <c r="F2872" s="82" t="s">
        <v>78</v>
      </c>
      <c r="G2872" s="82">
        <v>2</v>
      </c>
      <c r="H2872" s="82">
        <v>4500</v>
      </c>
      <c r="I2872" s="138">
        <f t="shared" si="118"/>
        <v>9000</v>
      </c>
      <c r="J2872" s="82"/>
      <c r="K2872" s="83"/>
    </row>
    <row r="2873" spans="1:11" ht="15" customHeight="1" x14ac:dyDescent="0.25">
      <c r="A2873" s="80" t="s">
        <v>4604</v>
      </c>
      <c r="B2873" s="80" t="s">
        <v>4605</v>
      </c>
      <c r="C2873" s="80"/>
      <c r="D2873" s="80"/>
      <c r="E2873" s="80"/>
      <c r="F2873" s="80"/>
      <c r="G2873" s="81"/>
      <c r="H2873" s="80"/>
      <c r="I2873" s="137"/>
      <c r="J2873" s="80"/>
      <c r="K2873" s="80"/>
    </row>
    <row r="2874" spans="1:11" ht="39" customHeight="1" x14ac:dyDescent="0.25">
      <c r="A2874" s="82" t="s">
        <v>4236</v>
      </c>
      <c r="B2874" s="83" t="s">
        <v>4497</v>
      </c>
      <c r="C2874" s="83"/>
      <c r="D2874" s="83"/>
      <c r="E2874" s="83" t="s">
        <v>4228</v>
      </c>
      <c r="F2874" s="82" t="s">
        <v>47</v>
      </c>
      <c r="G2874" s="82">
        <v>5</v>
      </c>
      <c r="H2874" s="82"/>
      <c r="I2874" s="138">
        <f>H2874*G2874</f>
        <v>0</v>
      </c>
      <c r="J2874" s="82"/>
      <c r="K2874" s="83"/>
    </row>
    <row r="2875" spans="1:11" ht="15" customHeight="1" x14ac:dyDescent="0.25">
      <c r="A2875" s="80" t="s">
        <v>4606</v>
      </c>
      <c r="B2875" s="80" t="s">
        <v>4558</v>
      </c>
      <c r="C2875" s="80"/>
      <c r="D2875" s="80"/>
      <c r="E2875" s="80"/>
      <c r="F2875" s="80"/>
      <c r="G2875" s="81"/>
      <c r="H2875" s="80"/>
      <c r="I2875" s="137"/>
      <c r="J2875" s="80"/>
      <c r="K2875" s="80"/>
    </row>
    <row r="2876" spans="1:11" ht="15" customHeight="1" x14ac:dyDescent="0.25">
      <c r="A2876" s="80" t="s">
        <v>4607</v>
      </c>
      <c r="B2876" s="80" t="s">
        <v>4608</v>
      </c>
      <c r="C2876" s="80"/>
      <c r="D2876" s="80"/>
      <c r="E2876" s="80"/>
      <c r="F2876" s="80"/>
      <c r="G2876" s="81"/>
      <c r="H2876" s="80"/>
      <c r="I2876" s="137"/>
      <c r="J2876" s="80"/>
      <c r="K2876" s="80"/>
    </row>
    <row r="2877" spans="1:11" ht="15" customHeight="1" x14ac:dyDescent="0.25">
      <c r="A2877" s="82" t="s">
        <v>4236</v>
      </c>
      <c r="B2877" s="83" t="s">
        <v>4334</v>
      </c>
      <c r="C2877" s="83"/>
      <c r="D2877" s="83"/>
      <c r="E2877" s="83" t="s">
        <v>4228</v>
      </c>
      <c r="F2877" s="82" t="s">
        <v>78</v>
      </c>
      <c r="G2877" s="82">
        <v>1</v>
      </c>
      <c r="H2877" s="82">
        <v>4500</v>
      </c>
      <c r="I2877" s="138">
        <f>H2877*G2877</f>
        <v>4500</v>
      </c>
      <c r="J2877" s="82"/>
      <c r="K2877" s="83"/>
    </row>
    <row r="2878" spans="1:11" ht="15" customHeight="1" x14ac:dyDescent="0.25">
      <c r="A2878" s="82" t="s">
        <v>4236</v>
      </c>
      <c r="B2878" s="83" t="s">
        <v>4492</v>
      </c>
      <c r="C2878" s="83"/>
      <c r="D2878" s="83"/>
      <c r="E2878" s="83" t="s">
        <v>4228</v>
      </c>
      <c r="F2878" s="82" t="s">
        <v>78</v>
      </c>
      <c r="G2878" s="82">
        <v>1</v>
      </c>
      <c r="H2878" s="82">
        <v>4720</v>
      </c>
      <c r="I2878" s="138">
        <f>H2878*G2878</f>
        <v>4720</v>
      </c>
      <c r="J2878" s="82"/>
      <c r="K2878" s="83"/>
    </row>
    <row r="2879" spans="1:11" ht="15" customHeight="1" x14ac:dyDescent="0.25">
      <c r="A2879" s="82" t="s">
        <v>4236</v>
      </c>
      <c r="B2879" s="83" t="s">
        <v>4389</v>
      </c>
      <c r="C2879" s="83"/>
      <c r="D2879" s="83"/>
      <c r="E2879" s="83" t="s">
        <v>4228</v>
      </c>
      <c r="F2879" s="82" t="s">
        <v>78</v>
      </c>
      <c r="G2879" s="82">
        <v>1</v>
      </c>
      <c r="H2879" s="82">
        <v>4090</v>
      </c>
      <c r="I2879" s="138">
        <f>H2879*G2879</f>
        <v>4090</v>
      </c>
      <c r="J2879" s="82"/>
      <c r="K2879" s="83"/>
    </row>
    <row r="2880" spans="1:11" ht="15" customHeight="1" x14ac:dyDescent="0.25">
      <c r="A2880" s="82" t="s">
        <v>4236</v>
      </c>
      <c r="B2880" s="83" t="s">
        <v>4493</v>
      </c>
      <c r="C2880" s="83"/>
      <c r="D2880" s="83"/>
      <c r="E2880" s="83" t="s">
        <v>4228</v>
      </c>
      <c r="F2880" s="82" t="s">
        <v>78</v>
      </c>
      <c r="G2880" s="82">
        <v>1</v>
      </c>
      <c r="H2880" s="82">
        <v>760</v>
      </c>
      <c r="I2880" s="138">
        <f>H2880*G2880</f>
        <v>760</v>
      </c>
      <c r="J2880" s="82"/>
      <c r="K2880" s="83"/>
    </row>
    <row r="2881" spans="1:11" ht="15" customHeight="1" x14ac:dyDescent="0.25">
      <c r="A2881" s="82" t="s">
        <v>4236</v>
      </c>
      <c r="B2881" s="83" t="s">
        <v>4494</v>
      </c>
      <c r="C2881" s="83"/>
      <c r="D2881" s="83"/>
      <c r="E2881" s="83" t="s">
        <v>4228</v>
      </c>
      <c r="F2881" s="82" t="s">
        <v>78</v>
      </c>
      <c r="G2881" s="82">
        <v>1</v>
      </c>
      <c r="H2881" s="82">
        <v>3270</v>
      </c>
      <c r="I2881" s="138">
        <f>H2881*G2881</f>
        <v>3270</v>
      </c>
      <c r="J2881" s="82"/>
      <c r="K2881" s="83"/>
    </row>
    <row r="2882" spans="1:11" ht="15" customHeight="1" x14ac:dyDescent="0.25">
      <c r="A2882" s="80" t="s">
        <v>4609</v>
      </c>
      <c r="B2882" s="80" t="s">
        <v>4610</v>
      </c>
      <c r="C2882" s="80"/>
      <c r="D2882" s="80"/>
      <c r="E2882" s="80"/>
      <c r="F2882" s="80"/>
      <c r="G2882" s="81"/>
      <c r="H2882" s="80"/>
      <c r="I2882" s="137"/>
      <c r="J2882" s="80"/>
      <c r="K2882" s="80"/>
    </row>
    <row r="2883" spans="1:11" ht="27" customHeight="1" x14ac:dyDescent="0.25">
      <c r="A2883" s="82" t="s">
        <v>4257</v>
      </c>
      <c r="B2883" s="83" t="s">
        <v>4258</v>
      </c>
      <c r="C2883" s="83"/>
      <c r="D2883" s="83"/>
      <c r="E2883" s="83" t="s">
        <v>4228</v>
      </c>
      <c r="F2883" s="82" t="s">
        <v>78</v>
      </c>
      <c r="G2883" s="82">
        <v>2</v>
      </c>
      <c r="H2883" s="82"/>
      <c r="I2883" s="138">
        <f>H2883*G2883</f>
        <v>0</v>
      </c>
      <c r="J2883" s="82"/>
      <c r="K2883" s="83"/>
    </row>
    <row r="2884" spans="1:11" ht="15" customHeight="1" x14ac:dyDescent="0.25">
      <c r="A2884" s="80" t="s">
        <v>4611</v>
      </c>
      <c r="B2884" s="80" t="s">
        <v>4612</v>
      </c>
      <c r="C2884" s="80"/>
      <c r="D2884" s="80"/>
      <c r="E2884" s="80"/>
      <c r="F2884" s="80"/>
      <c r="G2884" s="81"/>
      <c r="H2884" s="80"/>
      <c r="I2884" s="137"/>
      <c r="J2884" s="80"/>
      <c r="K2884" s="80"/>
    </row>
    <row r="2885" spans="1:11" ht="75" customHeight="1" x14ac:dyDescent="0.25">
      <c r="A2885" s="82" t="s">
        <v>4565</v>
      </c>
      <c r="B2885" s="83" t="s">
        <v>4566</v>
      </c>
      <c r="C2885" s="83" t="s">
        <v>4567</v>
      </c>
      <c r="D2885" s="83"/>
      <c r="E2885" s="83" t="s">
        <v>4228</v>
      </c>
      <c r="F2885" s="82" t="s">
        <v>78</v>
      </c>
      <c r="G2885" s="82">
        <v>1</v>
      </c>
      <c r="H2885" s="82"/>
      <c r="I2885" s="138">
        <f t="shared" ref="I2885:I2893" si="119">H2885*G2885</f>
        <v>0</v>
      </c>
      <c r="J2885" s="82" t="s">
        <v>4568</v>
      </c>
      <c r="K2885" s="83" t="s">
        <v>4590</v>
      </c>
    </row>
    <row r="2886" spans="1:11" ht="15" customHeight="1" x14ac:dyDescent="0.25">
      <c r="A2886" s="82" t="s">
        <v>4236</v>
      </c>
      <c r="B2886" s="83" t="s">
        <v>4570</v>
      </c>
      <c r="C2886" s="83"/>
      <c r="D2886" s="83"/>
      <c r="E2886" s="83" t="s">
        <v>4228</v>
      </c>
      <c r="F2886" s="82" t="s">
        <v>576</v>
      </c>
      <c r="G2886" s="82">
        <v>4.5</v>
      </c>
      <c r="H2886" s="82"/>
      <c r="I2886" s="138">
        <f t="shared" si="119"/>
        <v>0</v>
      </c>
      <c r="J2886" s="82"/>
      <c r="K2886" s="83"/>
    </row>
    <row r="2887" spans="1:11" ht="15" customHeight="1" x14ac:dyDescent="0.25">
      <c r="A2887" s="82" t="s">
        <v>4236</v>
      </c>
      <c r="B2887" s="83" t="s">
        <v>4571</v>
      </c>
      <c r="C2887" s="83"/>
      <c r="D2887" s="83"/>
      <c r="E2887" s="83" t="s">
        <v>4228</v>
      </c>
      <c r="F2887" s="82" t="s">
        <v>47</v>
      </c>
      <c r="G2887" s="82">
        <v>1</v>
      </c>
      <c r="H2887" s="82">
        <v>1000</v>
      </c>
      <c r="I2887" s="138">
        <f t="shared" si="119"/>
        <v>1000</v>
      </c>
      <c r="J2887" s="82" t="s">
        <v>4519</v>
      </c>
      <c r="K2887" s="83"/>
    </row>
    <row r="2888" spans="1:11" ht="15" customHeight="1" x14ac:dyDescent="0.25">
      <c r="A2888" s="82" t="s">
        <v>4236</v>
      </c>
      <c r="B2888" s="83" t="s">
        <v>4572</v>
      </c>
      <c r="C2888" s="83"/>
      <c r="D2888" s="83"/>
      <c r="E2888" s="83" t="s">
        <v>4228</v>
      </c>
      <c r="F2888" s="82" t="s">
        <v>78</v>
      </c>
      <c r="G2888" s="82">
        <v>1</v>
      </c>
      <c r="H2888" s="82"/>
      <c r="I2888" s="138">
        <f t="shared" si="119"/>
        <v>0</v>
      </c>
      <c r="J2888" s="82"/>
      <c r="K2888" s="83"/>
    </row>
    <row r="2889" spans="1:11" ht="15" customHeight="1" x14ac:dyDescent="0.25">
      <c r="A2889" s="82" t="s">
        <v>4236</v>
      </c>
      <c r="B2889" s="83" t="s">
        <v>4573</v>
      </c>
      <c r="C2889" s="83"/>
      <c r="D2889" s="83"/>
      <c r="E2889" s="83" t="s">
        <v>4228</v>
      </c>
      <c r="F2889" s="82" t="s">
        <v>78</v>
      </c>
      <c r="G2889" s="82">
        <v>1</v>
      </c>
      <c r="H2889" s="82"/>
      <c r="I2889" s="138">
        <f t="shared" si="119"/>
        <v>0</v>
      </c>
      <c r="J2889" s="82"/>
      <c r="K2889" s="83"/>
    </row>
    <row r="2890" spans="1:11" ht="15" customHeight="1" x14ac:dyDescent="0.25">
      <c r="A2890" s="82" t="s">
        <v>4236</v>
      </c>
      <c r="B2890" s="83" t="s">
        <v>4574</v>
      </c>
      <c r="C2890" s="83"/>
      <c r="D2890" s="83"/>
      <c r="E2890" s="83" t="s">
        <v>4228</v>
      </c>
      <c r="F2890" s="82" t="s">
        <v>47</v>
      </c>
      <c r="G2890" s="82">
        <v>1</v>
      </c>
      <c r="H2890" s="82"/>
      <c r="I2890" s="138">
        <f t="shared" si="119"/>
        <v>0</v>
      </c>
      <c r="J2890" s="82"/>
      <c r="K2890" s="83"/>
    </row>
    <row r="2891" spans="1:11" ht="15" customHeight="1" x14ac:dyDescent="0.25">
      <c r="A2891" s="82" t="s">
        <v>4236</v>
      </c>
      <c r="B2891" s="83" t="s">
        <v>4575</v>
      </c>
      <c r="C2891" s="83"/>
      <c r="D2891" s="83"/>
      <c r="E2891" s="83" t="s">
        <v>4228</v>
      </c>
      <c r="F2891" s="82" t="s">
        <v>78</v>
      </c>
      <c r="G2891" s="82">
        <v>1</v>
      </c>
      <c r="H2891" s="82">
        <v>500</v>
      </c>
      <c r="I2891" s="138">
        <f t="shared" si="119"/>
        <v>500</v>
      </c>
      <c r="J2891" s="82"/>
      <c r="K2891" s="83"/>
    </row>
    <row r="2892" spans="1:11" ht="15" customHeight="1" x14ac:dyDescent="0.25">
      <c r="A2892" s="82" t="s">
        <v>4236</v>
      </c>
      <c r="B2892" s="83" t="s">
        <v>4576</v>
      </c>
      <c r="C2892" s="83"/>
      <c r="D2892" s="83"/>
      <c r="E2892" s="83" t="s">
        <v>4228</v>
      </c>
      <c r="F2892" s="82" t="s">
        <v>78</v>
      </c>
      <c r="G2892" s="82">
        <v>1</v>
      </c>
      <c r="H2892" s="82"/>
      <c r="I2892" s="138">
        <f t="shared" si="119"/>
        <v>0</v>
      </c>
      <c r="J2892" s="82"/>
      <c r="K2892" s="83"/>
    </row>
    <row r="2893" spans="1:11" ht="15" customHeight="1" x14ac:dyDescent="0.25">
      <c r="A2893" s="82" t="s">
        <v>4577</v>
      </c>
      <c r="B2893" s="83" t="s">
        <v>4578</v>
      </c>
      <c r="C2893" s="83" t="s">
        <v>4579</v>
      </c>
      <c r="D2893" s="83"/>
      <c r="E2893" s="83" t="s">
        <v>4228</v>
      </c>
      <c r="F2893" s="82" t="s">
        <v>78</v>
      </c>
      <c r="G2893" s="82">
        <v>4</v>
      </c>
      <c r="H2893" s="82"/>
      <c r="I2893" s="138">
        <f t="shared" si="119"/>
        <v>0</v>
      </c>
      <c r="J2893" s="82"/>
      <c r="K2893" s="83"/>
    </row>
    <row r="2894" spans="1:11" ht="15" customHeight="1" x14ac:dyDescent="0.25">
      <c r="A2894" s="80" t="s">
        <v>4613</v>
      </c>
      <c r="B2894" s="80" t="s">
        <v>4614</v>
      </c>
      <c r="C2894" s="80"/>
      <c r="D2894" s="80"/>
      <c r="E2894" s="80"/>
      <c r="F2894" s="80"/>
      <c r="G2894" s="81"/>
      <c r="H2894" s="80"/>
      <c r="I2894" s="137"/>
      <c r="J2894" s="80"/>
      <c r="K2894" s="80"/>
    </row>
    <row r="2895" spans="1:11" ht="27" customHeight="1" x14ac:dyDescent="0.25">
      <c r="A2895" s="82" t="s">
        <v>4310</v>
      </c>
      <c r="B2895" s="83" t="s">
        <v>4311</v>
      </c>
      <c r="C2895" s="83" t="s">
        <v>4312</v>
      </c>
      <c r="D2895" s="83"/>
      <c r="E2895" s="83" t="s">
        <v>4228</v>
      </c>
      <c r="F2895" s="82" t="s">
        <v>78</v>
      </c>
      <c r="G2895" s="82">
        <v>1</v>
      </c>
      <c r="H2895" s="82"/>
      <c r="I2895" s="138">
        <f t="shared" ref="I2895:I2903" si="120">H2895*G2895</f>
        <v>0</v>
      </c>
      <c r="J2895" s="82"/>
      <c r="K2895" s="83"/>
    </row>
    <row r="2896" spans="1:11" ht="27" customHeight="1" x14ac:dyDescent="0.25">
      <c r="A2896" s="82" t="s">
        <v>4242</v>
      </c>
      <c r="B2896" s="83" t="s">
        <v>4313</v>
      </c>
      <c r="C2896" s="83" t="s">
        <v>4282</v>
      </c>
      <c r="D2896" s="83"/>
      <c r="E2896" s="83" t="s">
        <v>4228</v>
      </c>
      <c r="F2896" s="82" t="s">
        <v>78</v>
      </c>
      <c r="G2896" s="82">
        <v>2</v>
      </c>
      <c r="H2896" s="82">
        <v>1950</v>
      </c>
      <c r="I2896" s="138">
        <f t="shared" si="120"/>
        <v>3900</v>
      </c>
      <c r="J2896" s="82"/>
      <c r="K2896" s="83" t="s">
        <v>4246</v>
      </c>
    </row>
    <row r="2897" spans="1:11" ht="27" customHeight="1" x14ac:dyDescent="0.25">
      <c r="A2897" s="82" t="s">
        <v>4549</v>
      </c>
      <c r="B2897" s="83" t="s">
        <v>4550</v>
      </c>
      <c r="C2897" s="83"/>
      <c r="D2897" s="83"/>
      <c r="E2897" s="83" t="s">
        <v>4228</v>
      </c>
      <c r="F2897" s="82" t="s">
        <v>78</v>
      </c>
      <c r="G2897" s="82">
        <v>23</v>
      </c>
      <c r="H2897" s="82"/>
      <c r="I2897" s="138">
        <f t="shared" si="120"/>
        <v>0</v>
      </c>
      <c r="J2897" s="82"/>
      <c r="K2897" s="83"/>
    </row>
    <row r="2898" spans="1:11" ht="27" customHeight="1" x14ac:dyDescent="0.25">
      <c r="A2898" s="82" t="s">
        <v>4551</v>
      </c>
      <c r="B2898" s="83" t="s">
        <v>4552</v>
      </c>
      <c r="C2898" s="83"/>
      <c r="D2898" s="83"/>
      <c r="E2898" s="83" t="s">
        <v>4228</v>
      </c>
      <c r="F2898" s="82" t="s">
        <v>78</v>
      </c>
      <c r="G2898" s="82">
        <v>2</v>
      </c>
      <c r="H2898" s="82"/>
      <c r="I2898" s="138">
        <f t="shared" si="120"/>
        <v>0</v>
      </c>
      <c r="J2898" s="82"/>
      <c r="K2898" s="83"/>
    </row>
    <row r="2899" spans="1:11" ht="27" customHeight="1" x14ac:dyDescent="0.25">
      <c r="A2899" s="82" t="s">
        <v>4553</v>
      </c>
      <c r="B2899" s="83" t="s">
        <v>4554</v>
      </c>
      <c r="C2899" s="83"/>
      <c r="D2899" s="83"/>
      <c r="E2899" s="83" t="s">
        <v>4228</v>
      </c>
      <c r="F2899" s="82" t="s">
        <v>78</v>
      </c>
      <c r="G2899" s="82">
        <v>1</v>
      </c>
      <c r="H2899" s="82"/>
      <c r="I2899" s="138">
        <f t="shared" si="120"/>
        <v>0</v>
      </c>
      <c r="J2899" s="82"/>
      <c r="K2899" s="83"/>
    </row>
    <row r="2900" spans="1:11" ht="39" customHeight="1" x14ac:dyDescent="0.25">
      <c r="A2900" s="82" t="s">
        <v>4477</v>
      </c>
      <c r="B2900" s="83" t="s">
        <v>4478</v>
      </c>
      <c r="C2900" s="83" t="s">
        <v>4479</v>
      </c>
      <c r="D2900" s="83"/>
      <c r="E2900" s="83" t="s">
        <v>4228</v>
      </c>
      <c r="F2900" s="82" t="s">
        <v>78</v>
      </c>
      <c r="G2900" s="82">
        <v>1</v>
      </c>
      <c r="H2900" s="82">
        <v>33000</v>
      </c>
      <c r="I2900" s="138">
        <f t="shared" si="120"/>
        <v>33000</v>
      </c>
      <c r="J2900" s="82"/>
      <c r="K2900" s="83"/>
    </row>
    <row r="2901" spans="1:11" ht="39" customHeight="1" x14ac:dyDescent="0.25">
      <c r="A2901" s="82" t="s">
        <v>4486</v>
      </c>
      <c r="B2901" s="83" t="s">
        <v>4487</v>
      </c>
      <c r="C2901" s="83"/>
      <c r="D2901" s="83"/>
      <c r="E2901" s="83" t="s">
        <v>4228</v>
      </c>
      <c r="F2901" s="82" t="s">
        <v>78</v>
      </c>
      <c r="G2901" s="82">
        <v>2</v>
      </c>
      <c r="H2901" s="82">
        <v>9600</v>
      </c>
      <c r="I2901" s="138">
        <f t="shared" si="120"/>
        <v>19200</v>
      </c>
      <c r="J2901" s="82"/>
      <c r="K2901" s="83"/>
    </row>
    <row r="2902" spans="1:11" ht="15" customHeight="1" x14ac:dyDescent="0.25">
      <c r="A2902" s="82" t="s">
        <v>4236</v>
      </c>
      <c r="B2902" s="83" t="s">
        <v>4343</v>
      </c>
      <c r="C2902" s="83"/>
      <c r="D2902" s="83"/>
      <c r="E2902" s="83" t="s">
        <v>4228</v>
      </c>
      <c r="F2902" s="82" t="s">
        <v>78</v>
      </c>
      <c r="G2902" s="82">
        <v>4</v>
      </c>
      <c r="H2902" s="82">
        <v>1570</v>
      </c>
      <c r="I2902" s="138">
        <f t="shared" si="120"/>
        <v>6280</v>
      </c>
      <c r="J2902" s="82" t="s">
        <v>4236</v>
      </c>
      <c r="K2902" s="83"/>
    </row>
    <row r="2903" spans="1:11" ht="15" customHeight="1" x14ac:dyDescent="0.25">
      <c r="A2903" s="82" t="s">
        <v>4236</v>
      </c>
      <c r="B2903" s="83" t="s">
        <v>4334</v>
      </c>
      <c r="C2903" s="83"/>
      <c r="D2903" s="83"/>
      <c r="E2903" s="83" t="s">
        <v>4228</v>
      </c>
      <c r="F2903" s="82" t="s">
        <v>78</v>
      </c>
      <c r="G2903" s="82">
        <v>2</v>
      </c>
      <c r="H2903" s="82">
        <v>4500</v>
      </c>
      <c r="I2903" s="138">
        <f t="shared" si="120"/>
        <v>9000</v>
      </c>
      <c r="J2903" s="82"/>
      <c r="K2903" s="83"/>
    </row>
    <row r="2904" spans="1:11" ht="15" customHeight="1" x14ac:dyDescent="0.25">
      <c r="A2904" s="80" t="s">
        <v>4615</v>
      </c>
      <c r="B2904" s="80" t="s">
        <v>4616</v>
      </c>
      <c r="C2904" s="80"/>
      <c r="D2904" s="80"/>
      <c r="E2904" s="80"/>
      <c r="F2904" s="80"/>
      <c r="G2904" s="81"/>
      <c r="H2904" s="80"/>
      <c r="I2904" s="137"/>
      <c r="J2904" s="80"/>
      <c r="K2904" s="80"/>
    </row>
    <row r="2905" spans="1:11" ht="39" customHeight="1" x14ac:dyDescent="0.25">
      <c r="A2905" s="82" t="s">
        <v>4236</v>
      </c>
      <c r="B2905" s="83" t="s">
        <v>4497</v>
      </c>
      <c r="C2905" s="83"/>
      <c r="D2905" s="83"/>
      <c r="E2905" s="83" t="s">
        <v>4228</v>
      </c>
      <c r="F2905" s="82" t="s">
        <v>78</v>
      </c>
      <c r="G2905" s="82">
        <v>5</v>
      </c>
      <c r="H2905" s="82"/>
      <c r="I2905" s="138">
        <f>H2905*G2905</f>
        <v>0</v>
      </c>
      <c r="J2905" s="82"/>
      <c r="K2905" s="83"/>
    </row>
    <row r="2906" spans="1:11" ht="15" customHeight="1" x14ac:dyDescent="0.25">
      <c r="A2906" s="80" t="s">
        <v>4617</v>
      </c>
      <c r="B2906" s="80" t="s">
        <v>4558</v>
      </c>
      <c r="C2906" s="80"/>
      <c r="D2906" s="80"/>
      <c r="E2906" s="80"/>
      <c r="F2906" s="80"/>
      <c r="G2906" s="81"/>
      <c r="H2906" s="80"/>
      <c r="I2906" s="137"/>
      <c r="J2906" s="80"/>
      <c r="K2906" s="80"/>
    </row>
    <row r="2907" spans="1:11" ht="15" customHeight="1" x14ac:dyDescent="0.25">
      <c r="A2907" s="80" t="s">
        <v>4618</v>
      </c>
      <c r="B2907" s="80" t="s">
        <v>4619</v>
      </c>
      <c r="C2907" s="80"/>
      <c r="D2907" s="80"/>
      <c r="E2907" s="80"/>
      <c r="F2907" s="80"/>
      <c r="G2907" s="81"/>
      <c r="H2907" s="80"/>
      <c r="I2907" s="137"/>
      <c r="J2907" s="80"/>
      <c r="K2907" s="80"/>
    </row>
    <row r="2908" spans="1:11" ht="15" customHeight="1" x14ac:dyDescent="0.25">
      <c r="A2908" s="82" t="s">
        <v>4236</v>
      </c>
      <c r="B2908" s="83" t="s">
        <v>4334</v>
      </c>
      <c r="C2908" s="83"/>
      <c r="D2908" s="83"/>
      <c r="E2908" s="83" t="s">
        <v>4228</v>
      </c>
      <c r="F2908" s="82" t="s">
        <v>78</v>
      </c>
      <c r="G2908" s="82">
        <v>1</v>
      </c>
      <c r="H2908" s="82">
        <v>4500</v>
      </c>
      <c r="I2908" s="138">
        <f>H2908*G2908</f>
        <v>4500</v>
      </c>
      <c r="J2908" s="82"/>
      <c r="K2908" s="83"/>
    </row>
    <row r="2909" spans="1:11" ht="15" customHeight="1" x14ac:dyDescent="0.25">
      <c r="A2909" s="82" t="s">
        <v>4236</v>
      </c>
      <c r="B2909" s="83" t="s">
        <v>4492</v>
      </c>
      <c r="C2909" s="83"/>
      <c r="D2909" s="83"/>
      <c r="E2909" s="83" t="s">
        <v>4228</v>
      </c>
      <c r="F2909" s="82" t="s">
        <v>78</v>
      </c>
      <c r="G2909" s="82">
        <v>1</v>
      </c>
      <c r="H2909" s="82">
        <v>4720</v>
      </c>
      <c r="I2909" s="138">
        <f>H2909*G2909</f>
        <v>4720</v>
      </c>
      <c r="J2909" s="82"/>
      <c r="K2909" s="83"/>
    </row>
    <row r="2910" spans="1:11" ht="15" customHeight="1" x14ac:dyDescent="0.25">
      <c r="A2910" s="82" t="s">
        <v>4236</v>
      </c>
      <c r="B2910" s="83" t="s">
        <v>4389</v>
      </c>
      <c r="C2910" s="83"/>
      <c r="D2910" s="83"/>
      <c r="E2910" s="83" t="s">
        <v>4228</v>
      </c>
      <c r="F2910" s="82" t="s">
        <v>78</v>
      </c>
      <c r="G2910" s="82">
        <v>1</v>
      </c>
      <c r="H2910" s="82">
        <v>4090</v>
      </c>
      <c r="I2910" s="138">
        <f>H2910*G2910</f>
        <v>4090</v>
      </c>
      <c r="J2910" s="82"/>
      <c r="K2910" s="83"/>
    </row>
    <row r="2911" spans="1:11" ht="15" customHeight="1" x14ac:dyDescent="0.25">
      <c r="A2911" s="82" t="s">
        <v>4236</v>
      </c>
      <c r="B2911" s="83" t="s">
        <v>4493</v>
      </c>
      <c r="C2911" s="83"/>
      <c r="D2911" s="83"/>
      <c r="E2911" s="83" t="s">
        <v>4228</v>
      </c>
      <c r="F2911" s="82" t="s">
        <v>78</v>
      </c>
      <c r="G2911" s="82">
        <v>1</v>
      </c>
      <c r="H2911" s="82">
        <v>760</v>
      </c>
      <c r="I2911" s="138">
        <f>H2911*G2911</f>
        <v>760</v>
      </c>
      <c r="J2911" s="82"/>
      <c r="K2911" s="83"/>
    </row>
    <row r="2912" spans="1:11" ht="15" customHeight="1" x14ac:dyDescent="0.25">
      <c r="A2912" s="82" t="s">
        <v>4236</v>
      </c>
      <c r="B2912" s="83" t="s">
        <v>4494</v>
      </c>
      <c r="C2912" s="83"/>
      <c r="D2912" s="83"/>
      <c r="E2912" s="83" t="s">
        <v>4228</v>
      </c>
      <c r="F2912" s="82" t="s">
        <v>78</v>
      </c>
      <c r="G2912" s="82">
        <v>1</v>
      </c>
      <c r="H2912" s="82">
        <v>3270</v>
      </c>
      <c r="I2912" s="138">
        <f>H2912*G2912</f>
        <v>3270</v>
      </c>
      <c r="J2912" s="82"/>
      <c r="K2912" s="83"/>
    </row>
    <row r="2913" spans="1:11" ht="15" customHeight="1" x14ac:dyDescent="0.25">
      <c r="A2913" s="80" t="s">
        <v>4620</v>
      </c>
      <c r="B2913" s="80" t="s">
        <v>4621</v>
      </c>
      <c r="C2913" s="80"/>
      <c r="D2913" s="80"/>
      <c r="E2913" s="80"/>
      <c r="F2913" s="80"/>
      <c r="G2913" s="81"/>
      <c r="H2913" s="80"/>
      <c r="I2913" s="137"/>
      <c r="J2913" s="80"/>
      <c r="K2913" s="80"/>
    </row>
    <row r="2914" spans="1:11" ht="27" customHeight="1" x14ac:dyDescent="0.25">
      <c r="A2914" s="82" t="s">
        <v>4257</v>
      </c>
      <c r="B2914" s="83" t="s">
        <v>4258</v>
      </c>
      <c r="C2914" s="83"/>
      <c r="D2914" s="83"/>
      <c r="E2914" s="83" t="s">
        <v>4228</v>
      </c>
      <c r="F2914" s="82" t="s">
        <v>78</v>
      </c>
      <c r="G2914" s="82">
        <v>2</v>
      </c>
      <c r="H2914" s="82"/>
      <c r="I2914" s="138">
        <f>H2914*G2914</f>
        <v>0</v>
      </c>
      <c r="J2914" s="82"/>
      <c r="K2914" s="83"/>
    </row>
    <row r="2915" spans="1:11" ht="15" customHeight="1" x14ac:dyDescent="0.25">
      <c r="A2915" s="80" t="s">
        <v>4622</v>
      </c>
      <c r="B2915" s="80" t="s">
        <v>4623</v>
      </c>
      <c r="C2915" s="80"/>
      <c r="D2915" s="80"/>
      <c r="E2915" s="80"/>
      <c r="F2915" s="80"/>
      <c r="G2915" s="81"/>
      <c r="H2915" s="80"/>
      <c r="I2915" s="137"/>
      <c r="J2915" s="80"/>
      <c r="K2915" s="80"/>
    </row>
    <row r="2916" spans="1:11" ht="75" customHeight="1" x14ac:dyDescent="0.25">
      <c r="A2916" s="82" t="s">
        <v>4565</v>
      </c>
      <c r="B2916" s="83" t="s">
        <v>4566</v>
      </c>
      <c r="C2916" s="83" t="s">
        <v>4567</v>
      </c>
      <c r="D2916" s="83"/>
      <c r="E2916" s="83" t="s">
        <v>4228</v>
      </c>
      <c r="F2916" s="82" t="s">
        <v>78</v>
      </c>
      <c r="G2916" s="82">
        <v>1</v>
      </c>
      <c r="H2916" s="82"/>
      <c r="I2916" s="138">
        <f t="shared" ref="I2916:I2924" si="121">H2916*G2916</f>
        <v>0</v>
      </c>
      <c r="J2916" s="82" t="s">
        <v>4568</v>
      </c>
      <c r="K2916" s="83" t="s">
        <v>4569</v>
      </c>
    </row>
    <row r="2917" spans="1:11" ht="15" customHeight="1" x14ac:dyDescent="0.25">
      <c r="A2917" s="82" t="s">
        <v>4236</v>
      </c>
      <c r="B2917" s="83" t="s">
        <v>4570</v>
      </c>
      <c r="C2917" s="83"/>
      <c r="D2917" s="83"/>
      <c r="E2917" s="83" t="s">
        <v>4228</v>
      </c>
      <c r="F2917" s="82" t="s">
        <v>576</v>
      </c>
      <c r="G2917" s="82">
        <v>4.5</v>
      </c>
      <c r="H2917" s="82"/>
      <c r="I2917" s="138">
        <f t="shared" si="121"/>
        <v>0</v>
      </c>
      <c r="J2917" s="82"/>
      <c r="K2917" s="83"/>
    </row>
    <row r="2918" spans="1:11" ht="15" customHeight="1" x14ac:dyDescent="0.25">
      <c r="A2918" s="82" t="s">
        <v>4236</v>
      </c>
      <c r="B2918" s="83" t="s">
        <v>4571</v>
      </c>
      <c r="C2918" s="83"/>
      <c r="D2918" s="83"/>
      <c r="E2918" s="83" t="s">
        <v>4228</v>
      </c>
      <c r="F2918" s="82" t="s">
        <v>47</v>
      </c>
      <c r="G2918" s="82">
        <v>1</v>
      </c>
      <c r="H2918" s="82">
        <v>1000</v>
      </c>
      <c r="I2918" s="138">
        <f t="shared" si="121"/>
        <v>1000</v>
      </c>
      <c r="J2918" s="82" t="s">
        <v>4519</v>
      </c>
      <c r="K2918" s="83"/>
    </row>
    <row r="2919" spans="1:11" ht="15" customHeight="1" x14ac:dyDescent="0.25">
      <c r="A2919" s="82" t="s">
        <v>4236</v>
      </c>
      <c r="B2919" s="83" t="s">
        <v>4572</v>
      </c>
      <c r="C2919" s="83"/>
      <c r="D2919" s="83"/>
      <c r="E2919" s="83" t="s">
        <v>4228</v>
      </c>
      <c r="F2919" s="82" t="s">
        <v>78</v>
      </c>
      <c r="G2919" s="82">
        <v>1</v>
      </c>
      <c r="H2919" s="82"/>
      <c r="I2919" s="138">
        <f t="shared" si="121"/>
        <v>0</v>
      </c>
      <c r="J2919" s="82"/>
      <c r="K2919" s="83"/>
    </row>
    <row r="2920" spans="1:11" ht="15" customHeight="1" x14ac:dyDescent="0.25">
      <c r="A2920" s="82" t="s">
        <v>4236</v>
      </c>
      <c r="B2920" s="83" t="s">
        <v>4573</v>
      </c>
      <c r="C2920" s="83"/>
      <c r="D2920" s="83"/>
      <c r="E2920" s="83" t="s">
        <v>4228</v>
      </c>
      <c r="F2920" s="82" t="s">
        <v>78</v>
      </c>
      <c r="G2920" s="82">
        <v>1</v>
      </c>
      <c r="H2920" s="82"/>
      <c r="I2920" s="138">
        <f t="shared" si="121"/>
        <v>0</v>
      </c>
      <c r="J2920" s="82"/>
      <c r="K2920" s="83"/>
    </row>
    <row r="2921" spans="1:11" ht="15" customHeight="1" x14ac:dyDescent="0.25">
      <c r="A2921" s="82" t="s">
        <v>4236</v>
      </c>
      <c r="B2921" s="83" t="s">
        <v>4574</v>
      </c>
      <c r="C2921" s="83"/>
      <c r="D2921" s="83"/>
      <c r="E2921" s="83" t="s">
        <v>4228</v>
      </c>
      <c r="F2921" s="82" t="s">
        <v>47</v>
      </c>
      <c r="G2921" s="82">
        <v>1</v>
      </c>
      <c r="H2921" s="82"/>
      <c r="I2921" s="138">
        <f t="shared" si="121"/>
        <v>0</v>
      </c>
      <c r="J2921" s="82"/>
      <c r="K2921" s="83"/>
    </row>
    <row r="2922" spans="1:11" ht="15" customHeight="1" x14ac:dyDescent="0.25">
      <c r="A2922" s="82" t="s">
        <v>4236</v>
      </c>
      <c r="B2922" s="83" t="s">
        <v>4575</v>
      </c>
      <c r="C2922" s="83"/>
      <c r="D2922" s="83"/>
      <c r="E2922" s="83" t="s">
        <v>4228</v>
      </c>
      <c r="F2922" s="82" t="s">
        <v>78</v>
      </c>
      <c r="G2922" s="82">
        <v>1</v>
      </c>
      <c r="H2922" s="82">
        <v>500</v>
      </c>
      <c r="I2922" s="138">
        <f t="shared" si="121"/>
        <v>500</v>
      </c>
      <c r="J2922" s="82"/>
      <c r="K2922" s="83"/>
    </row>
    <row r="2923" spans="1:11" ht="15" customHeight="1" x14ac:dyDescent="0.25">
      <c r="A2923" s="82" t="s">
        <v>4236</v>
      </c>
      <c r="B2923" s="83" t="s">
        <v>4576</v>
      </c>
      <c r="C2923" s="83"/>
      <c r="D2923" s="83"/>
      <c r="E2923" s="83" t="s">
        <v>4228</v>
      </c>
      <c r="F2923" s="82" t="s">
        <v>78</v>
      </c>
      <c r="G2923" s="82">
        <v>1</v>
      </c>
      <c r="H2923" s="82"/>
      <c r="I2923" s="138">
        <f t="shared" si="121"/>
        <v>0</v>
      </c>
      <c r="J2923" s="82"/>
      <c r="K2923" s="83"/>
    </row>
    <row r="2924" spans="1:11" ht="15" customHeight="1" x14ac:dyDescent="0.25">
      <c r="A2924" s="82" t="s">
        <v>4577</v>
      </c>
      <c r="B2924" s="83" t="s">
        <v>4578</v>
      </c>
      <c r="C2924" s="83" t="s">
        <v>4579</v>
      </c>
      <c r="D2924" s="83"/>
      <c r="E2924" s="83" t="s">
        <v>4228</v>
      </c>
      <c r="F2924" s="82" t="s">
        <v>78</v>
      </c>
      <c r="G2924" s="82">
        <v>4</v>
      </c>
      <c r="H2924" s="82"/>
      <c r="I2924" s="138">
        <f t="shared" si="121"/>
        <v>0</v>
      </c>
      <c r="J2924" s="82"/>
      <c r="K2924" s="83"/>
    </row>
    <row r="2925" spans="1:11" ht="15" customHeight="1" x14ac:dyDescent="0.25">
      <c r="A2925" s="80" t="s">
        <v>4414</v>
      </c>
      <c r="B2925" s="80" t="s">
        <v>4624</v>
      </c>
      <c r="C2925" s="80"/>
      <c r="D2925" s="80"/>
      <c r="E2925" s="80"/>
      <c r="F2925" s="80"/>
      <c r="G2925" s="81"/>
      <c r="H2925" s="80"/>
      <c r="I2925" s="137"/>
      <c r="J2925" s="80"/>
      <c r="K2925" s="80"/>
    </row>
    <row r="2926" spans="1:11" ht="27" customHeight="1" x14ac:dyDescent="0.25">
      <c r="A2926" s="82" t="s">
        <v>4310</v>
      </c>
      <c r="B2926" s="83" t="s">
        <v>4311</v>
      </c>
      <c r="C2926" s="83" t="s">
        <v>4312</v>
      </c>
      <c r="D2926" s="83"/>
      <c r="E2926" s="83" t="s">
        <v>4228</v>
      </c>
      <c r="F2926" s="82" t="s">
        <v>78</v>
      </c>
      <c r="G2926" s="82">
        <v>1</v>
      </c>
      <c r="H2926" s="82"/>
      <c r="I2926" s="138">
        <f t="shared" ref="I2926:I2934" si="122">H2926*G2926</f>
        <v>0</v>
      </c>
      <c r="J2926" s="82"/>
      <c r="K2926" s="83"/>
    </row>
    <row r="2927" spans="1:11" ht="27" customHeight="1" x14ac:dyDescent="0.25">
      <c r="A2927" s="82" t="s">
        <v>4242</v>
      </c>
      <c r="B2927" s="83" t="s">
        <v>4313</v>
      </c>
      <c r="C2927" s="83" t="s">
        <v>4282</v>
      </c>
      <c r="D2927" s="83"/>
      <c r="E2927" s="83" t="s">
        <v>4228</v>
      </c>
      <c r="F2927" s="82" t="s">
        <v>78</v>
      </c>
      <c r="G2927" s="82">
        <v>2</v>
      </c>
      <c r="H2927" s="82">
        <v>1950</v>
      </c>
      <c r="I2927" s="138">
        <f t="shared" si="122"/>
        <v>3900</v>
      </c>
      <c r="J2927" s="82"/>
      <c r="K2927" s="83" t="s">
        <v>4246</v>
      </c>
    </row>
    <row r="2928" spans="1:11" ht="27" customHeight="1" x14ac:dyDescent="0.25">
      <c r="A2928" s="82" t="s">
        <v>4549</v>
      </c>
      <c r="B2928" s="83" t="s">
        <v>4550</v>
      </c>
      <c r="C2928" s="83"/>
      <c r="D2928" s="83"/>
      <c r="E2928" s="83" t="s">
        <v>4228</v>
      </c>
      <c r="F2928" s="82" t="s">
        <v>78</v>
      </c>
      <c r="G2928" s="82">
        <v>23</v>
      </c>
      <c r="H2928" s="82"/>
      <c r="I2928" s="138">
        <f t="shared" si="122"/>
        <v>0</v>
      </c>
      <c r="J2928" s="82"/>
      <c r="K2928" s="83"/>
    </row>
    <row r="2929" spans="1:11" ht="27" customHeight="1" x14ac:dyDescent="0.25">
      <c r="A2929" s="82" t="s">
        <v>4551</v>
      </c>
      <c r="B2929" s="83" t="s">
        <v>4552</v>
      </c>
      <c r="C2929" s="83"/>
      <c r="D2929" s="83"/>
      <c r="E2929" s="83" t="s">
        <v>4228</v>
      </c>
      <c r="F2929" s="82" t="s">
        <v>78</v>
      </c>
      <c r="G2929" s="82">
        <v>2</v>
      </c>
      <c r="H2929" s="82"/>
      <c r="I2929" s="138">
        <f t="shared" si="122"/>
        <v>0</v>
      </c>
      <c r="J2929" s="82"/>
      <c r="K2929" s="83"/>
    </row>
    <row r="2930" spans="1:11" ht="27" customHeight="1" x14ac:dyDescent="0.25">
      <c r="A2930" s="82" t="s">
        <v>4553</v>
      </c>
      <c r="B2930" s="83" t="s">
        <v>4554</v>
      </c>
      <c r="C2930" s="83"/>
      <c r="D2930" s="83"/>
      <c r="E2930" s="83" t="s">
        <v>4228</v>
      </c>
      <c r="F2930" s="82" t="s">
        <v>78</v>
      </c>
      <c r="G2930" s="82">
        <v>1</v>
      </c>
      <c r="H2930" s="82"/>
      <c r="I2930" s="138">
        <f t="shared" si="122"/>
        <v>0</v>
      </c>
      <c r="J2930" s="82"/>
      <c r="K2930" s="83"/>
    </row>
    <row r="2931" spans="1:11" ht="39" customHeight="1" x14ac:dyDescent="0.25">
      <c r="A2931" s="82" t="s">
        <v>4477</v>
      </c>
      <c r="B2931" s="83" t="s">
        <v>4478</v>
      </c>
      <c r="C2931" s="83" t="s">
        <v>4479</v>
      </c>
      <c r="D2931" s="83"/>
      <c r="E2931" s="83" t="s">
        <v>4228</v>
      </c>
      <c r="F2931" s="82" t="s">
        <v>78</v>
      </c>
      <c r="G2931" s="82">
        <v>1</v>
      </c>
      <c r="H2931" s="82">
        <v>33000</v>
      </c>
      <c r="I2931" s="138">
        <f t="shared" si="122"/>
        <v>33000</v>
      </c>
      <c r="J2931" s="82"/>
      <c r="K2931" s="83"/>
    </row>
    <row r="2932" spans="1:11" ht="39" customHeight="1" x14ac:dyDescent="0.25">
      <c r="A2932" s="82" t="s">
        <v>4486</v>
      </c>
      <c r="B2932" s="83" t="s">
        <v>4487</v>
      </c>
      <c r="C2932" s="83"/>
      <c r="D2932" s="83"/>
      <c r="E2932" s="83" t="s">
        <v>4228</v>
      </c>
      <c r="F2932" s="82" t="s">
        <v>78</v>
      </c>
      <c r="G2932" s="82">
        <v>2</v>
      </c>
      <c r="H2932" s="82">
        <v>9600</v>
      </c>
      <c r="I2932" s="138">
        <f t="shared" si="122"/>
        <v>19200</v>
      </c>
      <c r="J2932" s="82"/>
      <c r="K2932" s="83"/>
    </row>
    <row r="2933" spans="1:11" ht="15" customHeight="1" x14ac:dyDescent="0.25">
      <c r="A2933" s="82" t="s">
        <v>4236</v>
      </c>
      <c r="B2933" s="83" t="s">
        <v>4343</v>
      </c>
      <c r="C2933" s="83"/>
      <c r="D2933" s="83"/>
      <c r="E2933" s="83" t="s">
        <v>4228</v>
      </c>
      <c r="F2933" s="82" t="s">
        <v>78</v>
      </c>
      <c r="G2933" s="82">
        <v>4</v>
      </c>
      <c r="H2933" s="82">
        <v>1570</v>
      </c>
      <c r="I2933" s="138">
        <f t="shared" si="122"/>
        <v>6280</v>
      </c>
      <c r="J2933" s="82" t="s">
        <v>4236</v>
      </c>
      <c r="K2933" s="83"/>
    </row>
    <row r="2934" spans="1:11" ht="15" customHeight="1" x14ac:dyDescent="0.25">
      <c r="A2934" s="82" t="s">
        <v>4236</v>
      </c>
      <c r="B2934" s="83" t="s">
        <v>4334</v>
      </c>
      <c r="C2934" s="83"/>
      <c r="D2934" s="83"/>
      <c r="E2934" s="83" t="s">
        <v>4228</v>
      </c>
      <c r="F2934" s="82" t="s">
        <v>78</v>
      </c>
      <c r="G2934" s="82">
        <v>2</v>
      </c>
      <c r="H2934" s="82">
        <v>4500</v>
      </c>
      <c r="I2934" s="138">
        <f t="shared" si="122"/>
        <v>9000</v>
      </c>
      <c r="J2934" s="82"/>
      <c r="K2934" s="83"/>
    </row>
    <row r="2935" spans="1:11" ht="15" customHeight="1" x14ac:dyDescent="0.25">
      <c r="A2935" s="80" t="s">
        <v>4625</v>
      </c>
      <c r="B2935" s="80" t="s">
        <v>4626</v>
      </c>
      <c r="C2935" s="80"/>
      <c r="D2935" s="80"/>
      <c r="E2935" s="80"/>
      <c r="F2935" s="80"/>
      <c r="G2935" s="81"/>
      <c r="H2935" s="80"/>
      <c r="I2935" s="137"/>
      <c r="J2935" s="80"/>
      <c r="K2935" s="80"/>
    </row>
    <row r="2936" spans="1:11" ht="39" customHeight="1" x14ac:dyDescent="0.25">
      <c r="A2936" s="82" t="s">
        <v>4236</v>
      </c>
      <c r="B2936" s="83" t="s">
        <v>4497</v>
      </c>
      <c r="C2936" s="83"/>
      <c r="D2936" s="83"/>
      <c r="E2936" s="83" t="s">
        <v>4228</v>
      </c>
      <c r="F2936" s="82" t="s">
        <v>47</v>
      </c>
      <c r="G2936" s="82">
        <v>5</v>
      </c>
      <c r="H2936" s="82"/>
      <c r="I2936" s="138">
        <f>H2936*G2936</f>
        <v>0</v>
      </c>
      <c r="J2936" s="82"/>
      <c r="K2936" s="83"/>
    </row>
    <row r="2937" spans="1:11" ht="15" customHeight="1" x14ac:dyDescent="0.25">
      <c r="A2937" s="80" t="s">
        <v>4627</v>
      </c>
      <c r="B2937" s="80" t="s">
        <v>4558</v>
      </c>
      <c r="C2937" s="80"/>
      <c r="D2937" s="80"/>
      <c r="E2937" s="80"/>
      <c r="F2937" s="80"/>
      <c r="G2937" s="81"/>
      <c r="H2937" s="80"/>
      <c r="I2937" s="137"/>
      <c r="J2937" s="80"/>
      <c r="K2937" s="80"/>
    </row>
    <row r="2938" spans="1:11" ht="15" customHeight="1" x14ac:dyDescent="0.25">
      <c r="A2938" s="80" t="s">
        <v>4628</v>
      </c>
      <c r="B2938" s="80" t="s">
        <v>4629</v>
      </c>
      <c r="C2938" s="80"/>
      <c r="D2938" s="80"/>
      <c r="E2938" s="80"/>
      <c r="F2938" s="80"/>
      <c r="G2938" s="81"/>
      <c r="H2938" s="80"/>
      <c r="I2938" s="137"/>
      <c r="J2938" s="80"/>
      <c r="K2938" s="80"/>
    </row>
    <row r="2939" spans="1:11" ht="15" customHeight="1" x14ac:dyDescent="0.25">
      <c r="A2939" s="82" t="s">
        <v>4236</v>
      </c>
      <c r="B2939" s="83" t="s">
        <v>4334</v>
      </c>
      <c r="C2939" s="83"/>
      <c r="D2939" s="83"/>
      <c r="E2939" s="83" t="s">
        <v>4228</v>
      </c>
      <c r="F2939" s="82" t="s">
        <v>78</v>
      </c>
      <c r="G2939" s="82">
        <v>1</v>
      </c>
      <c r="H2939" s="82">
        <v>4500</v>
      </c>
      <c r="I2939" s="138">
        <f>H2939*G2939</f>
        <v>4500</v>
      </c>
      <c r="J2939" s="82"/>
      <c r="K2939" s="83"/>
    </row>
    <row r="2940" spans="1:11" ht="15" customHeight="1" x14ac:dyDescent="0.25">
      <c r="A2940" s="82" t="s">
        <v>4236</v>
      </c>
      <c r="B2940" s="83" t="s">
        <v>4492</v>
      </c>
      <c r="C2940" s="83"/>
      <c r="D2940" s="83"/>
      <c r="E2940" s="83" t="s">
        <v>4228</v>
      </c>
      <c r="F2940" s="82" t="s">
        <v>78</v>
      </c>
      <c r="G2940" s="82">
        <v>1</v>
      </c>
      <c r="H2940" s="82">
        <v>4720</v>
      </c>
      <c r="I2940" s="138">
        <f>H2940*G2940</f>
        <v>4720</v>
      </c>
      <c r="J2940" s="82"/>
      <c r="K2940" s="83"/>
    </row>
    <row r="2941" spans="1:11" ht="15" customHeight="1" x14ac:dyDescent="0.25">
      <c r="A2941" s="82" t="s">
        <v>4236</v>
      </c>
      <c r="B2941" s="83" t="s">
        <v>4389</v>
      </c>
      <c r="C2941" s="83"/>
      <c r="D2941" s="83"/>
      <c r="E2941" s="83" t="s">
        <v>4228</v>
      </c>
      <c r="F2941" s="82" t="s">
        <v>78</v>
      </c>
      <c r="G2941" s="82">
        <v>1</v>
      </c>
      <c r="H2941" s="82">
        <v>4090</v>
      </c>
      <c r="I2941" s="138">
        <f>H2941*G2941</f>
        <v>4090</v>
      </c>
      <c r="J2941" s="82"/>
      <c r="K2941" s="83"/>
    </row>
    <row r="2942" spans="1:11" ht="15" customHeight="1" x14ac:dyDescent="0.25">
      <c r="A2942" s="82" t="s">
        <v>4236</v>
      </c>
      <c r="B2942" s="83" t="s">
        <v>4493</v>
      </c>
      <c r="C2942" s="83"/>
      <c r="D2942" s="83"/>
      <c r="E2942" s="83" t="s">
        <v>4228</v>
      </c>
      <c r="F2942" s="82" t="s">
        <v>78</v>
      </c>
      <c r="G2942" s="82">
        <v>1</v>
      </c>
      <c r="H2942" s="82">
        <v>760</v>
      </c>
      <c r="I2942" s="138">
        <f>H2942*G2942</f>
        <v>760</v>
      </c>
      <c r="J2942" s="82"/>
      <c r="K2942" s="83"/>
    </row>
    <row r="2943" spans="1:11" ht="15" customHeight="1" x14ac:dyDescent="0.25">
      <c r="A2943" s="82" t="s">
        <v>4236</v>
      </c>
      <c r="B2943" s="83" t="s">
        <v>4494</v>
      </c>
      <c r="C2943" s="83"/>
      <c r="D2943" s="83"/>
      <c r="E2943" s="83" t="s">
        <v>4228</v>
      </c>
      <c r="F2943" s="82" t="s">
        <v>78</v>
      </c>
      <c r="G2943" s="82">
        <v>1</v>
      </c>
      <c r="H2943" s="82">
        <v>3270</v>
      </c>
      <c r="I2943" s="138">
        <f>H2943*G2943</f>
        <v>3270</v>
      </c>
      <c r="J2943" s="82"/>
      <c r="K2943" s="83"/>
    </row>
    <row r="2944" spans="1:11" ht="15" customHeight="1" x14ac:dyDescent="0.25">
      <c r="A2944" s="80" t="s">
        <v>4630</v>
      </c>
      <c r="B2944" s="80" t="s">
        <v>4631</v>
      </c>
      <c r="C2944" s="80"/>
      <c r="D2944" s="80"/>
      <c r="E2944" s="80"/>
      <c r="F2944" s="80"/>
      <c r="G2944" s="81"/>
      <c r="H2944" s="80"/>
      <c r="I2944" s="137"/>
      <c r="J2944" s="80"/>
      <c r="K2944" s="80"/>
    </row>
    <row r="2945" spans="1:11" ht="27" customHeight="1" x14ac:dyDescent="0.25">
      <c r="A2945" s="82" t="s">
        <v>4257</v>
      </c>
      <c r="B2945" s="83" t="s">
        <v>4258</v>
      </c>
      <c r="C2945" s="83"/>
      <c r="D2945" s="83"/>
      <c r="E2945" s="83" t="s">
        <v>4228</v>
      </c>
      <c r="F2945" s="82" t="s">
        <v>78</v>
      </c>
      <c r="G2945" s="82">
        <v>2</v>
      </c>
      <c r="H2945" s="82"/>
      <c r="I2945" s="138">
        <f>H2945*G2945</f>
        <v>0</v>
      </c>
      <c r="J2945" s="82"/>
      <c r="K2945" s="83"/>
    </row>
    <row r="2946" spans="1:11" ht="15" customHeight="1" x14ac:dyDescent="0.25">
      <c r="A2946" s="80" t="s">
        <v>4632</v>
      </c>
      <c r="B2946" s="80" t="s">
        <v>4633</v>
      </c>
      <c r="C2946" s="80"/>
      <c r="D2946" s="80"/>
      <c r="E2946" s="80"/>
      <c r="F2946" s="80"/>
      <c r="G2946" s="81"/>
      <c r="H2946" s="80"/>
      <c r="I2946" s="137"/>
      <c r="J2946" s="80"/>
      <c r="K2946" s="80"/>
    </row>
    <row r="2947" spans="1:11" ht="75" customHeight="1" x14ac:dyDescent="0.25">
      <c r="A2947" s="82" t="s">
        <v>4565</v>
      </c>
      <c r="B2947" s="83" t="s">
        <v>4566</v>
      </c>
      <c r="C2947" s="83" t="s">
        <v>4567</v>
      </c>
      <c r="D2947" s="83"/>
      <c r="E2947" s="83" t="s">
        <v>4228</v>
      </c>
      <c r="F2947" s="82" t="s">
        <v>78</v>
      </c>
      <c r="G2947" s="82">
        <v>1</v>
      </c>
      <c r="H2947" s="82"/>
      <c r="I2947" s="138">
        <f t="shared" ref="I2947:I2955" si="123">H2947*G2947</f>
        <v>0</v>
      </c>
      <c r="J2947" s="82" t="s">
        <v>4568</v>
      </c>
      <c r="K2947" s="83" t="s">
        <v>4569</v>
      </c>
    </row>
    <row r="2948" spans="1:11" ht="15" customHeight="1" x14ac:dyDescent="0.25">
      <c r="A2948" s="82" t="s">
        <v>4236</v>
      </c>
      <c r="B2948" s="83" t="s">
        <v>4570</v>
      </c>
      <c r="C2948" s="83"/>
      <c r="D2948" s="83"/>
      <c r="E2948" s="83" t="s">
        <v>4228</v>
      </c>
      <c r="F2948" s="82" t="s">
        <v>576</v>
      </c>
      <c r="G2948" s="82">
        <v>4.5</v>
      </c>
      <c r="H2948" s="82"/>
      <c r="I2948" s="138">
        <f t="shared" si="123"/>
        <v>0</v>
      </c>
      <c r="J2948" s="82"/>
      <c r="K2948" s="83"/>
    </row>
    <row r="2949" spans="1:11" ht="15" customHeight="1" x14ac:dyDescent="0.25">
      <c r="A2949" s="82" t="s">
        <v>4236</v>
      </c>
      <c r="B2949" s="83" t="s">
        <v>4571</v>
      </c>
      <c r="C2949" s="83"/>
      <c r="D2949" s="83"/>
      <c r="E2949" s="83" t="s">
        <v>4228</v>
      </c>
      <c r="F2949" s="82" t="s">
        <v>47</v>
      </c>
      <c r="G2949" s="82">
        <v>1</v>
      </c>
      <c r="H2949" s="82">
        <v>1000</v>
      </c>
      <c r="I2949" s="138">
        <f t="shared" si="123"/>
        <v>1000</v>
      </c>
      <c r="J2949" s="82" t="s">
        <v>4519</v>
      </c>
      <c r="K2949" s="83"/>
    </row>
    <row r="2950" spans="1:11" ht="15" customHeight="1" x14ac:dyDescent="0.25">
      <c r="A2950" s="82" t="s">
        <v>4236</v>
      </c>
      <c r="B2950" s="83" t="s">
        <v>4572</v>
      </c>
      <c r="C2950" s="83"/>
      <c r="D2950" s="83"/>
      <c r="E2950" s="83" t="s">
        <v>4228</v>
      </c>
      <c r="F2950" s="82" t="s">
        <v>78</v>
      </c>
      <c r="G2950" s="82">
        <v>1</v>
      </c>
      <c r="H2950" s="82"/>
      <c r="I2950" s="138">
        <f t="shared" si="123"/>
        <v>0</v>
      </c>
      <c r="J2950" s="82"/>
      <c r="K2950" s="83"/>
    </row>
    <row r="2951" spans="1:11" ht="15" customHeight="1" x14ac:dyDescent="0.25">
      <c r="A2951" s="82" t="s">
        <v>4236</v>
      </c>
      <c r="B2951" s="83" t="s">
        <v>4573</v>
      </c>
      <c r="C2951" s="83"/>
      <c r="D2951" s="83"/>
      <c r="E2951" s="83" t="s">
        <v>4228</v>
      </c>
      <c r="F2951" s="82" t="s">
        <v>78</v>
      </c>
      <c r="G2951" s="82">
        <v>1</v>
      </c>
      <c r="H2951" s="82"/>
      <c r="I2951" s="138">
        <f t="shared" si="123"/>
        <v>0</v>
      </c>
      <c r="J2951" s="82"/>
      <c r="K2951" s="83"/>
    </row>
    <row r="2952" spans="1:11" ht="15" customHeight="1" x14ac:dyDescent="0.25">
      <c r="A2952" s="82" t="s">
        <v>4236</v>
      </c>
      <c r="B2952" s="83" t="s">
        <v>4574</v>
      </c>
      <c r="C2952" s="83"/>
      <c r="D2952" s="83"/>
      <c r="E2952" s="83" t="s">
        <v>4228</v>
      </c>
      <c r="F2952" s="82" t="s">
        <v>47</v>
      </c>
      <c r="G2952" s="82">
        <v>1</v>
      </c>
      <c r="H2952" s="82"/>
      <c r="I2952" s="138">
        <f t="shared" si="123"/>
        <v>0</v>
      </c>
      <c r="J2952" s="82"/>
      <c r="K2952" s="83"/>
    </row>
    <row r="2953" spans="1:11" ht="15" customHeight="1" x14ac:dyDescent="0.25">
      <c r="A2953" s="82" t="s">
        <v>4236</v>
      </c>
      <c r="B2953" s="83" t="s">
        <v>4575</v>
      </c>
      <c r="C2953" s="83"/>
      <c r="D2953" s="83"/>
      <c r="E2953" s="83" t="s">
        <v>4228</v>
      </c>
      <c r="F2953" s="82" t="s">
        <v>78</v>
      </c>
      <c r="G2953" s="82">
        <v>1</v>
      </c>
      <c r="H2953" s="82">
        <v>500</v>
      </c>
      <c r="I2953" s="138">
        <f t="shared" si="123"/>
        <v>500</v>
      </c>
      <c r="J2953" s="82"/>
      <c r="K2953" s="83"/>
    </row>
    <row r="2954" spans="1:11" ht="15" customHeight="1" x14ac:dyDescent="0.25">
      <c r="A2954" s="82" t="s">
        <v>4236</v>
      </c>
      <c r="B2954" s="83" t="s">
        <v>4576</v>
      </c>
      <c r="C2954" s="83"/>
      <c r="D2954" s="83"/>
      <c r="E2954" s="83" t="s">
        <v>4228</v>
      </c>
      <c r="F2954" s="82" t="s">
        <v>78</v>
      </c>
      <c r="G2954" s="82">
        <v>1</v>
      </c>
      <c r="H2954" s="82"/>
      <c r="I2954" s="138">
        <f t="shared" si="123"/>
        <v>0</v>
      </c>
      <c r="J2954" s="82"/>
      <c r="K2954" s="83"/>
    </row>
    <row r="2955" spans="1:11" ht="15" customHeight="1" x14ac:dyDescent="0.25">
      <c r="A2955" s="82" t="s">
        <v>4577</v>
      </c>
      <c r="B2955" s="83" t="s">
        <v>4578</v>
      </c>
      <c r="C2955" s="83" t="s">
        <v>4579</v>
      </c>
      <c r="D2955" s="83"/>
      <c r="E2955" s="83" t="s">
        <v>4228</v>
      </c>
      <c r="F2955" s="82" t="s">
        <v>78</v>
      </c>
      <c r="G2955" s="82">
        <v>4</v>
      </c>
      <c r="H2955" s="82"/>
      <c r="I2955" s="138">
        <f t="shared" si="123"/>
        <v>0</v>
      </c>
      <c r="J2955" s="82"/>
      <c r="K2955" s="83"/>
    </row>
    <row r="2956" spans="1:11" ht="15" customHeight="1" x14ac:dyDescent="0.25">
      <c r="A2956" s="80" t="s">
        <v>4634</v>
      </c>
      <c r="B2956" s="80" t="s">
        <v>4635</v>
      </c>
      <c r="C2956" s="80"/>
      <c r="D2956" s="80"/>
      <c r="E2956" s="80"/>
      <c r="F2956" s="80"/>
      <c r="G2956" s="81"/>
      <c r="H2956" s="80"/>
      <c r="I2956" s="137"/>
      <c r="J2956" s="80"/>
      <c r="K2956" s="80"/>
    </row>
    <row r="2957" spans="1:11" ht="75" customHeight="1" x14ac:dyDescent="0.25">
      <c r="A2957" s="82" t="s">
        <v>4636</v>
      </c>
      <c r="B2957" s="83" t="s">
        <v>4637</v>
      </c>
      <c r="C2957" s="83"/>
      <c r="D2957" s="83"/>
      <c r="E2957" s="83" t="s">
        <v>4228</v>
      </c>
      <c r="F2957" s="82" t="s">
        <v>47</v>
      </c>
      <c r="G2957" s="82">
        <v>1</v>
      </c>
      <c r="H2957" s="82"/>
      <c r="I2957" s="138">
        <f t="shared" ref="I2957:I2962" si="124">H2957*G2957</f>
        <v>0</v>
      </c>
      <c r="J2957" s="82"/>
      <c r="K2957" s="83" t="s">
        <v>4638</v>
      </c>
    </row>
    <row r="2958" spans="1:11" ht="87" customHeight="1" x14ac:dyDescent="0.25">
      <c r="A2958" s="82" t="s">
        <v>4236</v>
      </c>
      <c r="B2958" s="83" t="s">
        <v>4639</v>
      </c>
      <c r="C2958" s="83"/>
      <c r="D2958" s="83"/>
      <c r="E2958" s="83" t="s">
        <v>4228</v>
      </c>
      <c r="F2958" s="82" t="s">
        <v>47</v>
      </c>
      <c r="G2958" s="82">
        <v>1</v>
      </c>
      <c r="H2958" s="82"/>
      <c r="I2958" s="138">
        <f t="shared" si="124"/>
        <v>0</v>
      </c>
      <c r="J2958" s="82"/>
      <c r="K2958" s="83" t="s">
        <v>4640</v>
      </c>
    </row>
    <row r="2959" spans="1:11" ht="75" customHeight="1" x14ac:dyDescent="0.25">
      <c r="A2959" s="82" t="s">
        <v>4236</v>
      </c>
      <c r="B2959" s="83" t="s">
        <v>4641</v>
      </c>
      <c r="C2959" s="83"/>
      <c r="D2959" s="83"/>
      <c r="E2959" s="83" t="s">
        <v>4228</v>
      </c>
      <c r="F2959" s="82" t="s">
        <v>47</v>
      </c>
      <c r="G2959" s="82">
        <v>1</v>
      </c>
      <c r="H2959" s="82"/>
      <c r="I2959" s="138">
        <f t="shared" si="124"/>
        <v>0</v>
      </c>
      <c r="J2959" s="82"/>
      <c r="K2959" s="83" t="s">
        <v>4642</v>
      </c>
    </row>
    <row r="2960" spans="1:11" ht="27" customHeight="1" x14ac:dyDescent="0.25">
      <c r="A2960" s="82" t="s">
        <v>4236</v>
      </c>
      <c r="B2960" s="83" t="s">
        <v>4643</v>
      </c>
      <c r="C2960" s="83"/>
      <c r="D2960" s="83"/>
      <c r="E2960" s="83" t="s">
        <v>4228</v>
      </c>
      <c r="F2960" s="82" t="s">
        <v>78</v>
      </c>
      <c r="G2960" s="82">
        <v>2</v>
      </c>
      <c r="H2960" s="82"/>
      <c r="I2960" s="138">
        <f t="shared" si="124"/>
        <v>0</v>
      </c>
      <c r="J2960" s="82"/>
      <c r="K2960" s="83"/>
    </row>
    <row r="2961" spans="1:11" ht="99" customHeight="1" x14ac:dyDescent="0.25">
      <c r="A2961" s="82" t="s">
        <v>4236</v>
      </c>
      <c r="B2961" s="83" t="s">
        <v>4644</v>
      </c>
      <c r="C2961" s="83"/>
      <c r="D2961" s="83"/>
      <c r="E2961" s="83" t="s">
        <v>4544</v>
      </c>
      <c r="F2961" s="82" t="s">
        <v>47</v>
      </c>
      <c r="G2961" s="82">
        <v>1</v>
      </c>
      <c r="H2961" s="82"/>
      <c r="I2961" s="138">
        <f t="shared" si="124"/>
        <v>0</v>
      </c>
      <c r="J2961" s="82"/>
      <c r="K2961" s="83" t="s">
        <v>4645</v>
      </c>
    </row>
    <row r="2962" spans="1:11" ht="51" customHeight="1" x14ac:dyDescent="0.25">
      <c r="A2962" s="82" t="s">
        <v>4236</v>
      </c>
      <c r="B2962" s="83" t="s">
        <v>4646</v>
      </c>
      <c r="C2962" s="83" t="s">
        <v>4647</v>
      </c>
      <c r="D2962" s="83"/>
      <c r="E2962" s="83" t="s">
        <v>4228</v>
      </c>
      <c r="F2962" s="82" t="s">
        <v>47</v>
      </c>
      <c r="G2962" s="82">
        <v>1</v>
      </c>
      <c r="H2962" s="82"/>
      <c r="I2962" s="138">
        <f t="shared" si="124"/>
        <v>0</v>
      </c>
      <c r="J2962" s="82"/>
      <c r="K2962" s="83" t="s">
        <v>4648</v>
      </c>
    </row>
    <row r="2963" spans="1:11" ht="15" customHeight="1" x14ac:dyDescent="0.25">
      <c r="A2963" s="80" t="s">
        <v>4649</v>
      </c>
      <c r="B2963" s="80" t="s">
        <v>4650</v>
      </c>
      <c r="C2963" s="80"/>
      <c r="D2963" s="80"/>
      <c r="E2963" s="80"/>
      <c r="F2963" s="80"/>
      <c r="G2963" s="81"/>
      <c r="H2963" s="80"/>
      <c r="I2963" s="137"/>
      <c r="J2963" s="80"/>
      <c r="K2963" s="80"/>
    </row>
    <row r="2964" spans="1:11" ht="99" customHeight="1" x14ac:dyDescent="0.25">
      <c r="A2964" s="82" t="s">
        <v>4651</v>
      </c>
      <c r="B2964" s="83" t="s">
        <v>4652</v>
      </c>
      <c r="C2964" s="83" t="s">
        <v>4653</v>
      </c>
      <c r="D2964" s="83"/>
      <c r="E2964" s="83" t="s">
        <v>4228</v>
      </c>
      <c r="F2964" s="82" t="s">
        <v>47</v>
      </c>
      <c r="G2964" s="82">
        <v>1</v>
      </c>
      <c r="H2964" s="82"/>
      <c r="I2964" s="138">
        <f>H2964*G2964</f>
        <v>0</v>
      </c>
      <c r="J2964" s="82"/>
      <c r="K2964" s="83"/>
    </row>
    <row r="2965" spans="1:11" ht="15" customHeight="1" x14ac:dyDescent="0.25">
      <c r="A2965" s="80" t="s">
        <v>4654</v>
      </c>
      <c r="B2965" s="80" t="s">
        <v>4655</v>
      </c>
      <c r="C2965" s="80"/>
      <c r="D2965" s="80"/>
      <c r="E2965" s="80"/>
      <c r="F2965" s="80"/>
      <c r="G2965" s="81"/>
      <c r="H2965" s="80"/>
      <c r="I2965" s="137"/>
      <c r="J2965" s="80"/>
      <c r="K2965" s="80"/>
    </row>
    <row r="2966" spans="1:11" ht="99" customHeight="1" x14ac:dyDescent="0.25">
      <c r="A2966" s="82" t="s">
        <v>4651</v>
      </c>
      <c r="B2966" s="83" t="s">
        <v>4656</v>
      </c>
      <c r="C2966" s="83" t="s">
        <v>4657</v>
      </c>
      <c r="D2966" s="83"/>
      <c r="E2966" s="83" t="s">
        <v>4228</v>
      </c>
      <c r="F2966" s="82" t="s">
        <v>47</v>
      </c>
      <c r="G2966" s="82">
        <v>1</v>
      </c>
      <c r="H2966" s="82"/>
      <c r="I2966" s="138">
        <f>H2966*G2966</f>
        <v>0</v>
      </c>
      <c r="J2966" s="82"/>
      <c r="K2966" s="83" t="s">
        <v>4658</v>
      </c>
    </row>
    <row r="2967" spans="1:11" ht="39" customHeight="1" x14ac:dyDescent="0.25">
      <c r="A2967" s="82" t="s">
        <v>459</v>
      </c>
      <c r="B2967" s="83" t="s">
        <v>4232</v>
      </c>
      <c r="C2967" s="83"/>
      <c r="D2967" s="83"/>
      <c r="E2967" s="83" t="s">
        <v>4228</v>
      </c>
      <c r="F2967" s="82" t="s">
        <v>78</v>
      </c>
      <c r="G2967" s="82">
        <v>1</v>
      </c>
      <c r="H2967" s="82"/>
      <c r="I2967" s="138">
        <f>H2967*G2967</f>
        <v>0</v>
      </c>
      <c r="J2967" s="82"/>
      <c r="K2967" s="83"/>
    </row>
    <row r="2968" spans="1:11" ht="15" customHeight="1" x14ac:dyDescent="0.25">
      <c r="A2968" s="80" t="s">
        <v>4659</v>
      </c>
      <c r="B2968" s="80" t="s">
        <v>4660</v>
      </c>
      <c r="C2968" s="80"/>
      <c r="D2968" s="80"/>
      <c r="E2968" s="80"/>
      <c r="F2968" s="80"/>
      <c r="G2968" s="81"/>
      <c r="H2968" s="80"/>
      <c r="I2968" s="137"/>
      <c r="J2968" s="80"/>
      <c r="K2968" s="80"/>
    </row>
    <row r="2969" spans="1:11" ht="27" customHeight="1" x14ac:dyDescent="0.25">
      <c r="A2969" s="82" t="s">
        <v>4280</v>
      </c>
      <c r="B2969" s="83" t="s">
        <v>4281</v>
      </c>
      <c r="C2969" s="83"/>
      <c r="D2969" s="83"/>
      <c r="E2969" s="83" t="s">
        <v>4228</v>
      </c>
      <c r="F2969" s="82" t="s">
        <v>78</v>
      </c>
      <c r="G2969" s="82">
        <v>3</v>
      </c>
      <c r="H2969" s="82">
        <v>32200</v>
      </c>
      <c r="I2969" s="138">
        <f>H2969*G2969</f>
        <v>96600</v>
      </c>
      <c r="J2969" s="82"/>
      <c r="K2969" s="83" t="s">
        <v>4661</v>
      </c>
    </row>
    <row r="2970" spans="1:11" ht="15" customHeight="1" x14ac:dyDescent="0.25">
      <c r="A2970" s="80" t="s">
        <v>4662</v>
      </c>
      <c r="B2970" s="80" t="s">
        <v>4663</v>
      </c>
      <c r="C2970" s="80"/>
      <c r="D2970" s="80"/>
      <c r="E2970" s="80"/>
      <c r="F2970" s="80"/>
      <c r="G2970" s="81"/>
      <c r="H2970" s="80"/>
      <c r="I2970" s="137"/>
      <c r="J2970" s="80"/>
      <c r="K2970" s="80"/>
    </row>
    <row r="2971" spans="1:11" ht="27" customHeight="1" x14ac:dyDescent="0.25">
      <c r="A2971" s="82" t="s">
        <v>4257</v>
      </c>
      <c r="B2971" s="83" t="s">
        <v>4258</v>
      </c>
      <c r="C2971" s="83"/>
      <c r="D2971" s="83"/>
      <c r="E2971" s="83" t="s">
        <v>4228</v>
      </c>
      <c r="F2971" s="82" t="s">
        <v>78</v>
      </c>
      <c r="G2971" s="82">
        <v>4</v>
      </c>
      <c r="H2971" s="82"/>
      <c r="I2971" s="138">
        <f t="shared" ref="I2971:I2977" si="125">H2971*G2971</f>
        <v>0</v>
      </c>
      <c r="J2971" s="82"/>
      <c r="K2971" s="83" t="s">
        <v>4664</v>
      </c>
    </row>
    <row r="2972" spans="1:11" ht="39" customHeight="1" x14ac:dyDescent="0.25">
      <c r="A2972" s="82" t="s">
        <v>4665</v>
      </c>
      <c r="B2972" s="83" t="s">
        <v>4666</v>
      </c>
      <c r="C2972" s="83"/>
      <c r="D2972" s="83"/>
      <c r="E2972" s="83" t="s">
        <v>4228</v>
      </c>
      <c r="F2972" s="82" t="s">
        <v>47</v>
      </c>
      <c r="G2972" s="82">
        <v>1</v>
      </c>
      <c r="H2972" s="82"/>
      <c r="I2972" s="138">
        <f t="shared" si="125"/>
        <v>0</v>
      </c>
      <c r="J2972" s="82"/>
      <c r="K2972" s="83"/>
    </row>
    <row r="2973" spans="1:11" ht="15" customHeight="1" x14ac:dyDescent="0.25">
      <c r="A2973" s="82" t="s">
        <v>4236</v>
      </c>
      <c r="B2973" s="83" t="s">
        <v>4667</v>
      </c>
      <c r="C2973" s="83"/>
      <c r="D2973" s="83"/>
      <c r="E2973" s="83" t="s">
        <v>4228</v>
      </c>
      <c r="F2973" s="82" t="s">
        <v>78</v>
      </c>
      <c r="G2973" s="82">
        <v>2</v>
      </c>
      <c r="H2973" s="82"/>
      <c r="I2973" s="138">
        <f t="shared" si="125"/>
        <v>0</v>
      </c>
      <c r="J2973" s="82"/>
      <c r="K2973" s="83"/>
    </row>
    <row r="2974" spans="1:11" ht="51" customHeight="1" x14ac:dyDescent="0.25">
      <c r="A2974" s="82" t="s">
        <v>4236</v>
      </c>
      <c r="B2974" s="83" t="s">
        <v>4668</v>
      </c>
      <c r="C2974" s="83"/>
      <c r="D2974" s="83"/>
      <c r="E2974" s="83" t="s">
        <v>4228</v>
      </c>
      <c r="F2974" s="82" t="s">
        <v>47</v>
      </c>
      <c r="G2974" s="82">
        <v>1</v>
      </c>
      <c r="H2974" s="82"/>
      <c r="I2974" s="138">
        <f t="shared" si="125"/>
        <v>0</v>
      </c>
      <c r="J2974" s="82"/>
      <c r="K2974" s="83"/>
    </row>
    <row r="2975" spans="1:11" ht="63" customHeight="1" x14ac:dyDescent="0.25">
      <c r="A2975" s="82" t="s">
        <v>4236</v>
      </c>
      <c r="B2975" s="83" t="s">
        <v>4669</v>
      </c>
      <c r="C2975" s="83"/>
      <c r="D2975" s="83"/>
      <c r="E2975" s="83" t="s">
        <v>4228</v>
      </c>
      <c r="F2975" s="82" t="s">
        <v>47</v>
      </c>
      <c r="G2975" s="82">
        <v>1</v>
      </c>
      <c r="H2975" s="82"/>
      <c r="I2975" s="138">
        <f t="shared" si="125"/>
        <v>0</v>
      </c>
      <c r="J2975" s="82"/>
      <c r="K2975" s="83" t="s">
        <v>4670</v>
      </c>
    </row>
    <row r="2976" spans="1:11" ht="27" customHeight="1" x14ac:dyDescent="0.25">
      <c r="A2976" s="82" t="s">
        <v>4236</v>
      </c>
      <c r="B2976" s="83" t="s">
        <v>4671</v>
      </c>
      <c r="C2976" s="83"/>
      <c r="D2976" s="83"/>
      <c r="E2976" s="83" t="s">
        <v>4228</v>
      </c>
      <c r="F2976" s="82" t="s">
        <v>78</v>
      </c>
      <c r="G2976" s="82">
        <v>2</v>
      </c>
      <c r="H2976" s="82"/>
      <c r="I2976" s="138">
        <f t="shared" si="125"/>
        <v>0</v>
      </c>
      <c r="J2976" s="82"/>
      <c r="K2976" s="83"/>
    </row>
    <row r="2977" spans="1:11" ht="87" customHeight="1" x14ac:dyDescent="0.25">
      <c r="A2977" s="82" t="s">
        <v>4236</v>
      </c>
      <c r="B2977" s="83" t="s">
        <v>4672</v>
      </c>
      <c r="C2977" s="83"/>
      <c r="D2977" s="83"/>
      <c r="E2977" s="83" t="s">
        <v>4228</v>
      </c>
      <c r="F2977" s="82" t="s">
        <v>47</v>
      </c>
      <c r="G2977" s="82">
        <v>1</v>
      </c>
      <c r="H2977" s="82"/>
      <c r="I2977" s="138">
        <f t="shared" si="125"/>
        <v>0</v>
      </c>
      <c r="J2977" s="82"/>
      <c r="K2977" s="83" t="s">
        <v>4673</v>
      </c>
    </row>
    <row r="2978" spans="1:11" ht="15" customHeight="1" x14ac:dyDescent="0.25">
      <c r="A2978" s="80" t="s">
        <v>4674</v>
      </c>
      <c r="B2978" s="80" t="s">
        <v>4675</v>
      </c>
      <c r="C2978" s="80"/>
      <c r="D2978" s="80"/>
      <c r="E2978" s="80"/>
      <c r="F2978" s="80"/>
      <c r="G2978" s="81"/>
      <c r="H2978" s="80"/>
      <c r="I2978" s="137"/>
      <c r="J2978" s="80"/>
      <c r="K2978" s="80"/>
    </row>
    <row r="2979" spans="1:11" ht="27" customHeight="1" x14ac:dyDescent="0.25">
      <c r="A2979" s="82" t="s">
        <v>4676</v>
      </c>
      <c r="B2979" s="83" t="s">
        <v>4677</v>
      </c>
      <c r="C2979" s="83" t="s">
        <v>4678</v>
      </c>
      <c r="D2979" s="83"/>
      <c r="E2979" s="83" t="s">
        <v>4228</v>
      </c>
      <c r="F2979" s="82" t="s">
        <v>78</v>
      </c>
      <c r="G2979" s="82">
        <v>1</v>
      </c>
      <c r="H2979" s="82">
        <f>11790*1.22</f>
        <v>14383.8</v>
      </c>
      <c r="I2979" s="138">
        <f>H2979*G2979</f>
        <v>14383.8</v>
      </c>
      <c r="J2979" s="82"/>
      <c r="K2979" s="83"/>
    </row>
    <row r="2980" spans="1:11" ht="27" customHeight="1" x14ac:dyDescent="0.25">
      <c r="A2980" s="82" t="s">
        <v>4242</v>
      </c>
      <c r="B2980" s="83" t="s">
        <v>4313</v>
      </c>
      <c r="C2980" s="83" t="s">
        <v>4282</v>
      </c>
      <c r="D2980" s="83"/>
      <c r="E2980" s="83" t="s">
        <v>4228</v>
      </c>
      <c r="F2980" s="82" t="s">
        <v>78</v>
      </c>
      <c r="G2980" s="82">
        <v>1</v>
      </c>
      <c r="H2980" s="82">
        <v>1950</v>
      </c>
      <c r="I2980" s="138">
        <f>H2980*G2980</f>
        <v>1950</v>
      </c>
      <c r="J2980" s="82"/>
      <c r="K2980" s="83" t="s">
        <v>4246</v>
      </c>
    </row>
    <row r="2981" spans="1:11" ht="27" customHeight="1" x14ac:dyDescent="0.25">
      <c r="A2981" s="82" t="s">
        <v>4679</v>
      </c>
      <c r="B2981" s="83" t="s">
        <v>4680</v>
      </c>
      <c r="C2981" s="83" t="s">
        <v>4681</v>
      </c>
      <c r="D2981" s="83"/>
      <c r="E2981" s="83" t="s">
        <v>4228</v>
      </c>
      <c r="F2981" s="82" t="s">
        <v>78</v>
      </c>
      <c r="G2981" s="82">
        <v>1</v>
      </c>
      <c r="H2981" s="82"/>
      <c r="I2981" s="138">
        <f>H2981*G2981</f>
        <v>0</v>
      </c>
      <c r="J2981" s="82"/>
      <c r="K2981" s="83"/>
    </row>
    <row r="2982" spans="1:11" ht="15" customHeight="1" x14ac:dyDescent="0.25">
      <c r="A2982" s="82" t="s">
        <v>2131</v>
      </c>
      <c r="B2982" s="83" t="s">
        <v>4682</v>
      </c>
      <c r="C2982" s="83"/>
      <c r="D2982" s="83"/>
      <c r="E2982" s="83" t="s">
        <v>4228</v>
      </c>
      <c r="F2982" s="82" t="s">
        <v>78</v>
      </c>
      <c r="G2982" s="82">
        <v>1</v>
      </c>
      <c r="H2982" s="82"/>
      <c r="I2982" s="138">
        <f>H2982*G2982</f>
        <v>0</v>
      </c>
      <c r="J2982" s="82"/>
      <c r="K2982" s="83"/>
    </row>
    <row r="2983" spans="1:11" ht="15" customHeight="1" x14ac:dyDescent="0.25">
      <c r="A2983" s="80" t="s">
        <v>4683</v>
      </c>
      <c r="B2983" s="80" t="s">
        <v>4684</v>
      </c>
      <c r="C2983" s="80"/>
      <c r="D2983" s="80"/>
      <c r="E2983" s="80"/>
      <c r="F2983" s="80"/>
      <c r="G2983" s="81"/>
      <c r="H2983" s="80"/>
      <c r="I2983" s="137"/>
      <c r="J2983" s="80"/>
      <c r="K2983" s="80"/>
    </row>
    <row r="2984" spans="1:11" ht="27" customHeight="1" x14ac:dyDescent="0.25">
      <c r="A2984" s="82" t="s">
        <v>4310</v>
      </c>
      <c r="B2984" s="83" t="s">
        <v>4311</v>
      </c>
      <c r="C2984" s="83" t="s">
        <v>4312</v>
      </c>
      <c r="D2984" s="83"/>
      <c r="E2984" s="83" t="s">
        <v>6885</v>
      </c>
      <c r="F2984" s="82" t="s">
        <v>78</v>
      </c>
      <c r="G2984" s="82">
        <v>1</v>
      </c>
      <c r="H2984" s="82"/>
      <c r="I2984" s="138">
        <f>H2984*G2984</f>
        <v>0</v>
      </c>
      <c r="J2984" s="82"/>
      <c r="K2984" s="83"/>
    </row>
    <row r="2985" spans="1:11" ht="27" customHeight="1" x14ac:dyDescent="0.25">
      <c r="A2985" s="82" t="s">
        <v>4242</v>
      </c>
      <c r="B2985" s="83" t="s">
        <v>4313</v>
      </c>
      <c r="C2985" s="83" t="s">
        <v>4282</v>
      </c>
      <c r="D2985" s="83"/>
      <c r="E2985" s="83" t="s">
        <v>6885</v>
      </c>
      <c r="F2985" s="82" t="s">
        <v>78</v>
      </c>
      <c r="G2985" s="82">
        <v>1</v>
      </c>
      <c r="H2985" s="82">
        <v>1950</v>
      </c>
      <c r="I2985" s="138">
        <f>H2985*G2985</f>
        <v>1950</v>
      </c>
      <c r="J2985" s="82"/>
      <c r="K2985" s="83" t="s">
        <v>4246</v>
      </c>
    </row>
    <row r="2986" spans="1:11" ht="15" customHeight="1" x14ac:dyDescent="0.25">
      <c r="A2986" s="80" t="s">
        <v>4686</v>
      </c>
      <c r="B2986" s="80" t="s">
        <v>4687</v>
      </c>
      <c r="C2986" s="80"/>
      <c r="D2986" s="80"/>
      <c r="E2986" s="80"/>
      <c r="F2986" s="80"/>
      <c r="G2986" s="81"/>
      <c r="H2986" s="80"/>
      <c r="I2986" s="137"/>
      <c r="J2986" s="80"/>
      <c r="K2986" s="80"/>
    </row>
    <row r="2987" spans="1:11" ht="15" customHeight="1" x14ac:dyDescent="0.25">
      <c r="A2987" s="82" t="s">
        <v>4688</v>
      </c>
      <c r="B2987" s="83" t="s">
        <v>4492</v>
      </c>
      <c r="C2987" s="83"/>
      <c r="D2987" s="83"/>
      <c r="E2987" s="83" t="s">
        <v>4228</v>
      </c>
      <c r="F2987" s="82" t="s">
        <v>78</v>
      </c>
      <c r="G2987" s="82">
        <v>1</v>
      </c>
      <c r="H2987" s="82">
        <v>4720</v>
      </c>
      <c r="I2987" s="138">
        <f>H2987*G2987</f>
        <v>4720</v>
      </c>
      <c r="J2987" s="82"/>
      <c r="K2987" s="83"/>
    </row>
    <row r="2988" spans="1:11" ht="15" customHeight="1" x14ac:dyDescent="0.25">
      <c r="A2988" s="82" t="s">
        <v>4688</v>
      </c>
      <c r="B2988" s="83" t="s">
        <v>4493</v>
      </c>
      <c r="C2988" s="83"/>
      <c r="D2988" s="83"/>
      <c r="E2988" s="83" t="s">
        <v>4228</v>
      </c>
      <c r="F2988" s="82" t="s">
        <v>78</v>
      </c>
      <c r="G2988" s="82">
        <v>1</v>
      </c>
      <c r="H2988" s="82">
        <v>760</v>
      </c>
      <c r="I2988" s="138">
        <f>H2988*G2988</f>
        <v>760</v>
      </c>
      <c r="J2988" s="82"/>
      <c r="K2988" s="83"/>
    </row>
    <row r="2989" spans="1:11" ht="15" customHeight="1" x14ac:dyDescent="0.25">
      <c r="A2989" s="82" t="s">
        <v>4688</v>
      </c>
      <c r="B2989" s="83" t="s">
        <v>4334</v>
      </c>
      <c r="C2989" s="83"/>
      <c r="D2989" s="83"/>
      <c r="E2989" s="83" t="s">
        <v>4228</v>
      </c>
      <c r="F2989" s="82" t="s">
        <v>78</v>
      </c>
      <c r="G2989" s="82">
        <v>1</v>
      </c>
      <c r="H2989" s="82">
        <v>4500</v>
      </c>
      <c r="I2989" s="138">
        <f>H2989*G2989</f>
        <v>4500</v>
      </c>
      <c r="J2989" s="82"/>
      <c r="K2989" s="83"/>
    </row>
    <row r="2990" spans="1:11" ht="15" customHeight="1" x14ac:dyDescent="0.25">
      <c r="A2990" s="82" t="s">
        <v>4688</v>
      </c>
      <c r="B2990" s="83" t="s">
        <v>4389</v>
      </c>
      <c r="C2990" s="83"/>
      <c r="D2990" s="83"/>
      <c r="E2990" s="83" t="s">
        <v>4228</v>
      </c>
      <c r="F2990" s="82" t="s">
        <v>78</v>
      </c>
      <c r="G2990" s="82">
        <v>1</v>
      </c>
      <c r="H2990" s="82">
        <v>4090</v>
      </c>
      <c r="I2990" s="138">
        <f>H2990*G2990</f>
        <v>4090</v>
      </c>
      <c r="J2990" s="82"/>
      <c r="K2990" s="83"/>
    </row>
    <row r="2991" spans="1:11" ht="15" customHeight="1" x14ac:dyDescent="0.25">
      <c r="A2991" s="82" t="s">
        <v>4236</v>
      </c>
      <c r="B2991" s="83" t="s">
        <v>4390</v>
      </c>
      <c r="C2991" s="83"/>
      <c r="D2991" s="83"/>
      <c r="E2991" s="83" t="s">
        <v>4228</v>
      </c>
      <c r="F2991" s="82" t="s">
        <v>78</v>
      </c>
      <c r="G2991" s="82">
        <v>1</v>
      </c>
      <c r="H2991" s="82"/>
      <c r="I2991" s="138">
        <f>H2991*G2991</f>
        <v>0</v>
      </c>
      <c r="J2991" s="82"/>
      <c r="K2991" s="83"/>
    </row>
    <row r="2992" spans="1:11" ht="15" customHeight="1" x14ac:dyDescent="0.25">
      <c r="A2992" s="80" t="s">
        <v>4689</v>
      </c>
      <c r="B2992" s="80" t="s">
        <v>4690</v>
      </c>
      <c r="C2992" s="80"/>
      <c r="D2992" s="80"/>
      <c r="E2992" s="80"/>
      <c r="F2992" s="80"/>
      <c r="G2992" s="81"/>
      <c r="H2992" s="80"/>
      <c r="I2992" s="137"/>
      <c r="J2992" s="80"/>
      <c r="K2992" s="80"/>
    </row>
    <row r="2993" spans="1:11" ht="51" customHeight="1" x14ac:dyDescent="0.25">
      <c r="A2993" s="82" t="s">
        <v>4383</v>
      </c>
      <c r="B2993" s="83" t="s">
        <v>4384</v>
      </c>
      <c r="C2993" s="83"/>
      <c r="D2993" s="83"/>
      <c r="E2993" s="83" t="s">
        <v>4228</v>
      </c>
      <c r="F2993" s="82" t="s">
        <v>78</v>
      </c>
      <c r="G2993" s="82">
        <v>1</v>
      </c>
      <c r="H2993" s="82">
        <v>16200</v>
      </c>
      <c r="I2993" s="138">
        <f>H2993*G2993</f>
        <v>16200</v>
      </c>
      <c r="J2993" s="82"/>
      <c r="K2993" s="83"/>
    </row>
    <row r="2994" spans="1:11" ht="15" customHeight="1" x14ac:dyDescent="0.25">
      <c r="A2994" s="82" t="s">
        <v>4236</v>
      </c>
      <c r="B2994" s="83" t="s">
        <v>4334</v>
      </c>
      <c r="C2994" s="83"/>
      <c r="D2994" s="83"/>
      <c r="E2994" s="83" t="s">
        <v>4228</v>
      </c>
      <c r="F2994" s="82" t="s">
        <v>78</v>
      </c>
      <c r="G2994" s="82">
        <v>1</v>
      </c>
      <c r="H2994" s="82">
        <v>4500</v>
      </c>
      <c r="I2994" s="138">
        <f>H2994*G2994</f>
        <v>4500</v>
      </c>
      <c r="J2994" s="82"/>
      <c r="K2994" s="83"/>
    </row>
    <row r="2995" spans="1:11" ht="15" customHeight="1" x14ac:dyDescent="0.25">
      <c r="A2995" s="82" t="s">
        <v>4236</v>
      </c>
      <c r="B2995" s="83" t="s">
        <v>4389</v>
      </c>
      <c r="C2995" s="83"/>
      <c r="D2995" s="83"/>
      <c r="E2995" s="83" t="s">
        <v>4544</v>
      </c>
      <c r="F2995" s="82" t="s">
        <v>78</v>
      </c>
      <c r="G2995" s="82">
        <v>1</v>
      </c>
      <c r="H2995" s="82">
        <v>4090</v>
      </c>
      <c r="I2995" s="138">
        <f>H2995*G2995</f>
        <v>4090</v>
      </c>
      <c r="J2995" s="82"/>
      <c r="K2995" s="83"/>
    </row>
    <row r="2996" spans="1:11" ht="15" customHeight="1" x14ac:dyDescent="0.25">
      <c r="A2996" s="82" t="s">
        <v>4236</v>
      </c>
      <c r="B2996" s="83" t="s">
        <v>4390</v>
      </c>
      <c r="C2996" s="83"/>
      <c r="D2996" s="83"/>
      <c r="E2996" s="83" t="s">
        <v>4228</v>
      </c>
      <c r="F2996" s="82" t="s">
        <v>78</v>
      </c>
      <c r="G2996" s="82">
        <v>1</v>
      </c>
      <c r="H2996" s="82"/>
      <c r="I2996" s="138">
        <f>H2996*G2996</f>
        <v>0</v>
      </c>
      <c r="J2996" s="82"/>
      <c r="K2996" s="83"/>
    </row>
    <row r="2997" spans="1:11" ht="15" customHeight="1" x14ac:dyDescent="0.25">
      <c r="A2997" s="80" t="s">
        <v>4691</v>
      </c>
      <c r="B2997" s="80" t="s">
        <v>4692</v>
      </c>
      <c r="C2997" s="80"/>
      <c r="D2997" s="80"/>
      <c r="E2997" s="80"/>
      <c r="F2997" s="80"/>
      <c r="G2997" s="81"/>
      <c r="H2997" s="80"/>
      <c r="I2997" s="137"/>
      <c r="J2997" s="80"/>
      <c r="K2997" s="80"/>
    </row>
    <row r="2998" spans="1:11" ht="27" customHeight="1" x14ac:dyDescent="0.25">
      <c r="A2998" s="82" t="s">
        <v>4693</v>
      </c>
      <c r="B2998" s="83" t="s">
        <v>4694</v>
      </c>
      <c r="C2998" s="83"/>
      <c r="D2998" s="83"/>
      <c r="E2998" s="83" t="s">
        <v>4228</v>
      </c>
      <c r="F2998" s="82" t="s">
        <v>78</v>
      </c>
      <c r="G2998" s="82">
        <v>1</v>
      </c>
      <c r="H2998" s="82"/>
      <c r="I2998" s="138">
        <f>H2998*G2998</f>
        <v>0</v>
      </c>
      <c r="J2998" s="82"/>
      <c r="K2998" s="83"/>
    </row>
    <row r="2999" spans="1:11" ht="27" customHeight="1" x14ac:dyDescent="0.25">
      <c r="A2999" s="82" t="s">
        <v>4695</v>
      </c>
      <c r="B2999" s="83" t="s">
        <v>4696</v>
      </c>
      <c r="C2999" s="83"/>
      <c r="D2999" s="83"/>
      <c r="E2999" s="83" t="s">
        <v>4228</v>
      </c>
      <c r="F2999" s="82" t="s">
        <v>78</v>
      </c>
      <c r="G2999" s="82">
        <v>1</v>
      </c>
      <c r="H2999" s="82"/>
      <c r="I2999" s="138">
        <f>H2999*G2999</f>
        <v>0</v>
      </c>
      <c r="J2999" s="82"/>
      <c r="K2999" s="83"/>
    </row>
    <row r="3000" spans="1:11" ht="27" customHeight="1" x14ac:dyDescent="0.25">
      <c r="A3000" s="82" t="s">
        <v>4697</v>
      </c>
      <c r="B3000" s="83" t="s">
        <v>4698</v>
      </c>
      <c r="C3000" s="83" t="s">
        <v>4699</v>
      </c>
      <c r="D3000" s="83" t="s">
        <v>4700</v>
      </c>
      <c r="E3000" s="83" t="s">
        <v>4228</v>
      </c>
      <c r="F3000" s="82" t="s">
        <v>78</v>
      </c>
      <c r="G3000" s="82">
        <v>1</v>
      </c>
      <c r="H3000" s="82"/>
      <c r="I3000" s="138">
        <f>H3000*G3000</f>
        <v>0</v>
      </c>
      <c r="J3000" s="82"/>
      <c r="K3000" s="83"/>
    </row>
    <row r="3001" spans="1:11" ht="15" customHeight="1" x14ac:dyDescent="0.25">
      <c r="A3001" s="80" t="s">
        <v>4701</v>
      </c>
      <c r="B3001" s="80" t="s">
        <v>4702</v>
      </c>
      <c r="C3001" s="80"/>
      <c r="D3001" s="80"/>
      <c r="E3001" s="80"/>
      <c r="F3001" s="80"/>
      <c r="G3001" s="81"/>
      <c r="H3001" s="80"/>
      <c r="I3001" s="137"/>
      <c r="J3001" s="80"/>
      <c r="K3001" s="80"/>
    </row>
    <row r="3002" spans="1:11" ht="27" customHeight="1" x14ac:dyDescent="0.25">
      <c r="A3002" s="82" t="s">
        <v>4280</v>
      </c>
      <c r="B3002" s="83" t="s">
        <v>4281</v>
      </c>
      <c r="C3002" s="83"/>
      <c r="D3002" s="83"/>
      <c r="E3002" s="83" t="s">
        <v>4228</v>
      </c>
      <c r="F3002" s="82" t="s">
        <v>78</v>
      </c>
      <c r="G3002" s="82">
        <v>3</v>
      </c>
      <c r="H3002" s="82">
        <v>32200</v>
      </c>
      <c r="I3002" s="138">
        <f>H3002*G3002</f>
        <v>96600</v>
      </c>
      <c r="J3002" s="82" t="s">
        <v>4363</v>
      </c>
      <c r="K3002" s="83"/>
    </row>
    <row r="3003" spans="1:11" ht="15" customHeight="1" x14ac:dyDescent="0.25">
      <c r="A3003" s="80" t="s">
        <v>4703</v>
      </c>
      <c r="B3003" s="80" t="s">
        <v>4704</v>
      </c>
      <c r="C3003" s="80"/>
      <c r="D3003" s="80"/>
      <c r="E3003" s="80"/>
      <c r="F3003" s="80"/>
      <c r="G3003" s="81"/>
      <c r="H3003" s="80"/>
      <c r="I3003" s="137"/>
      <c r="J3003" s="80"/>
      <c r="K3003" s="80"/>
    </row>
    <row r="3004" spans="1:11" ht="27" customHeight="1" x14ac:dyDescent="0.25">
      <c r="A3004" s="82" t="s">
        <v>4705</v>
      </c>
      <c r="B3004" s="83" t="s">
        <v>4706</v>
      </c>
      <c r="C3004" s="83" t="s">
        <v>4707</v>
      </c>
      <c r="D3004" s="83"/>
      <c r="E3004" s="83" t="s">
        <v>4228</v>
      </c>
      <c r="F3004" s="82" t="s">
        <v>78</v>
      </c>
      <c r="G3004" s="82">
        <v>1</v>
      </c>
      <c r="H3004" s="82"/>
      <c r="I3004" s="138">
        <f t="shared" ref="I3004:I3038" si="126">H3004*G3004</f>
        <v>0</v>
      </c>
      <c r="J3004" s="82"/>
      <c r="K3004" s="83"/>
    </row>
    <row r="3005" spans="1:11" ht="27" customHeight="1" x14ac:dyDescent="0.25">
      <c r="A3005" s="82" t="s">
        <v>4676</v>
      </c>
      <c r="B3005" s="83" t="s">
        <v>4677</v>
      </c>
      <c r="C3005" s="83" t="s">
        <v>4678</v>
      </c>
      <c r="D3005" s="83"/>
      <c r="E3005" s="83" t="s">
        <v>4228</v>
      </c>
      <c r="F3005" s="82" t="s">
        <v>78</v>
      </c>
      <c r="G3005" s="82">
        <v>1</v>
      </c>
      <c r="H3005" s="82">
        <f>11790*1.22</f>
        <v>14383.8</v>
      </c>
      <c r="I3005" s="138">
        <f t="shared" si="126"/>
        <v>14383.8</v>
      </c>
      <c r="J3005" s="82"/>
      <c r="K3005" s="83"/>
    </row>
    <row r="3006" spans="1:11" ht="27" customHeight="1" x14ac:dyDescent="0.25">
      <c r="A3006" s="82" t="s">
        <v>4242</v>
      </c>
      <c r="B3006" s="83" t="s">
        <v>4313</v>
      </c>
      <c r="C3006" s="83" t="s">
        <v>4282</v>
      </c>
      <c r="D3006" s="83"/>
      <c r="E3006" s="83" t="s">
        <v>4228</v>
      </c>
      <c r="F3006" s="82" t="s">
        <v>78</v>
      </c>
      <c r="G3006" s="82">
        <v>2</v>
      </c>
      <c r="H3006" s="82">
        <v>1950</v>
      </c>
      <c r="I3006" s="138">
        <f t="shared" si="126"/>
        <v>3900</v>
      </c>
      <c r="J3006" s="82"/>
      <c r="K3006" s="83" t="s">
        <v>4246</v>
      </c>
    </row>
    <row r="3007" spans="1:11" ht="39" customHeight="1" x14ac:dyDescent="0.25">
      <c r="A3007" s="82" t="s">
        <v>4708</v>
      </c>
      <c r="B3007" s="83" t="s">
        <v>4709</v>
      </c>
      <c r="C3007" s="83" t="s">
        <v>4710</v>
      </c>
      <c r="D3007" s="83"/>
      <c r="E3007" s="83" t="s">
        <v>4228</v>
      </c>
      <c r="F3007" s="82" t="s">
        <v>78</v>
      </c>
      <c r="G3007" s="82">
        <v>1</v>
      </c>
      <c r="H3007" s="82"/>
      <c r="I3007" s="138">
        <f t="shared" si="126"/>
        <v>0</v>
      </c>
      <c r="J3007" s="82"/>
      <c r="K3007" s="83"/>
    </row>
    <row r="3008" spans="1:11" ht="15" customHeight="1" x14ac:dyDescent="0.25">
      <c r="A3008" s="82" t="s">
        <v>4711</v>
      </c>
      <c r="B3008" s="83" t="s">
        <v>4712</v>
      </c>
      <c r="C3008" s="83"/>
      <c r="D3008" s="83"/>
      <c r="E3008" s="83" t="s">
        <v>4228</v>
      </c>
      <c r="F3008" s="82" t="s">
        <v>78</v>
      </c>
      <c r="G3008" s="82">
        <v>1</v>
      </c>
      <c r="H3008" s="82"/>
      <c r="I3008" s="138">
        <f t="shared" si="126"/>
        <v>0</v>
      </c>
      <c r="J3008" s="82"/>
      <c r="K3008" s="83"/>
    </row>
    <row r="3009" spans="1:11" ht="27" customHeight="1" x14ac:dyDescent="0.25">
      <c r="A3009" s="82" t="s">
        <v>4679</v>
      </c>
      <c r="B3009" s="83" t="s">
        <v>4680</v>
      </c>
      <c r="C3009" s="83" t="s">
        <v>4681</v>
      </c>
      <c r="D3009" s="83"/>
      <c r="E3009" s="83" t="s">
        <v>4228</v>
      </c>
      <c r="F3009" s="82" t="s">
        <v>78</v>
      </c>
      <c r="G3009" s="82">
        <v>1</v>
      </c>
      <c r="H3009" s="82"/>
      <c r="I3009" s="138">
        <f t="shared" si="126"/>
        <v>0</v>
      </c>
      <c r="J3009" s="82"/>
      <c r="K3009" s="83"/>
    </row>
    <row r="3010" spans="1:11" ht="27" customHeight="1" x14ac:dyDescent="0.25">
      <c r="A3010" s="82" t="s">
        <v>4713</v>
      </c>
      <c r="B3010" s="83" t="s">
        <v>4714</v>
      </c>
      <c r="C3010" s="83" t="s">
        <v>4715</v>
      </c>
      <c r="D3010" s="83"/>
      <c r="E3010" s="83" t="s">
        <v>4228</v>
      </c>
      <c r="F3010" s="82" t="s">
        <v>78</v>
      </c>
      <c r="G3010" s="82">
        <v>1</v>
      </c>
      <c r="H3010" s="82">
        <v>6890</v>
      </c>
      <c r="I3010" s="138">
        <f t="shared" si="126"/>
        <v>6890</v>
      </c>
      <c r="J3010" s="82"/>
      <c r="K3010" s="83"/>
    </row>
    <row r="3011" spans="1:11" ht="15" customHeight="1" x14ac:dyDescent="0.25">
      <c r="A3011" s="82" t="s">
        <v>4716</v>
      </c>
      <c r="B3011" s="83" t="s">
        <v>4717</v>
      </c>
      <c r="C3011" s="83" t="s">
        <v>4718</v>
      </c>
      <c r="D3011" s="83"/>
      <c r="E3011" s="83" t="s">
        <v>4228</v>
      </c>
      <c r="F3011" s="82" t="s">
        <v>78</v>
      </c>
      <c r="G3011" s="82">
        <v>1</v>
      </c>
      <c r="H3011" s="82">
        <v>14900</v>
      </c>
      <c r="I3011" s="138">
        <f t="shared" si="126"/>
        <v>14900</v>
      </c>
      <c r="J3011" s="82" t="s">
        <v>4719</v>
      </c>
      <c r="K3011" s="83"/>
    </row>
    <row r="3012" spans="1:11" ht="27" customHeight="1" x14ac:dyDescent="0.25">
      <c r="A3012" s="82" t="s">
        <v>4720</v>
      </c>
      <c r="B3012" s="83" t="s">
        <v>4721</v>
      </c>
      <c r="C3012" s="83" t="s">
        <v>4722</v>
      </c>
      <c r="D3012" s="83"/>
      <c r="E3012" s="83" t="s">
        <v>4228</v>
      </c>
      <c r="F3012" s="82" t="s">
        <v>78</v>
      </c>
      <c r="G3012" s="82">
        <v>1</v>
      </c>
      <c r="H3012" s="82">
        <f>13990*1.22</f>
        <v>17067.8</v>
      </c>
      <c r="I3012" s="138">
        <f t="shared" si="126"/>
        <v>17067.8</v>
      </c>
      <c r="J3012" s="82" t="s">
        <v>4723</v>
      </c>
      <c r="K3012" s="83"/>
    </row>
    <row r="3013" spans="1:11" ht="27" customHeight="1" x14ac:dyDescent="0.25">
      <c r="A3013" s="82" t="s">
        <v>4724</v>
      </c>
      <c r="B3013" s="83" t="s">
        <v>4725</v>
      </c>
      <c r="C3013" s="83" t="s">
        <v>4726</v>
      </c>
      <c r="D3013" s="83"/>
      <c r="E3013" s="83" t="s">
        <v>4228</v>
      </c>
      <c r="F3013" s="82" t="s">
        <v>78</v>
      </c>
      <c r="G3013" s="82">
        <v>1</v>
      </c>
      <c r="H3013" s="82">
        <f>19290*1.22</f>
        <v>23533.8</v>
      </c>
      <c r="I3013" s="138">
        <f t="shared" si="126"/>
        <v>23533.8</v>
      </c>
      <c r="J3013" s="82"/>
      <c r="K3013" s="83"/>
    </row>
    <row r="3014" spans="1:11" ht="27" customHeight="1" x14ac:dyDescent="0.25">
      <c r="A3014" s="82" t="s">
        <v>4727</v>
      </c>
      <c r="B3014" s="83" t="s">
        <v>4728</v>
      </c>
      <c r="C3014" s="83" t="s">
        <v>4729</v>
      </c>
      <c r="D3014" s="83"/>
      <c r="E3014" s="83" t="s">
        <v>4228</v>
      </c>
      <c r="F3014" s="82" t="s">
        <v>78</v>
      </c>
      <c r="G3014" s="82">
        <v>1</v>
      </c>
      <c r="H3014" s="82"/>
      <c r="I3014" s="138">
        <f t="shared" si="126"/>
        <v>0</v>
      </c>
      <c r="J3014" s="82"/>
      <c r="K3014" s="83"/>
    </row>
    <row r="3015" spans="1:11" ht="39" customHeight="1" x14ac:dyDescent="0.25">
      <c r="A3015" s="82" t="s">
        <v>459</v>
      </c>
      <c r="B3015" s="83" t="s">
        <v>4232</v>
      </c>
      <c r="C3015" s="83"/>
      <c r="D3015" s="83"/>
      <c r="E3015" s="83" t="s">
        <v>4228</v>
      </c>
      <c r="F3015" s="82" t="s">
        <v>78</v>
      </c>
      <c r="G3015" s="82">
        <v>1</v>
      </c>
      <c r="H3015" s="82"/>
      <c r="I3015" s="138">
        <f t="shared" si="126"/>
        <v>0</v>
      </c>
      <c r="J3015" s="82"/>
      <c r="K3015" s="83"/>
    </row>
    <row r="3016" spans="1:11" ht="87" customHeight="1" x14ac:dyDescent="0.25">
      <c r="A3016" s="82" t="s">
        <v>4730</v>
      </c>
      <c r="B3016" s="83" t="s">
        <v>4731</v>
      </c>
      <c r="C3016" s="83" t="s">
        <v>4732</v>
      </c>
      <c r="D3016" s="83"/>
      <c r="E3016" s="83" t="s">
        <v>4228</v>
      </c>
      <c r="F3016" s="82" t="s">
        <v>78</v>
      </c>
      <c r="G3016" s="82">
        <v>1</v>
      </c>
      <c r="H3016" s="82">
        <f>51500*1.22</f>
        <v>62830</v>
      </c>
      <c r="I3016" s="138">
        <f t="shared" si="126"/>
        <v>62830</v>
      </c>
      <c r="J3016" s="82"/>
      <c r="K3016" s="83"/>
    </row>
    <row r="3017" spans="1:11" ht="39" customHeight="1" x14ac:dyDescent="0.25">
      <c r="A3017" s="82" t="s">
        <v>4733</v>
      </c>
      <c r="B3017" s="83" t="s">
        <v>4734</v>
      </c>
      <c r="C3017" s="83" t="s">
        <v>4735</v>
      </c>
      <c r="D3017" s="83"/>
      <c r="E3017" s="83" t="s">
        <v>4228</v>
      </c>
      <c r="F3017" s="82" t="s">
        <v>78</v>
      </c>
      <c r="G3017" s="82">
        <v>1</v>
      </c>
      <c r="H3017" s="82"/>
      <c r="I3017" s="138">
        <f t="shared" si="126"/>
        <v>0</v>
      </c>
      <c r="J3017" s="82"/>
      <c r="K3017" s="83"/>
    </row>
    <row r="3018" spans="1:11" ht="27.75" customHeight="1" x14ac:dyDescent="0.25">
      <c r="A3018" s="82" t="s">
        <v>2131</v>
      </c>
      <c r="B3018" s="83" t="s">
        <v>4682</v>
      </c>
      <c r="C3018" s="83"/>
      <c r="D3018" s="83"/>
      <c r="E3018" s="83" t="s">
        <v>4228</v>
      </c>
      <c r="F3018" s="82" t="s">
        <v>78</v>
      </c>
      <c r="G3018" s="82">
        <v>1</v>
      </c>
      <c r="H3018" s="82"/>
      <c r="I3018" s="138">
        <f t="shared" si="126"/>
        <v>0</v>
      </c>
      <c r="J3018" s="82"/>
      <c r="K3018" s="83"/>
    </row>
    <row r="3019" spans="1:11" ht="39" customHeight="1" x14ac:dyDescent="0.25">
      <c r="A3019" s="82" t="s">
        <v>4736</v>
      </c>
      <c r="B3019" s="83" t="s">
        <v>4737</v>
      </c>
      <c r="C3019" s="83" t="s">
        <v>4738</v>
      </c>
      <c r="D3019" s="83"/>
      <c r="E3019" s="83" t="s">
        <v>4228</v>
      </c>
      <c r="F3019" s="82" t="s">
        <v>78</v>
      </c>
      <c r="G3019" s="82">
        <v>1</v>
      </c>
      <c r="H3019" s="82">
        <v>35000</v>
      </c>
      <c r="I3019" s="138">
        <f t="shared" si="126"/>
        <v>35000</v>
      </c>
      <c r="J3019" s="82" t="s">
        <v>4523</v>
      </c>
      <c r="K3019" s="83"/>
    </row>
    <row r="3020" spans="1:11" ht="15" customHeight="1" x14ac:dyDescent="0.25">
      <c r="A3020" s="82" t="s">
        <v>4236</v>
      </c>
      <c r="B3020" s="83" t="s">
        <v>4739</v>
      </c>
      <c r="C3020" s="83"/>
      <c r="D3020" s="83"/>
      <c r="E3020" s="83" t="s">
        <v>4228</v>
      </c>
      <c r="F3020" s="82" t="s">
        <v>78</v>
      </c>
      <c r="G3020" s="82">
        <v>1</v>
      </c>
      <c r="H3020" s="82"/>
      <c r="I3020" s="138">
        <f t="shared" si="126"/>
        <v>0</v>
      </c>
      <c r="J3020" s="82"/>
      <c r="K3020" s="83"/>
    </row>
    <row r="3021" spans="1:11" ht="27" customHeight="1" x14ac:dyDescent="0.25">
      <c r="A3021" s="82" t="s">
        <v>4236</v>
      </c>
      <c r="B3021" s="83" t="s">
        <v>4740</v>
      </c>
      <c r="C3021" s="83"/>
      <c r="D3021" s="83"/>
      <c r="E3021" s="83" t="s">
        <v>4228</v>
      </c>
      <c r="F3021" s="82" t="s">
        <v>78</v>
      </c>
      <c r="G3021" s="82">
        <v>1</v>
      </c>
      <c r="H3021" s="82"/>
      <c r="I3021" s="138">
        <f t="shared" si="126"/>
        <v>0</v>
      </c>
      <c r="J3021" s="82"/>
      <c r="K3021" s="83"/>
    </row>
    <row r="3022" spans="1:11" ht="15" customHeight="1" x14ac:dyDescent="0.25">
      <c r="A3022" s="82" t="s">
        <v>4236</v>
      </c>
      <c r="B3022" s="83" t="s">
        <v>4741</v>
      </c>
      <c r="C3022" s="83"/>
      <c r="D3022" s="83"/>
      <c r="E3022" s="83" t="s">
        <v>4228</v>
      </c>
      <c r="F3022" s="82" t="s">
        <v>78</v>
      </c>
      <c r="G3022" s="82">
        <v>1</v>
      </c>
      <c r="H3022" s="82"/>
      <c r="I3022" s="138">
        <f t="shared" si="126"/>
        <v>0</v>
      </c>
      <c r="J3022" s="82"/>
      <c r="K3022" s="83"/>
    </row>
    <row r="3023" spans="1:11" ht="15" customHeight="1" x14ac:dyDescent="0.25">
      <c r="A3023" s="82" t="s">
        <v>4236</v>
      </c>
      <c r="B3023" s="83" t="s">
        <v>4742</v>
      </c>
      <c r="C3023" s="83"/>
      <c r="D3023" s="83"/>
      <c r="E3023" s="83" t="s">
        <v>4228</v>
      </c>
      <c r="F3023" s="82" t="s">
        <v>78</v>
      </c>
      <c r="G3023" s="82">
        <v>1</v>
      </c>
      <c r="H3023" s="82"/>
      <c r="I3023" s="138">
        <f t="shared" si="126"/>
        <v>0</v>
      </c>
      <c r="J3023" s="82"/>
      <c r="K3023" s="83"/>
    </row>
    <row r="3024" spans="1:11" ht="15" customHeight="1" x14ac:dyDescent="0.25">
      <c r="A3024" s="82" t="s">
        <v>4236</v>
      </c>
      <c r="B3024" s="83" t="s">
        <v>4743</v>
      </c>
      <c r="C3024" s="83"/>
      <c r="D3024" s="83"/>
      <c r="E3024" s="83" t="s">
        <v>4228</v>
      </c>
      <c r="F3024" s="82" t="s">
        <v>78</v>
      </c>
      <c r="G3024" s="82">
        <v>1</v>
      </c>
      <c r="H3024" s="82"/>
      <c r="I3024" s="138">
        <f t="shared" si="126"/>
        <v>0</v>
      </c>
      <c r="J3024" s="82"/>
      <c r="K3024" s="83"/>
    </row>
    <row r="3025" spans="1:11" ht="15" customHeight="1" x14ac:dyDescent="0.25">
      <c r="A3025" s="82" t="s">
        <v>4236</v>
      </c>
      <c r="B3025" s="83" t="s">
        <v>4744</v>
      </c>
      <c r="C3025" s="83" t="s">
        <v>4745</v>
      </c>
      <c r="D3025" s="83"/>
      <c r="E3025" s="83" t="s">
        <v>4228</v>
      </c>
      <c r="F3025" s="82" t="s">
        <v>78</v>
      </c>
      <c r="G3025" s="82">
        <v>1</v>
      </c>
      <c r="H3025" s="82"/>
      <c r="I3025" s="138">
        <f t="shared" si="126"/>
        <v>0</v>
      </c>
      <c r="J3025" s="82"/>
      <c r="K3025" s="83"/>
    </row>
    <row r="3026" spans="1:11" ht="15" customHeight="1" x14ac:dyDescent="0.25">
      <c r="A3026" s="82" t="s">
        <v>4236</v>
      </c>
      <c r="B3026" s="83" t="s">
        <v>4746</v>
      </c>
      <c r="C3026" s="83"/>
      <c r="D3026" s="83"/>
      <c r="E3026" s="83" t="s">
        <v>4228</v>
      </c>
      <c r="F3026" s="82" t="s">
        <v>78</v>
      </c>
      <c r="G3026" s="82">
        <v>1</v>
      </c>
      <c r="H3026" s="82"/>
      <c r="I3026" s="138">
        <f t="shared" si="126"/>
        <v>0</v>
      </c>
      <c r="J3026" s="82"/>
      <c r="K3026" s="83"/>
    </row>
    <row r="3027" spans="1:11" ht="15" customHeight="1" x14ac:dyDescent="0.25">
      <c r="A3027" s="82" t="s">
        <v>4236</v>
      </c>
      <c r="B3027" s="83" t="s">
        <v>4747</v>
      </c>
      <c r="C3027" s="83"/>
      <c r="D3027" s="83"/>
      <c r="E3027" s="83" t="s">
        <v>4228</v>
      </c>
      <c r="F3027" s="82" t="s">
        <v>78</v>
      </c>
      <c r="G3027" s="82">
        <v>1</v>
      </c>
      <c r="H3027" s="82"/>
      <c r="I3027" s="138">
        <f t="shared" si="126"/>
        <v>0</v>
      </c>
      <c r="J3027" s="82"/>
      <c r="K3027" s="83"/>
    </row>
    <row r="3028" spans="1:11" ht="15" customHeight="1" x14ac:dyDescent="0.25">
      <c r="A3028" s="82" t="s">
        <v>4236</v>
      </c>
      <c r="B3028" s="83" t="s">
        <v>4748</v>
      </c>
      <c r="C3028" s="83"/>
      <c r="D3028" s="83"/>
      <c r="E3028" s="83" t="s">
        <v>4228</v>
      </c>
      <c r="F3028" s="82" t="s">
        <v>78</v>
      </c>
      <c r="G3028" s="82">
        <v>1</v>
      </c>
      <c r="H3028" s="82"/>
      <c r="I3028" s="138">
        <f t="shared" si="126"/>
        <v>0</v>
      </c>
      <c r="J3028" s="82"/>
      <c r="K3028" s="83"/>
    </row>
    <row r="3029" spans="1:11" ht="123" customHeight="1" x14ac:dyDescent="0.25">
      <c r="A3029" s="82" t="s">
        <v>4236</v>
      </c>
      <c r="B3029" s="83" t="s">
        <v>4749</v>
      </c>
      <c r="C3029" s="83"/>
      <c r="D3029" s="83"/>
      <c r="E3029" s="83" t="s">
        <v>4228</v>
      </c>
      <c r="F3029" s="82" t="s">
        <v>47</v>
      </c>
      <c r="G3029" s="82">
        <v>1</v>
      </c>
      <c r="H3029" s="82">
        <f>16990*1.22</f>
        <v>20727.8</v>
      </c>
      <c r="I3029" s="138">
        <f t="shared" si="126"/>
        <v>20727.8</v>
      </c>
      <c r="J3029" s="82"/>
      <c r="K3029" s="83"/>
    </row>
    <row r="3030" spans="1:11" ht="75" customHeight="1" x14ac:dyDescent="0.25">
      <c r="A3030" s="82" t="s">
        <v>4236</v>
      </c>
      <c r="B3030" s="83" t="s">
        <v>4750</v>
      </c>
      <c r="C3030" s="83"/>
      <c r="D3030" s="83"/>
      <c r="E3030" s="83" t="s">
        <v>4228</v>
      </c>
      <c r="F3030" s="82" t="s">
        <v>47</v>
      </c>
      <c r="G3030" s="82">
        <v>1</v>
      </c>
      <c r="H3030" s="82">
        <f>69990*1.22</f>
        <v>85387.8</v>
      </c>
      <c r="I3030" s="138">
        <f t="shared" si="126"/>
        <v>85387.8</v>
      </c>
      <c r="J3030" s="82"/>
      <c r="K3030" s="83" t="s">
        <v>4751</v>
      </c>
    </row>
    <row r="3031" spans="1:11" ht="27" customHeight="1" x14ac:dyDescent="0.25">
      <c r="A3031" s="82" t="s">
        <v>4236</v>
      </c>
      <c r="B3031" s="83" t="s">
        <v>4752</v>
      </c>
      <c r="C3031" s="83"/>
      <c r="D3031" s="83"/>
      <c r="E3031" s="83" t="s">
        <v>4228</v>
      </c>
      <c r="F3031" s="82" t="s">
        <v>47</v>
      </c>
      <c r="G3031" s="82">
        <v>1</v>
      </c>
      <c r="H3031" s="82"/>
      <c r="I3031" s="138">
        <f t="shared" si="126"/>
        <v>0</v>
      </c>
      <c r="J3031" s="82"/>
      <c r="K3031" s="83" t="s">
        <v>4753</v>
      </c>
    </row>
    <row r="3032" spans="1:11" ht="15" customHeight="1" x14ac:dyDescent="0.25">
      <c r="A3032" s="82" t="s">
        <v>4236</v>
      </c>
      <c r="B3032" s="83" t="s">
        <v>4754</v>
      </c>
      <c r="C3032" s="83"/>
      <c r="D3032" s="83"/>
      <c r="E3032" s="83" t="s">
        <v>4228</v>
      </c>
      <c r="F3032" s="82" t="s">
        <v>78</v>
      </c>
      <c r="G3032" s="82">
        <v>1</v>
      </c>
      <c r="H3032" s="82"/>
      <c r="I3032" s="138">
        <f t="shared" si="126"/>
        <v>0</v>
      </c>
      <c r="J3032" s="82"/>
      <c r="K3032" s="83"/>
    </row>
    <row r="3033" spans="1:11" ht="15" customHeight="1" x14ac:dyDescent="0.25">
      <c r="A3033" s="82" t="s">
        <v>4236</v>
      </c>
      <c r="B3033" s="83" t="s">
        <v>4334</v>
      </c>
      <c r="C3033" s="83"/>
      <c r="D3033" s="83"/>
      <c r="E3033" s="83" t="s">
        <v>4228</v>
      </c>
      <c r="F3033" s="82" t="s">
        <v>78</v>
      </c>
      <c r="G3033" s="82">
        <v>1</v>
      </c>
      <c r="H3033" s="82">
        <v>4500</v>
      </c>
      <c r="I3033" s="138">
        <f t="shared" si="126"/>
        <v>4500</v>
      </c>
      <c r="J3033" s="82"/>
      <c r="K3033" s="83"/>
    </row>
    <row r="3034" spans="1:11" ht="15" customHeight="1" x14ac:dyDescent="0.25">
      <c r="A3034" s="82" t="s">
        <v>4236</v>
      </c>
      <c r="B3034" s="83" t="s">
        <v>4389</v>
      </c>
      <c r="C3034" s="83"/>
      <c r="D3034" s="83"/>
      <c r="E3034" s="83" t="s">
        <v>4228</v>
      </c>
      <c r="F3034" s="82" t="s">
        <v>78</v>
      </c>
      <c r="G3034" s="82">
        <v>1</v>
      </c>
      <c r="H3034" s="82">
        <v>4090</v>
      </c>
      <c r="I3034" s="138">
        <f t="shared" si="126"/>
        <v>4090</v>
      </c>
      <c r="J3034" s="82"/>
      <c r="K3034" s="83"/>
    </row>
    <row r="3035" spans="1:11" ht="15" customHeight="1" x14ac:dyDescent="0.25">
      <c r="A3035" s="82" t="s">
        <v>4236</v>
      </c>
      <c r="B3035" s="83" t="s">
        <v>4755</v>
      </c>
      <c r="C3035" s="83"/>
      <c r="D3035" s="83"/>
      <c r="E3035" s="83" t="s">
        <v>4228</v>
      </c>
      <c r="F3035" s="82" t="s">
        <v>78</v>
      </c>
      <c r="G3035" s="82">
        <v>1</v>
      </c>
      <c r="H3035" s="82"/>
      <c r="I3035" s="138">
        <f t="shared" si="126"/>
        <v>0</v>
      </c>
      <c r="J3035" s="82"/>
      <c r="K3035" s="83"/>
    </row>
    <row r="3036" spans="1:11" ht="27" customHeight="1" x14ac:dyDescent="0.25">
      <c r="A3036" s="82" t="s">
        <v>4756</v>
      </c>
      <c r="B3036" s="83" t="s">
        <v>4757</v>
      </c>
      <c r="C3036" s="83"/>
      <c r="D3036" s="83"/>
      <c r="E3036" s="83" t="s">
        <v>4228</v>
      </c>
      <c r="F3036" s="82" t="s">
        <v>78</v>
      </c>
      <c r="G3036" s="82">
        <v>2</v>
      </c>
      <c r="H3036" s="82"/>
      <c r="I3036" s="138">
        <f t="shared" si="126"/>
        <v>0</v>
      </c>
      <c r="J3036" s="82"/>
      <c r="K3036" s="83"/>
    </row>
    <row r="3037" spans="1:11" ht="27" customHeight="1" x14ac:dyDescent="0.25">
      <c r="A3037" s="82" t="s">
        <v>4758</v>
      </c>
      <c r="B3037" s="83" t="s">
        <v>4759</v>
      </c>
      <c r="C3037" s="83"/>
      <c r="D3037" s="83"/>
      <c r="E3037" s="83" t="s">
        <v>4228</v>
      </c>
      <c r="F3037" s="82" t="s">
        <v>78</v>
      </c>
      <c r="G3037" s="82">
        <v>2</v>
      </c>
      <c r="H3037" s="82"/>
      <c r="I3037" s="138">
        <f t="shared" si="126"/>
        <v>0</v>
      </c>
      <c r="J3037" s="82"/>
      <c r="K3037" s="83"/>
    </row>
    <row r="3038" spans="1:11" ht="15" customHeight="1" x14ac:dyDescent="0.25">
      <c r="A3038" s="82" t="s">
        <v>4236</v>
      </c>
      <c r="B3038" s="83" t="s">
        <v>4390</v>
      </c>
      <c r="C3038" s="83"/>
      <c r="D3038" s="83"/>
      <c r="E3038" s="83" t="s">
        <v>4228</v>
      </c>
      <c r="F3038" s="82" t="s">
        <v>78</v>
      </c>
      <c r="G3038" s="82">
        <v>1</v>
      </c>
      <c r="H3038" s="82"/>
      <c r="I3038" s="138">
        <f t="shared" si="126"/>
        <v>0</v>
      </c>
      <c r="J3038" s="82"/>
      <c r="K3038" s="83"/>
    </row>
    <row r="3039" spans="1:11" ht="15" customHeight="1" x14ac:dyDescent="0.25">
      <c r="A3039" s="80" t="s">
        <v>4760</v>
      </c>
      <c r="B3039" s="80" t="s">
        <v>4761</v>
      </c>
      <c r="C3039" s="80"/>
      <c r="D3039" s="80"/>
      <c r="E3039" s="80"/>
      <c r="F3039" s="80"/>
      <c r="G3039" s="81"/>
      <c r="H3039" s="80"/>
      <c r="I3039" s="137"/>
      <c r="J3039" s="80"/>
      <c r="K3039" s="80"/>
    </row>
    <row r="3040" spans="1:11" ht="27" customHeight="1" x14ac:dyDescent="0.25">
      <c r="A3040" s="82" t="s">
        <v>4724</v>
      </c>
      <c r="B3040" s="83" t="s">
        <v>4725</v>
      </c>
      <c r="C3040" s="83" t="s">
        <v>4726</v>
      </c>
      <c r="D3040" s="83"/>
      <c r="E3040" s="83" t="s">
        <v>4228</v>
      </c>
      <c r="F3040" s="82" t="s">
        <v>78</v>
      </c>
      <c r="G3040" s="82">
        <v>1</v>
      </c>
      <c r="H3040" s="82">
        <f>19290*1.22</f>
        <v>23533.8</v>
      </c>
      <c r="I3040" s="138">
        <f t="shared" ref="I3040:I3047" si="127">H3040*G3040</f>
        <v>23533.8</v>
      </c>
      <c r="J3040" s="82"/>
      <c r="K3040" s="83"/>
    </row>
    <row r="3041" spans="1:11" ht="15" customHeight="1" x14ac:dyDescent="0.25">
      <c r="A3041" s="82" t="s">
        <v>4398</v>
      </c>
      <c r="B3041" s="83" t="s">
        <v>4762</v>
      </c>
      <c r="C3041" s="83" t="s">
        <v>4763</v>
      </c>
      <c r="D3041" s="83"/>
      <c r="E3041" s="83" t="s">
        <v>4228</v>
      </c>
      <c r="F3041" s="82" t="s">
        <v>78</v>
      </c>
      <c r="G3041" s="82">
        <v>1</v>
      </c>
      <c r="H3041" s="82"/>
      <c r="I3041" s="138">
        <f t="shared" si="127"/>
        <v>0</v>
      </c>
      <c r="J3041" s="82" t="s">
        <v>4764</v>
      </c>
      <c r="K3041" s="83"/>
    </row>
    <row r="3042" spans="1:11" ht="27" customHeight="1" x14ac:dyDescent="0.25">
      <c r="A3042" s="82" t="s">
        <v>4242</v>
      </c>
      <c r="B3042" s="83" t="s">
        <v>4243</v>
      </c>
      <c r="C3042" s="83" t="s">
        <v>4282</v>
      </c>
      <c r="D3042" s="83"/>
      <c r="E3042" s="83" t="s">
        <v>4228</v>
      </c>
      <c r="F3042" s="82" t="s">
        <v>78</v>
      </c>
      <c r="G3042" s="82">
        <v>1</v>
      </c>
      <c r="H3042" s="82">
        <v>1950</v>
      </c>
      <c r="I3042" s="138">
        <f t="shared" si="127"/>
        <v>1950</v>
      </c>
      <c r="J3042" s="82"/>
      <c r="K3042" s="83" t="s">
        <v>4246</v>
      </c>
    </row>
    <row r="3043" spans="1:11" ht="15" customHeight="1" x14ac:dyDescent="0.25">
      <c r="A3043" s="82" t="s">
        <v>4262</v>
      </c>
      <c r="B3043" s="83" t="s">
        <v>4263</v>
      </c>
      <c r="C3043" s="83"/>
      <c r="D3043" s="83"/>
      <c r="E3043" s="83" t="s">
        <v>4228</v>
      </c>
      <c r="F3043" s="82" t="s">
        <v>78</v>
      </c>
      <c r="G3043" s="82">
        <v>1</v>
      </c>
      <c r="H3043" s="82">
        <v>2800</v>
      </c>
      <c r="I3043" s="138">
        <f t="shared" si="127"/>
        <v>2800</v>
      </c>
      <c r="J3043" s="82"/>
      <c r="K3043" s="83"/>
    </row>
    <row r="3044" spans="1:11" ht="15" customHeight="1" x14ac:dyDescent="0.25">
      <c r="A3044" s="82" t="s">
        <v>4236</v>
      </c>
      <c r="B3044" s="83" t="s">
        <v>4389</v>
      </c>
      <c r="C3044" s="83"/>
      <c r="D3044" s="83"/>
      <c r="E3044" s="83" t="s">
        <v>4228</v>
      </c>
      <c r="F3044" s="82" t="s">
        <v>78</v>
      </c>
      <c r="G3044" s="82">
        <v>1</v>
      </c>
      <c r="H3044" s="82">
        <v>4090</v>
      </c>
      <c r="I3044" s="138">
        <f t="shared" si="127"/>
        <v>4090</v>
      </c>
      <c r="J3044" s="82"/>
      <c r="K3044" s="83"/>
    </row>
    <row r="3045" spans="1:11" ht="15" customHeight="1" x14ac:dyDescent="0.25">
      <c r="A3045" s="82" t="s">
        <v>4236</v>
      </c>
      <c r="B3045" s="83" t="s">
        <v>4755</v>
      </c>
      <c r="C3045" s="83"/>
      <c r="D3045" s="83"/>
      <c r="E3045" s="83" t="s">
        <v>4228</v>
      </c>
      <c r="F3045" s="82" t="s">
        <v>78</v>
      </c>
      <c r="G3045" s="82">
        <v>1</v>
      </c>
      <c r="H3045" s="82"/>
      <c r="I3045" s="138">
        <f t="shared" si="127"/>
        <v>0</v>
      </c>
      <c r="J3045" s="82"/>
      <c r="K3045" s="83"/>
    </row>
    <row r="3046" spans="1:11" ht="15" customHeight="1" x14ac:dyDescent="0.25">
      <c r="A3046" s="82" t="s">
        <v>4236</v>
      </c>
      <c r="B3046" s="83" t="s">
        <v>4514</v>
      </c>
      <c r="C3046" s="83"/>
      <c r="D3046" s="83"/>
      <c r="E3046" s="83" t="s">
        <v>4228</v>
      </c>
      <c r="F3046" s="82" t="s">
        <v>78</v>
      </c>
      <c r="G3046" s="82">
        <v>1</v>
      </c>
      <c r="H3046" s="82">
        <v>4790</v>
      </c>
      <c r="I3046" s="138">
        <f t="shared" si="127"/>
        <v>4790</v>
      </c>
      <c r="J3046" s="82"/>
      <c r="K3046" s="83"/>
    </row>
    <row r="3047" spans="1:11" ht="15" customHeight="1" x14ac:dyDescent="0.25">
      <c r="A3047" s="82" t="s">
        <v>4236</v>
      </c>
      <c r="B3047" s="83" t="s">
        <v>4334</v>
      </c>
      <c r="C3047" s="83"/>
      <c r="D3047" s="83"/>
      <c r="E3047" s="83" t="s">
        <v>4228</v>
      </c>
      <c r="F3047" s="82" t="s">
        <v>78</v>
      </c>
      <c r="G3047" s="82">
        <v>1</v>
      </c>
      <c r="H3047" s="82">
        <v>4500</v>
      </c>
      <c r="I3047" s="138">
        <f t="shared" si="127"/>
        <v>4500</v>
      </c>
      <c r="J3047" s="82"/>
      <c r="K3047" s="83"/>
    </row>
    <row r="3048" spans="1:11" ht="15" customHeight="1" x14ac:dyDescent="0.25">
      <c r="A3048" s="80" t="s">
        <v>4765</v>
      </c>
      <c r="B3048" s="80" t="s">
        <v>4761</v>
      </c>
      <c r="C3048" s="80"/>
      <c r="D3048" s="80"/>
      <c r="E3048" s="80"/>
      <c r="F3048" s="80"/>
      <c r="G3048" s="81"/>
      <c r="H3048" s="80"/>
      <c r="I3048" s="137"/>
      <c r="J3048" s="80"/>
      <c r="K3048" s="80"/>
    </row>
    <row r="3049" spans="1:11" ht="27" customHeight="1" x14ac:dyDescent="0.25">
      <c r="A3049" s="82" t="s">
        <v>4724</v>
      </c>
      <c r="B3049" s="83" t="s">
        <v>4725</v>
      </c>
      <c r="C3049" s="83" t="s">
        <v>4726</v>
      </c>
      <c r="D3049" s="83"/>
      <c r="E3049" s="83" t="s">
        <v>4228</v>
      </c>
      <c r="F3049" s="82" t="s">
        <v>78</v>
      </c>
      <c r="G3049" s="82">
        <v>1</v>
      </c>
      <c r="H3049" s="82">
        <f>19290*1.22</f>
        <v>23533.8</v>
      </c>
      <c r="I3049" s="138">
        <f t="shared" ref="I3049:I3056" si="128">H3049*G3049</f>
        <v>23533.8</v>
      </c>
      <c r="J3049" s="82"/>
      <c r="K3049" s="83"/>
    </row>
    <row r="3050" spans="1:11" ht="15" customHeight="1" x14ac:dyDescent="0.25">
      <c r="A3050" s="82" t="s">
        <v>4398</v>
      </c>
      <c r="B3050" s="83" t="s">
        <v>4762</v>
      </c>
      <c r="C3050" s="83" t="s">
        <v>4763</v>
      </c>
      <c r="D3050" s="83"/>
      <c r="E3050" s="83" t="s">
        <v>4228</v>
      </c>
      <c r="F3050" s="82" t="s">
        <v>78</v>
      </c>
      <c r="G3050" s="82">
        <v>1</v>
      </c>
      <c r="H3050" s="82"/>
      <c r="I3050" s="138">
        <f t="shared" si="128"/>
        <v>0</v>
      </c>
      <c r="J3050" s="82" t="s">
        <v>4764</v>
      </c>
      <c r="K3050" s="83"/>
    </row>
    <row r="3051" spans="1:11" ht="27" customHeight="1" x14ac:dyDescent="0.25">
      <c r="A3051" s="82" t="s">
        <v>4242</v>
      </c>
      <c r="B3051" s="83" t="s">
        <v>4243</v>
      </c>
      <c r="C3051" s="83" t="s">
        <v>4282</v>
      </c>
      <c r="D3051" s="83"/>
      <c r="E3051" s="83" t="s">
        <v>4228</v>
      </c>
      <c r="F3051" s="82" t="s">
        <v>78</v>
      </c>
      <c r="G3051" s="82">
        <v>1</v>
      </c>
      <c r="H3051" s="82">
        <v>1950</v>
      </c>
      <c r="I3051" s="138">
        <f t="shared" si="128"/>
        <v>1950</v>
      </c>
      <c r="J3051" s="82"/>
      <c r="K3051" s="83" t="s">
        <v>4246</v>
      </c>
    </row>
    <row r="3052" spans="1:11" ht="15" customHeight="1" x14ac:dyDescent="0.25">
      <c r="A3052" s="82" t="s">
        <v>4262</v>
      </c>
      <c r="B3052" s="83" t="s">
        <v>4263</v>
      </c>
      <c r="C3052" s="83"/>
      <c r="D3052" s="83"/>
      <c r="E3052" s="83" t="s">
        <v>4228</v>
      </c>
      <c r="F3052" s="82" t="s">
        <v>78</v>
      </c>
      <c r="G3052" s="82">
        <v>1</v>
      </c>
      <c r="H3052" s="82">
        <v>2800</v>
      </c>
      <c r="I3052" s="138">
        <f t="shared" si="128"/>
        <v>2800</v>
      </c>
      <c r="J3052" s="82"/>
      <c r="K3052" s="83"/>
    </row>
    <row r="3053" spans="1:11" ht="15" customHeight="1" x14ac:dyDescent="0.25">
      <c r="A3053" s="82" t="s">
        <v>4236</v>
      </c>
      <c r="B3053" s="83" t="s">
        <v>4389</v>
      </c>
      <c r="C3053" s="83"/>
      <c r="D3053" s="83"/>
      <c r="E3053" s="83" t="s">
        <v>4228</v>
      </c>
      <c r="F3053" s="82" t="s">
        <v>78</v>
      </c>
      <c r="G3053" s="82">
        <v>1</v>
      </c>
      <c r="H3053" s="82">
        <v>4090</v>
      </c>
      <c r="I3053" s="138">
        <f t="shared" si="128"/>
        <v>4090</v>
      </c>
      <c r="J3053" s="82"/>
      <c r="K3053" s="83"/>
    </row>
    <row r="3054" spans="1:11" ht="15" customHeight="1" x14ac:dyDescent="0.25">
      <c r="A3054" s="82" t="s">
        <v>4236</v>
      </c>
      <c r="B3054" s="83" t="s">
        <v>4755</v>
      </c>
      <c r="C3054" s="83"/>
      <c r="D3054" s="83"/>
      <c r="E3054" s="83" t="s">
        <v>4228</v>
      </c>
      <c r="F3054" s="82" t="s">
        <v>78</v>
      </c>
      <c r="G3054" s="82">
        <v>1</v>
      </c>
      <c r="H3054" s="82"/>
      <c r="I3054" s="138">
        <f t="shared" si="128"/>
        <v>0</v>
      </c>
      <c r="J3054" s="82"/>
      <c r="K3054" s="83"/>
    </row>
    <row r="3055" spans="1:11" ht="15" customHeight="1" x14ac:dyDescent="0.25">
      <c r="A3055" s="82" t="s">
        <v>4236</v>
      </c>
      <c r="B3055" s="83" t="s">
        <v>4514</v>
      </c>
      <c r="C3055" s="83"/>
      <c r="D3055" s="83"/>
      <c r="E3055" s="83" t="s">
        <v>4228</v>
      </c>
      <c r="F3055" s="82" t="s">
        <v>78</v>
      </c>
      <c r="G3055" s="82">
        <v>1</v>
      </c>
      <c r="H3055" s="82">
        <v>4790</v>
      </c>
      <c r="I3055" s="138">
        <f t="shared" si="128"/>
        <v>4790</v>
      </c>
      <c r="J3055" s="82"/>
      <c r="K3055" s="83"/>
    </row>
    <row r="3056" spans="1:11" ht="15" customHeight="1" x14ac:dyDescent="0.25">
      <c r="A3056" s="82" t="s">
        <v>4236</v>
      </c>
      <c r="B3056" s="83" t="s">
        <v>4334</v>
      </c>
      <c r="C3056" s="83"/>
      <c r="D3056" s="83"/>
      <c r="E3056" s="83" t="s">
        <v>4228</v>
      </c>
      <c r="F3056" s="82" t="s">
        <v>78</v>
      </c>
      <c r="G3056" s="82">
        <v>1</v>
      </c>
      <c r="H3056" s="82">
        <v>4500</v>
      </c>
      <c r="I3056" s="138">
        <f t="shared" si="128"/>
        <v>4500</v>
      </c>
      <c r="J3056" s="82"/>
      <c r="K3056" s="83"/>
    </row>
    <row r="3057" spans="1:11" ht="15" customHeight="1" x14ac:dyDescent="0.25">
      <c r="A3057" s="80" t="s">
        <v>4766</v>
      </c>
      <c r="B3057" s="80" t="s">
        <v>4767</v>
      </c>
      <c r="C3057" s="80"/>
      <c r="D3057" s="80"/>
      <c r="E3057" s="80"/>
      <c r="F3057" s="80"/>
      <c r="G3057" s="81"/>
      <c r="H3057" s="80"/>
      <c r="I3057" s="137"/>
      <c r="J3057" s="80"/>
      <c r="K3057" s="80"/>
    </row>
    <row r="3058" spans="1:11" ht="27" customHeight="1" x14ac:dyDescent="0.25">
      <c r="A3058" s="82" t="s">
        <v>4324</v>
      </c>
      <c r="B3058" s="83" t="s">
        <v>4325</v>
      </c>
      <c r="C3058" s="83" t="s">
        <v>4326</v>
      </c>
      <c r="D3058" s="83"/>
      <c r="E3058" s="83" t="s">
        <v>4228</v>
      </c>
      <c r="F3058" s="82" t="s">
        <v>78</v>
      </c>
      <c r="G3058" s="82">
        <v>1</v>
      </c>
      <c r="H3058" s="82"/>
      <c r="I3058" s="138">
        <f t="shared" ref="I3058:I3066" si="129">H3058*G3058</f>
        <v>0</v>
      </c>
      <c r="J3058" s="82"/>
      <c r="K3058" s="83"/>
    </row>
    <row r="3059" spans="1:11" ht="27" customHeight="1" x14ac:dyDescent="0.25">
      <c r="A3059" s="82" t="s">
        <v>4331</v>
      </c>
      <c r="B3059" s="83" t="s">
        <v>4332</v>
      </c>
      <c r="C3059" s="83" t="s">
        <v>4333</v>
      </c>
      <c r="D3059" s="83"/>
      <c r="E3059" s="83" t="s">
        <v>4228</v>
      </c>
      <c r="F3059" s="82" t="s">
        <v>78</v>
      </c>
      <c r="G3059" s="82">
        <v>1</v>
      </c>
      <c r="H3059" s="82">
        <v>30000</v>
      </c>
      <c r="I3059" s="138">
        <f t="shared" si="129"/>
        <v>30000</v>
      </c>
      <c r="J3059" s="82"/>
      <c r="K3059" s="83"/>
    </row>
    <row r="3060" spans="1:11" ht="27" customHeight="1" x14ac:dyDescent="0.25">
      <c r="A3060" s="82" t="s">
        <v>4327</v>
      </c>
      <c r="B3060" s="83" t="s">
        <v>4328</v>
      </c>
      <c r="C3060" s="83" t="s">
        <v>4329</v>
      </c>
      <c r="D3060" s="83"/>
      <c r="E3060" s="83" t="s">
        <v>4228</v>
      </c>
      <c r="F3060" s="82" t="s">
        <v>78</v>
      </c>
      <c r="G3060" s="82">
        <v>1</v>
      </c>
      <c r="H3060" s="82">
        <v>2000000</v>
      </c>
      <c r="I3060" s="138">
        <f t="shared" si="129"/>
        <v>2000000</v>
      </c>
      <c r="J3060" s="82"/>
      <c r="K3060" s="83"/>
    </row>
    <row r="3061" spans="1:11" ht="39" customHeight="1" x14ac:dyDescent="0.25">
      <c r="A3061" s="82" t="s">
        <v>4768</v>
      </c>
      <c r="B3061" s="83" t="s">
        <v>4769</v>
      </c>
      <c r="C3061" s="83" t="s">
        <v>4770</v>
      </c>
      <c r="D3061" s="83"/>
      <c r="E3061" s="83" t="s">
        <v>4228</v>
      </c>
      <c r="F3061" s="82" t="s">
        <v>78</v>
      </c>
      <c r="G3061" s="82">
        <v>1</v>
      </c>
      <c r="H3061" s="82">
        <f>129000*1.22</f>
        <v>157380</v>
      </c>
      <c r="I3061" s="138">
        <f t="shared" si="129"/>
        <v>157380</v>
      </c>
      <c r="J3061" s="82"/>
      <c r="K3061" s="83"/>
    </row>
    <row r="3062" spans="1:11" ht="27" customHeight="1" x14ac:dyDescent="0.25">
      <c r="A3062" s="82" t="s">
        <v>4257</v>
      </c>
      <c r="B3062" s="83" t="s">
        <v>4258</v>
      </c>
      <c r="C3062" s="83"/>
      <c r="D3062" s="83"/>
      <c r="E3062" s="83" t="s">
        <v>4228</v>
      </c>
      <c r="F3062" s="82" t="s">
        <v>78</v>
      </c>
      <c r="G3062" s="82">
        <v>1</v>
      </c>
      <c r="H3062" s="82"/>
      <c r="I3062" s="138">
        <f t="shared" si="129"/>
        <v>0</v>
      </c>
      <c r="J3062" s="82"/>
      <c r="K3062" s="83"/>
    </row>
    <row r="3063" spans="1:11" ht="27" customHeight="1" x14ac:dyDescent="0.25">
      <c r="A3063" s="82" t="s">
        <v>4771</v>
      </c>
      <c r="B3063" s="83" t="s">
        <v>4772</v>
      </c>
      <c r="C3063" s="83" t="s">
        <v>4773</v>
      </c>
      <c r="D3063" s="83"/>
      <c r="E3063" s="83" t="s">
        <v>4228</v>
      </c>
      <c r="F3063" s="82" t="s">
        <v>78</v>
      </c>
      <c r="G3063" s="82">
        <v>1</v>
      </c>
      <c r="H3063" s="82"/>
      <c r="I3063" s="138">
        <f t="shared" si="129"/>
        <v>0</v>
      </c>
      <c r="J3063" s="82"/>
      <c r="K3063" s="83"/>
    </row>
    <row r="3064" spans="1:11" ht="15" customHeight="1" x14ac:dyDescent="0.25">
      <c r="A3064" s="82" t="s">
        <v>4774</v>
      </c>
      <c r="B3064" s="83" t="s">
        <v>4775</v>
      </c>
      <c r="C3064" s="83" t="s">
        <v>4776</v>
      </c>
      <c r="D3064" s="83"/>
      <c r="E3064" s="83" t="s">
        <v>4228</v>
      </c>
      <c r="F3064" s="82" t="s">
        <v>78</v>
      </c>
      <c r="G3064" s="82">
        <v>1</v>
      </c>
      <c r="H3064" s="82">
        <v>35000</v>
      </c>
      <c r="I3064" s="138">
        <f t="shared" si="129"/>
        <v>35000</v>
      </c>
      <c r="J3064" s="82"/>
      <c r="K3064" s="83"/>
    </row>
    <row r="3065" spans="1:11" ht="15" customHeight="1" x14ac:dyDescent="0.25">
      <c r="A3065" s="82" t="s">
        <v>4777</v>
      </c>
      <c r="B3065" s="83" t="s">
        <v>4778</v>
      </c>
      <c r="C3065" s="83" t="s">
        <v>4779</v>
      </c>
      <c r="D3065" s="83"/>
      <c r="E3065" s="83" t="s">
        <v>4228</v>
      </c>
      <c r="F3065" s="82" t="s">
        <v>78</v>
      </c>
      <c r="G3065" s="82">
        <v>1</v>
      </c>
      <c r="H3065" s="82"/>
      <c r="I3065" s="138">
        <f t="shared" si="129"/>
        <v>0</v>
      </c>
      <c r="J3065" s="82"/>
      <c r="K3065" s="83"/>
    </row>
    <row r="3066" spans="1:11" ht="27" customHeight="1" x14ac:dyDescent="0.25">
      <c r="A3066" s="82" t="s">
        <v>4676</v>
      </c>
      <c r="B3066" s="83" t="s">
        <v>4780</v>
      </c>
      <c r="C3066" s="83" t="s">
        <v>4678</v>
      </c>
      <c r="D3066" s="83"/>
      <c r="E3066" s="83" t="s">
        <v>4228</v>
      </c>
      <c r="F3066" s="82" t="s">
        <v>78</v>
      </c>
      <c r="G3066" s="82">
        <v>1</v>
      </c>
      <c r="H3066" s="82">
        <f>11790*1.22</f>
        <v>14383.8</v>
      </c>
      <c r="I3066" s="138">
        <f t="shared" si="129"/>
        <v>14383.8</v>
      </c>
      <c r="J3066" s="82"/>
      <c r="K3066" s="83"/>
    </row>
    <row r="3067" spans="1:11" ht="15" customHeight="1" x14ac:dyDescent="0.25">
      <c r="A3067" s="80" t="s">
        <v>4781</v>
      </c>
      <c r="B3067" s="80" t="s">
        <v>4782</v>
      </c>
      <c r="C3067" s="80"/>
      <c r="D3067" s="80"/>
      <c r="E3067" s="80"/>
      <c r="F3067" s="80"/>
      <c r="G3067" s="81"/>
      <c r="H3067" s="80"/>
      <c r="I3067" s="137"/>
      <c r="J3067" s="80"/>
      <c r="K3067" s="80"/>
    </row>
    <row r="3068" spans="1:11" ht="27" customHeight="1" x14ac:dyDescent="0.25">
      <c r="A3068" s="82" t="s">
        <v>4257</v>
      </c>
      <c r="B3068" s="83" t="s">
        <v>4258</v>
      </c>
      <c r="C3068" s="83"/>
      <c r="D3068" s="83"/>
      <c r="E3068" s="83" t="s">
        <v>4228</v>
      </c>
      <c r="F3068" s="82" t="s">
        <v>78</v>
      </c>
      <c r="G3068" s="82">
        <v>4</v>
      </c>
      <c r="H3068" s="82"/>
      <c r="I3068" s="138">
        <f>H3068*G3068</f>
        <v>0</v>
      </c>
      <c r="J3068" s="82"/>
      <c r="K3068" s="83"/>
    </row>
    <row r="3069" spans="1:11" ht="39" customHeight="1" x14ac:dyDescent="0.25">
      <c r="A3069" s="82" t="s">
        <v>4783</v>
      </c>
      <c r="B3069" s="83" t="s">
        <v>4784</v>
      </c>
      <c r="C3069" s="83"/>
      <c r="D3069" s="83"/>
      <c r="E3069" s="83" t="s">
        <v>4228</v>
      </c>
      <c r="F3069" s="82" t="s">
        <v>78</v>
      </c>
      <c r="G3069" s="82">
        <v>1</v>
      </c>
      <c r="H3069" s="82">
        <v>265000</v>
      </c>
      <c r="I3069" s="138">
        <f>H3069*G3069</f>
        <v>265000</v>
      </c>
      <c r="J3069" s="82"/>
      <c r="K3069" s="83"/>
    </row>
    <row r="3070" spans="1:11" ht="75" customHeight="1" x14ac:dyDescent="0.25">
      <c r="A3070" s="82" t="s">
        <v>4236</v>
      </c>
      <c r="B3070" s="83" t="s">
        <v>4785</v>
      </c>
      <c r="C3070" s="83"/>
      <c r="D3070" s="83"/>
      <c r="E3070" s="83" t="s">
        <v>4228</v>
      </c>
      <c r="F3070" s="82" t="s">
        <v>78</v>
      </c>
      <c r="G3070" s="82">
        <v>2</v>
      </c>
      <c r="H3070" s="82"/>
      <c r="I3070" s="138">
        <f>H3070*G3070</f>
        <v>0</v>
      </c>
      <c r="J3070" s="82"/>
      <c r="K3070" s="83"/>
    </row>
    <row r="3071" spans="1:11" ht="99" customHeight="1" x14ac:dyDescent="0.25">
      <c r="A3071" s="82" t="s">
        <v>4236</v>
      </c>
      <c r="B3071" s="83" t="s">
        <v>4786</v>
      </c>
      <c r="C3071" s="83"/>
      <c r="D3071" s="83"/>
      <c r="E3071" s="83" t="s">
        <v>4228</v>
      </c>
      <c r="F3071" s="82" t="s">
        <v>47</v>
      </c>
      <c r="G3071" s="82">
        <v>1</v>
      </c>
      <c r="H3071" s="82"/>
      <c r="I3071" s="138">
        <f>H3071*G3071</f>
        <v>0</v>
      </c>
      <c r="J3071" s="82"/>
      <c r="K3071" s="83"/>
    </row>
    <row r="3072" spans="1:11" ht="75" customHeight="1" x14ac:dyDescent="0.25">
      <c r="A3072" s="82" t="s">
        <v>4236</v>
      </c>
      <c r="B3072" s="83" t="s">
        <v>4787</v>
      </c>
      <c r="C3072" s="83"/>
      <c r="D3072" s="83"/>
      <c r="E3072" s="83" t="s">
        <v>4228</v>
      </c>
      <c r="F3072" s="82" t="s">
        <v>47</v>
      </c>
      <c r="G3072" s="82">
        <v>1</v>
      </c>
      <c r="H3072" s="82"/>
      <c r="I3072" s="138">
        <f>H3072*G3072</f>
        <v>0</v>
      </c>
      <c r="J3072" s="82"/>
      <c r="K3072" s="83" t="s">
        <v>4642</v>
      </c>
    </row>
    <row r="3073" spans="1:11" ht="15" customHeight="1" x14ac:dyDescent="0.25">
      <c r="A3073" s="84"/>
      <c r="B3073" s="84" t="s">
        <v>4788</v>
      </c>
      <c r="C3073" s="84"/>
      <c r="D3073" s="84"/>
      <c r="E3073" s="84"/>
      <c r="F3073" s="84"/>
      <c r="G3073" s="85"/>
      <c r="H3073" s="84"/>
      <c r="I3073" s="139"/>
      <c r="J3073" s="84"/>
      <c r="K3073" s="84"/>
    </row>
    <row r="3074" spans="1:11" ht="15" customHeight="1" x14ac:dyDescent="0.25">
      <c r="A3074" s="80" t="s">
        <v>4789</v>
      </c>
      <c r="B3074" s="80" t="s">
        <v>4790</v>
      </c>
      <c r="C3074" s="80"/>
      <c r="D3074" s="80"/>
      <c r="E3074" s="80"/>
      <c r="F3074" s="80"/>
      <c r="G3074" s="81"/>
      <c r="H3074" s="80"/>
      <c r="I3074" s="137"/>
      <c r="J3074" s="80"/>
      <c r="K3074" s="80"/>
    </row>
    <row r="3075" spans="1:11" ht="51" customHeight="1" x14ac:dyDescent="0.25">
      <c r="A3075" s="82" t="s">
        <v>4383</v>
      </c>
      <c r="B3075" s="83" t="s">
        <v>4384</v>
      </c>
      <c r="C3075" s="83"/>
      <c r="D3075" s="83"/>
      <c r="E3075" s="83" t="s">
        <v>4228</v>
      </c>
      <c r="F3075" s="82" t="s">
        <v>78</v>
      </c>
      <c r="G3075" s="82">
        <v>2</v>
      </c>
      <c r="H3075" s="82">
        <v>16200</v>
      </c>
      <c r="I3075" s="138">
        <f>H3075*G3075</f>
        <v>32400</v>
      </c>
      <c r="J3075" s="82"/>
      <c r="K3075" s="83"/>
    </row>
    <row r="3076" spans="1:11" ht="15" customHeight="1" x14ac:dyDescent="0.25">
      <c r="A3076" s="82" t="s">
        <v>4236</v>
      </c>
      <c r="B3076" s="83" t="s">
        <v>4791</v>
      </c>
      <c r="C3076" s="83"/>
      <c r="D3076" s="83"/>
      <c r="E3076" s="83" t="s">
        <v>4228</v>
      </c>
      <c r="F3076" s="82" t="s">
        <v>47</v>
      </c>
      <c r="G3076" s="82">
        <v>2</v>
      </c>
      <c r="H3076" s="82"/>
      <c r="I3076" s="138">
        <f>H3076*G3076</f>
        <v>0</v>
      </c>
      <c r="J3076" s="82"/>
      <c r="K3076" s="83"/>
    </row>
    <row r="3077" spans="1:11" ht="15" customHeight="1" x14ac:dyDescent="0.25">
      <c r="A3077" s="80" t="s">
        <v>4792</v>
      </c>
      <c r="B3077" s="80" t="s">
        <v>4793</v>
      </c>
      <c r="C3077" s="80"/>
      <c r="D3077" s="80"/>
      <c r="E3077" s="80"/>
      <c r="F3077" s="80"/>
      <c r="G3077" s="81"/>
      <c r="H3077" s="80"/>
      <c r="I3077" s="137"/>
      <c r="J3077" s="80"/>
      <c r="K3077" s="80"/>
    </row>
    <row r="3078" spans="1:11" ht="15" customHeight="1" x14ac:dyDescent="0.25">
      <c r="A3078" s="82" t="s">
        <v>4278</v>
      </c>
      <c r="B3078" s="83" t="s">
        <v>4279</v>
      </c>
      <c r="C3078" s="83"/>
      <c r="D3078" s="83"/>
      <c r="E3078" s="83" t="s">
        <v>4228</v>
      </c>
      <c r="F3078" s="82" t="s">
        <v>78</v>
      </c>
      <c r="G3078" s="82">
        <v>3</v>
      </c>
      <c r="H3078" s="82"/>
      <c r="I3078" s="138">
        <f t="shared" ref="I3078:I3088" si="130">H3078*G3078</f>
        <v>0</v>
      </c>
      <c r="J3078" s="82"/>
      <c r="K3078" s="83"/>
    </row>
    <row r="3079" spans="1:11" ht="15" customHeight="1" x14ac:dyDescent="0.25">
      <c r="A3079" s="82" t="s">
        <v>4794</v>
      </c>
      <c r="B3079" s="83" t="s">
        <v>4795</v>
      </c>
      <c r="C3079" s="83"/>
      <c r="D3079" s="83"/>
      <c r="E3079" s="83" t="s">
        <v>4228</v>
      </c>
      <c r="F3079" s="82" t="s">
        <v>78</v>
      </c>
      <c r="G3079" s="82">
        <v>3</v>
      </c>
      <c r="H3079" s="82"/>
      <c r="I3079" s="138">
        <f t="shared" si="130"/>
        <v>0</v>
      </c>
      <c r="J3079" s="82"/>
      <c r="K3079" s="83"/>
    </row>
    <row r="3080" spans="1:11" ht="15" customHeight="1" x14ac:dyDescent="0.25">
      <c r="A3080" s="82" t="s">
        <v>4276</v>
      </c>
      <c r="B3080" s="83" t="s">
        <v>4277</v>
      </c>
      <c r="C3080" s="83"/>
      <c r="D3080" s="83"/>
      <c r="E3080" s="83" t="s">
        <v>4228</v>
      </c>
      <c r="F3080" s="82" t="s">
        <v>78</v>
      </c>
      <c r="G3080" s="82">
        <v>1</v>
      </c>
      <c r="H3080" s="82"/>
      <c r="I3080" s="138">
        <f t="shared" si="130"/>
        <v>0</v>
      </c>
      <c r="J3080" s="82"/>
      <c r="K3080" s="83"/>
    </row>
    <row r="3081" spans="1:11" ht="27" customHeight="1" x14ac:dyDescent="0.25">
      <c r="A3081" s="82" t="s">
        <v>4242</v>
      </c>
      <c r="B3081" s="83" t="s">
        <v>4243</v>
      </c>
      <c r="C3081" s="83" t="s">
        <v>4282</v>
      </c>
      <c r="D3081" s="83"/>
      <c r="E3081" s="83" t="s">
        <v>4228</v>
      </c>
      <c r="F3081" s="82" t="s">
        <v>78</v>
      </c>
      <c r="G3081" s="82">
        <v>4</v>
      </c>
      <c r="H3081" s="82">
        <v>1950</v>
      </c>
      <c r="I3081" s="138">
        <f t="shared" si="130"/>
        <v>7800</v>
      </c>
      <c r="J3081" s="82"/>
      <c r="K3081" s="83" t="s">
        <v>4246</v>
      </c>
    </row>
    <row r="3082" spans="1:11" ht="27" customHeight="1" x14ac:dyDescent="0.25">
      <c r="A3082" s="82" t="s">
        <v>4283</v>
      </c>
      <c r="B3082" s="83" t="s">
        <v>4284</v>
      </c>
      <c r="C3082" s="83"/>
      <c r="D3082" s="83"/>
      <c r="E3082" s="83" t="s">
        <v>4228</v>
      </c>
      <c r="F3082" s="82" t="s">
        <v>78</v>
      </c>
      <c r="G3082" s="82">
        <v>1</v>
      </c>
      <c r="H3082" s="82">
        <v>7000</v>
      </c>
      <c r="I3082" s="138">
        <f t="shared" si="130"/>
        <v>7000</v>
      </c>
      <c r="J3082" s="82"/>
      <c r="K3082" s="83"/>
    </row>
    <row r="3083" spans="1:11" ht="15" customHeight="1" x14ac:dyDescent="0.25">
      <c r="A3083" s="82" t="s">
        <v>3094</v>
      </c>
      <c r="B3083" s="83" t="s">
        <v>4796</v>
      </c>
      <c r="C3083" s="83"/>
      <c r="D3083" s="83"/>
      <c r="E3083" s="83" t="s">
        <v>4228</v>
      </c>
      <c r="F3083" s="82" t="s">
        <v>78</v>
      </c>
      <c r="G3083" s="82">
        <v>1</v>
      </c>
      <c r="H3083" s="82">
        <v>30000</v>
      </c>
      <c r="I3083" s="138">
        <f t="shared" si="130"/>
        <v>30000</v>
      </c>
      <c r="J3083" s="82"/>
      <c r="K3083" s="83"/>
    </row>
    <row r="3084" spans="1:11" ht="15" customHeight="1" x14ac:dyDescent="0.25">
      <c r="A3084" s="82" t="s">
        <v>4285</v>
      </c>
      <c r="B3084" s="83" t="s">
        <v>4286</v>
      </c>
      <c r="C3084" s="83"/>
      <c r="D3084" s="83"/>
      <c r="E3084" s="83" t="s">
        <v>4228</v>
      </c>
      <c r="F3084" s="82" t="s">
        <v>78</v>
      </c>
      <c r="G3084" s="82">
        <v>2</v>
      </c>
      <c r="H3084" s="82">
        <v>3000</v>
      </c>
      <c r="I3084" s="138">
        <f t="shared" si="130"/>
        <v>6000</v>
      </c>
      <c r="J3084" s="82"/>
      <c r="K3084" s="83"/>
    </row>
    <row r="3085" spans="1:11" ht="15" customHeight="1" x14ac:dyDescent="0.25">
      <c r="A3085" s="82" t="s">
        <v>4236</v>
      </c>
      <c r="B3085" s="83" t="s">
        <v>4237</v>
      </c>
      <c r="C3085" s="83"/>
      <c r="D3085" s="83"/>
      <c r="E3085" s="83" t="s">
        <v>4228</v>
      </c>
      <c r="F3085" s="82" t="s">
        <v>78</v>
      </c>
      <c r="G3085" s="82">
        <v>1</v>
      </c>
      <c r="H3085" s="82">
        <v>700</v>
      </c>
      <c r="I3085" s="138">
        <f t="shared" si="130"/>
        <v>700</v>
      </c>
      <c r="J3085" s="82"/>
      <c r="K3085" s="83"/>
    </row>
    <row r="3086" spans="1:11" ht="15" customHeight="1" x14ac:dyDescent="0.25">
      <c r="A3086" s="82" t="s">
        <v>4236</v>
      </c>
      <c r="B3086" s="83" t="s">
        <v>4389</v>
      </c>
      <c r="C3086" s="83"/>
      <c r="D3086" s="83"/>
      <c r="E3086" s="83" t="s">
        <v>4228</v>
      </c>
      <c r="F3086" s="82" t="s">
        <v>78</v>
      </c>
      <c r="G3086" s="82">
        <v>1</v>
      </c>
      <c r="H3086" s="82">
        <v>4090</v>
      </c>
      <c r="I3086" s="138">
        <f t="shared" si="130"/>
        <v>4090</v>
      </c>
      <c r="J3086" s="82"/>
      <c r="K3086" s="83"/>
    </row>
    <row r="3087" spans="1:11" ht="15" customHeight="1" x14ac:dyDescent="0.25">
      <c r="A3087" s="82" t="s">
        <v>4236</v>
      </c>
      <c r="B3087" s="83" t="s">
        <v>4343</v>
      </c>
      <c r="C3087" s="83"/>
      <c r="D3087" s="83"/>
      <c r="E3087" s="83" t="s">
        <v>4228</v>
      </c>
      <c r="F3087" s="82" t="s">
        <v>78</v>
      </c>
      <c r="G3087" s="82">
        <v>2</v>
      </c>
      <c r="H3087" s="82">
        <v>1570</v>
      </c>
      <c r="I3087" s="138">
        <f t="shared" si="130"/>
        <v>3140</v>
      </c>
      <c r="J3087" s="82"/>
      <c r="K3087" s="83"/>
    </row>
    <row r="3088" spans="1:11" ht="15" customHeight="1" x14ac:dyDescent="0.25">
      <c r="A3088" s="82" t="s">
        <v>4236</v>
      </c>
      <c r="B3088" s="83" t="s">
        <v>4390</v>
      </c>
      <c r="C3088" s="83"/>
      <c r="D3088" s="83"/>
      <c r="E3088" s="83" t="s">
        <v>4228</v>
      </c>
      <c r="F3088" s="82" t="s">
        <v>78</v>
      </c>
      <c r="G3088" s="82">
        <v>1</v>
      </c>
      <c r="H3088" s="82"/>
      <c r="I3088" s="138">
        <f t="shared" si="130"/>
        <v>0</v>
      </c>
      <c r="J3088" s="82"/>
      <c r="K3088" s="83"/>
    </row>
    <row r="3089" spans="1:11" ht="15" customHeight="1" x14ac:dyDescent="0.25">
      <c r="A3089" s="80" t="s">
        <v>4797</v>
      </c>
      <c r="B3089" s="80" t="s">
        <v>4798</v>
      </c>
      <c r="C3089" s="80"/>
      <c r="D3089" s="80"/>
      <c r="E3089" s="80"/>
      <c r="F3089" s="80"/>
      <c r="G3089" s="81"/>
      <c r="H3089" s="80"/>
      <c r="I3089" s="137"/>
      <c r="J3089" s="80"/>
      <c r="K3089" s="80"/>
    </row>
    <row r="3090" spans="1:11" ht="63" customHeight="1" x14ac:dyDescent="0.25">
      <c r="A3090" s="82" t="s">
        <v>4799</v>
      </c>
      <c r="B3090" s="83" t="s">
        <v>4800</v>
      </c>
      <c r="C3090" s="83"/>
      <c r="D3090" s="83"/>
      <c r="E3090" s="83" t="s">
        <v>4228</v>
      </c>
      <c r="F3090" s="82" t="s">
        <v>78</v>
      </c>
      <c r="G3090" s="82">
        <v>1</v>
      </c>
      <c r="H3090" s="82"/>
      <c r="I3090" s="138">
        <f>H3090*G3090</f>
        <v>0</v>
      </c>
      <c r="J3090" s="82"/>
      <c r="K3090" s="83"/>
    </row>
    <row r="3091" spans="1:11" ht="15" customHeight="1" x14ac:dyDescent="0.25">
      <c r="A3091" s="82" t="s">
        <v>4801</v>
      </c>
      <c r="B3091" s="83" t="s">
        <v>4802</v>
      </c>
      <c r="C3091" s="83"/>
      <c r="D3091" s="83" t="s">
        <v>4803</v>
      </c>
      <c r="E3091" s="83" t="s">
        <v>4228</v>
      </c>
      <c r="F3091" s="82" t="s">
        <v>78</v>
      </c>
      <c r="G3091" s="82">
        <v>1</v>
      </c>
      <c r="H3091" s="82"/>
      <c r="I3091" s="138">
        <f>H3091*G3091</f>
        <v>0</v>
      </c>
      <c r="J3091" s="82"/>
      <c r="K3091" s="83"/>
    </row>
    <row r="3092" spans="1:11" ht="27" customHeight="1" x14ac:dyDescent="0.25">
      <c r="A3092" s="82" t="s">
        <v>4804</v>
      </c>
      <c r="B3092" s="83" t="s">
        <v>4805</v>
      </c>
      <c r="C3092" s="83"/>
      <c r="D3092" s="83" t="s">
        <v>4806</v>
      </c>
      <c r="E3092" s="83" t="s">
        <v>4228</v>
      </c>
      <c r="F3092" s="82" t="s">
        <v>78</v>
      </c>
      <c r="G3092" s="82">
        <v>1</v>
      </c>
      <c r="H3092" s="82"/>
      <c r="I3092" s="138">
        <f>H3092*G3092</f>
        <v>0</v>
      </c>
      <c r="J3092" s="82"/>
      <c r="K3092" s="83"/>
    </row>
    <row r="3093" spans="1:11" ht="15" customHeight="1" x14ac:dyDescent="0.25">
      <c r="A3093" s="82" t="s">
        <v>4236</v>
      </c>
      <c r="B3093" s="83" t="s">
        <v>4807</v>
      </c>
      <c r="C3093" s="83"/>
      <c r="D3093" s="83"/>
      <c r="E3093" s="83" t="s">
        <v>4228</v>
      </c>
      <c r="F3093" s="82" t="s">
        <v>78</v>
      </c>
      <c r="G3093" s="82">
        <v>2</v>
      </c>
      <c r="H3093" s="82"/>
      <c r="I3093" s="138">
        <f>H3093*G3093</f>
        <v>0</v>
      </c>
      <c r="J3093" s="82"/>
      <c r="K3093" s="83"/>
    </row>
    <row r="3094" spans="1:11" ht="150" customHeight="1" x14ac:dyDescent="0.25">
      <c r="A3094" s="82" t="s">
        <v>4808</v>
      </c>
      <c r="B3094" s="83" t="s">
        <v>4809</v>
      </c>
      <c r="C3094" s="83" t="s">
        <v>4808</v>
      </c>
      <c r="D3094" s="83"/>
      <c r="E3094" s="83" t="s">
        <v>4228</v>
      </c>
      <c r="F3094" s="82" t="s">
        <v>78</v>
      </c>
      <c r="G3094" s="82">
        <v>1</v>
      </c>
      <c r="H3094" s="82"/>
      <c r="I3094" s="138">
        <f>H3094*G3094</f>
        <v>0</v>
      </c>
      <c r="J3094" s="82"/>
      <c r="K3094" s="83"/>
    </row>
    <row r="3095" spans="1:11" ht="15" customHeight="1" x14ac:dyDescent="0.25">
      <c r="A3095" s="80" t="s">
        <v>4810</v>
      </c>
      <c r="B3095" s="80" t="s">
        <v>4811</v>
      </c>
      <c r="C3095" s="80"/>
      <c r="D3095" s="80"/>
      <c r="E3095" s="80"/>
      <c r="F3095" s="80"/>
      <c r="G3095" s="81"/>
      <c r="H3095" s="80"/>
      <c r="I3095" s="137"/>
      <c r="J3095" s="80"/>
      <c r="K3095" s="80"/>
    </row>
    <row r="3096" spans="1:11" ht="51" customHeight="1" x14ac:dyDescent="0.25">
      <c r="A3096" s="82" t="s">
        <v>4383</v>
      </c>
      <c r="B3096" s="83" t="s">
        <v>4384</v>
      </c>
      <c r="C3096" s="83"/>
      <c r="D3096" s="83"/>
      <c r="E3096" s="83" t="s">
        <v>4228</v>
      </c>
      <c r="F3096" s="82" t="s">
        <v>78</v>
      </c>
      <c r="G3096" s="82">
        <v>1</v>
      </c>
      <c r="H3096" s="82">
        <v>16200</v>
      </c>
      <c r="I3096" s="138">
        <f t="shared" ref="I3096:I3102" si="131">H3096*G3096</f>
        <v>16200</v>
      </c>
      <c r="J3096" s="82"/>
      <c r="K3096" s="83"/>
    </row>
    <row r="3097" spans="1:11" ht="39" customHeight="1" x14ac:dyDescent="0.25">
      <c r="A3097" s="82" t="s">
        <v>4812</v>
      </c>
      <c r="B3097" s="83" t="s">
        <v>4813</v>
      </c>
      <c r="C3097" s="83"/>
      <c r="D3097" s="83" t="s">
        <v>4814</v>
      </c>
      <c r="E3097" s="83" t="s">
        <v>4228</v>
      </c>
      <c r="F3097" s="82" t="s">
        <v>78</v>
      </c>
      <c r="G3097" s="82">
        <v>1</v>
      </c>
      <c r="H3097" s="82">
        <v>22830</v>
      </c>
      <c r="I3097" s="138">
        <f t="shared" si="131"/>
        <v>22830</v>
      </c>
      <c r="J3097" s="82" t="s">
        <v>4486</v>
      </c>
      <c r="K3097" s="83"/>
    </row>
    <row r="3098" spans="1:11" ht="75" customHeight="1" x14ac:dyDescent="0.25">
      <c r="A3098" s="82" t="s">
        <v>4236</v>
      </c>
      <c r="B3098" s="83" t="s">
        <v>4815</v>
      </c>
      <c r="C3098" s="83"/>
      <c r="D3098" s="83"/>
      <c r="E3098" s="83" t="s">
        <v>4228</v>
      </c>
      <c r="F3098" s="82" t="s">
        <v>78</v>
      </c>
      <c r="G3098" s="82">
        <v>1</v>
      </c>
      <c r="H3098" s="82"/>
      <c r="I3098" s="138">
        <f t="shared" si="131"/>
        <v>0</v>
      </c>
      <c r="J3098" s="82"/>
      <c r="K3098" s="83"/>
    </row>
    <row r="3099" spans="1:11" ht="15" customHeight="1" x14ac:dyDescent="0.25">
      <c r="A3099" s="82" t="s">
        <v>4236</v>
      </c>
      <c r="B3099" s="83" t="s">
        <v>4791</v>
      </c>
      <c r="C3099" s="83"/>
      <c r="D3099" s="83"/>
      <c r="E3099" s="83" t="s">
        <v>4228</v>
      </c>
      <c r="F3099" s="82" t="s">
        <v>47</v>
      </c>
      <c r="G3099" s="82">
        <v>2</v>
      </c>
      <c r="H3099" s="82"/>
      <c r="I3099" s="138">
        <f t="shared" si="131"/>
        <v>0</v>
      </c>
      <c r="J3099" s="82"/>
      <c r="K3099" s="83"/>
    </row>
    <row r="3100" spans="1:11" ht="15" customHeight="1" x14ac:dyDescent="0.25">
      <c r="A3100" s="82" t="s">
        <v>4236</v>
      </c>
      <c r="B3100" s="83" t="s">
        <v>4816</v>
      </c>
      <c r="C3100" s="83"/>
      <c r="D3100" s="83"/>
      <c r="E3100" s="83" t="s">
        <v>4544</v>
      </c>
      <c r="F3100" s="82" t="s">
        <v>78</v>
      </c>
      <c r="G3100" s="82">
        <v>1</v>
      </c>
      <c r="H3100" s="82">
        <v>2415</v>
      </c>
      <c r="I3100" s="138">
        <f t="shared" si="131"/>
        <v>2415</v>
      </c>
      <c r="J3100" s="82"/>
      <c r="K3100" s="83"/>
    </row>
    <row r="3101" spans="1:11" ht="15" customHeight="1" x14ac:dyDescent="0.25">
      <c r="A3101" s="82" t="s">
        <v>4236</v>
      </c>
      <c r="B3101" s="83" t="s">
        <v>4389</v>
      </c>
      <c r="C3101" s="83"/>
      <c r="D3101" s="83"/>
      <c r="E3101" s="83" t="s">
        <v>4228</v>
      </c>
      <c r="F3101" s="82" t="s">
        <v>78</v>
      </c>
      <c r="G3101" s="82">
        <v>1</v>
      </c>
      <c r="H3101" s="82">
        <v>4090</v>
      </c>
      <c r="I3101" s="138">
        <f t="shared" si="131"/>
        <v>4090</v>
      </c>
      <c r="J3101" s="82"/>
      <c r="K3101" s="83"/>
    </row>
    <row r="3102" spans="1:11" ht="15" customHeight="1" x14ac:dyDescent="0.25">
      <c r="A3102" s="82" t="s">
        <v>4236</v>
      </c>
      <c r="B3102" s="83" t="s">
        <v>4390</v>
      </c>
      <c r="C3102" s="83"/>
      <c r="D3102" s="83"/>
      <c r="E3102" s="83" t="s">
        <v>4228</v>
      </c>
      <c r="F3102" s="82" t="s">
        <v>78</v>
      </c>
      <c r="G3102" s="82">
        <v>1</v>
      </c>
      <c r="H3102" s="82"/>
      <c r="I3102" s="138">
        <f t="shared" si="131"/>
        <v>0</v>
      </c>
      <c r="J3102" s="82"/>
      <c r="K3102" s="83"/>
    </row>
    <row r="3103" spans="1:11" ht="15" customHeight="1" x14ac:dyDescent="0.25">
      <c r="A3103" s="80" t="s">
        <v>4817</v>
      </c>
      <c r="B3103" s="80" t="s">
        <v>4818</v>
      </c>
      <c r="C3103" s="80"/>
      <c r="D3103" s="80"/>
      <c r="E3103" s="80"/>
      <c r="F3103" s="80"/>
      <c r="G3103" s="81"/>
      <c r="H3103" s="80"/>
      <c r="I3103" s="137"/>
      <c r="J3103" s="80"/>
      <c r="K3103" s="80"/>
    </row>
    <row r="3104" spans="1:11" ht="27" customHeight="1" x14ac:dyDescent="0.25">
      <c r="A3104" s="82" t="s">
        <v>4280</v>
      </c>
      <c r="B3104" s="83" t="s">
        <v>4281</v>
      </c>
      <c r="C3104" s="83"/>
      <c r="D3104" s="83"/>
      <c r="E3104" s="83" t="s">
        <v>4228</v>
      </c>
      <c r="F3104" s="82" t="s">
        <v>78</v>
      </c>
      <c r="G3104" s="82">
        <v>1</v>
      </c>
      <c r="H3104" s="82">
        <v>32200</v>
      </c>
      <c r="I3104" s="138">
        <f t="shared" ref="I3104:I3109" si="132">H3104*G3104</f>
        <v>32200</v>
      </c>
      <c r="J3104" s="82"/>
      <c r="K3104" s="83"/>
    </row>
    <row r="3105" spans="1:11" ht="15" customHeight="1" x14ac:dyDescent="0.25">
      <c r="A3105" s="82" t="s">
        <v>4484</v>
      </c>
      <c r="B3105" s="83" t="s">
        <v>4485</v>
      </c>
      <c r="C3105" s="83"/>
      <c r="D3105" s="83"/>
      <c r="E3105" s="83" t="s">
        <v>4228</v>
      </c>
      <c r="F3105" s="82" t="s">
        <v>78</v>
      </c>
      <c r="G3105" s="82">
        <v>2</v>
      </c>
      <c r="H3105" s="82"/>
      <c r="I3105" s="138">
        <f t="shared" si="132"/>
        <v>0</v>
      </c>
      <c r="J3105" s="82"/>
      <c r="K3105" s="83"/>
    </row>
    <row r="3106" spans="1:11" ht="39" customHeight="1" x14ac:dyDescent="0.25">
      <c r="A3106" s="82" t="s">
        <v>4819</v>
      </c>
      <c r="B3106" s="83" t="s">
        <v>4820</v>
      </c>
      <c r="C3106" s="83" t="s">
        <v>4821</v>
      </c>
      <c r="D3106" s="83"/>
      <c r="E3106" s="83" t="s">
        <v>4822</v>
      </c>
      <c r="F3106" s="82" t="s">
        <v>78</v>
      </c>
      <c r="G3106" s="82">
        <v>5</v>
      </c>
      <c r="H3106" s="82"/>
      <c r="I3106" s="138">
        <f t="shared" si="132"/>
        <v>0</v>
      </c>
      <c r="J3106" s="82"/>
      <c r="K3106" s="83"/>
    </row>
    <row r="3107" spans="1:11" ht="15" customHeight="1" x14ac:dyDescent="0.25">
      <c r="A3107" s="82" t="s">
        <v>4236</v>
      </c>
      <c r="B3107" s="83" t="s">
        <v>4343</v>
      </c>
      <c r="C3107" s="83"/>
      <c r="D3107" s="83"/>
      <c r="E3107" s="83" t="s">
        <v>4228</v>
      </c>
      <c r="F3107" s="82" t="s">
        <v>78</v>
      </c>
      <c r="G3107" s="82">
        <v>2</v>
      </c>
      <c r="H3107" s="82">
        <v>1570</v>
      </c>
      <c r="I3107" s="138">
        <f t="shared" si="132"/>
        <v>3140</v>
      </c>
      <c r="J3107" s="82"/>
      <c r="K3107" s="83"/>
    </row>
    <row r="3108" spans="1:11" ht="39" customHeight="1" x14ac:dyDescent="0.25">
      <c r="A3108" s="82" t="s">
        <v>4486</v>
      </c>
      <c r="B3108" s="83" t="s">
        <v>4487</v>
      </c>
      <c r="C3108" s="83"/>
      <c r="D3108" s="83"/>
      <c r="E3108" s="83" t="s">
        <v>4228</v>
      </c>
      <c r="F3108" s="82" t="s">
        <v>78</v>
      </c>
      <c r="G3108" s="82">
        <v>1</v>
      </c>
      <c r="H3108" s="82">
        <v>9600</v>
      </c>
      <c r="I3108" s="138">
        <f t="shared" si="132"/>
        <v>9600</v>
      </c>
      <c r="J3108" s="82"/>
      <c r="K3108" s="83"/>
    </row>
    <row r="3109" spans="1:11" ht="15" customHeight="1" x14ac:dyDescent="0.25">
      <c r="A3109" s="82" t="s">
        <v>4688</v>
      </c>
      <c r="B3109" s="83" t="s">
        <v>4237</v>
      </c>
      <c r="C3109" s="83"/>
      <c r="D3109" s="83"/>
      <c r="E3109" s="83" t="s">
        <v>4228</v>
      </c>
      <c r="F3109" s="82" t="s">
        <v>78</v>
      </c>
      <c r="G3109" s="82">
        <v>1</v>
      </c>
      <c r="H3109" s="82">
        <v>700</v>
      </c>
      <c r="I3109" s="138">
        <f t="shared" si="132"/>
        <v>700</v>
      </c>
      <c r="J3109" s="82"/>
      <c r="K3109" s="83"/>
    </row>
    <row r="3110" spans="1:11" ht="33" customHeight="1" x14ac:dyDescent="0.25">
      <c r="A3110" s="80" t="s">
        <v>4823</v>
      </c>
      <c r="B3110" s="80" t="s">
        <v>4824</v>
      </c>
      <c r="C3110" s="80"/>
      <c r="D3110" s="80"/>
      <c r="E3110" s="80"/>
      <c r="F3110" s="80"/>
      <c r="G3110" s="81"/>
      <c r="H3110" s="80"/>
      <c r="I3110" s="137"/>
      <c r="J3110" s="80"/>
      <c r="K3110" s="80"/>
    </row>
    <row r="3111" spans="1:11" ht="15" customHeight="1" x14ac:dyDescent="0.25">
      <c r="A3111" s="82" t="s">
        <v>4688</v>
      </c>
      <c r="B3111" s="83" t="s">
        <v>4492</v>
      </c>
      <c r="C3111" s="83"/>
      <c r="D3111" s="83"/>
      <c r="E3111" s="83" t="s">
        <v>4228</v>
      </c>
      <c r="F3111" s="82" t="s">
        <v>78</v>
      </c>
      <c r="G3111" s="82">
        <v>1</v>
      </c>
      <c r="H3111" s="82">
        <v>4720</v>
      </c>
      <c r="I3111" s="138">
        <f>H3111*G3111</f>
        <v>4720</v>
      </c>
      <c r="J3111" s="82"/>
      <c r="K3111" s="83"/>
    </row>
    <row r="3112" spans="1:11" ht="15" customHeight="1" x14ac:dyDescent="0.25">
      <c r="A3112" s="82" t="s">
        <v>4688</v>
      </c>
      <c r="B3112" s="83" t="s">
        <v>4493</v>
      </c>
      <c r="C3112" s="83"/>
      <c r="D3112" s="83"/>
      <c r="E3112" s="83" t="s">
        <v>4544</v>
      </c>
      <c r="F3112" s="82" t="s">
        <v>78</v>
      </c>
      <c r="G3112" s="82">
        <v>1</v>
      </c>
      <c r="H3112" s="82">
        <v>760</v>
      </c>
      <c r="I3112" s="138">
        <f>H3112*G3112</f>
        <v>760</v>
      </c>
      <c r="J3112" s="82"/>
      <c r="K3112" s="83"/>
    </row>
    <row r="3113" spans="1:11" ht="15" customHeight="1" x14ac:dyDescent="0.25">
      <c r="A3113" s="82" t="s">
        <v>4688</v>
      </c>
      <c r="B3113" s="83" t="s">
        <v>4334</v>
      </c>
      <c r="C3113" s="83"/>
      <c r="D3113" s="83"/>
      <c r="E3113" s="83" t="s">
        <v>4228</v>
      </c>
      <c r="F3113" s="82" t="s">
        <v>78</v>
      </c>
      <c r="G3113" s="82">
        <v>2</v>
      </c>
      <c r="H3113" s="82">
        <v>4500</v>
      </c>
      <c r="I3113" s="138">
        <f>H3113*G3113</f>
        <v>9000</v>
      </c>
      <c r="J3113" s="82"/>
      <c r="K3113" s="83"/>
    </row>
    <row r="3114" spans="1:11" ht="15" customHeight="1" x14ac:dyDescent="0.25">
      <c r="A3114" s="82" t="s">
        <v>4688</v>
      </c>
      <c r="B3114" s="83" t="s">
        <v>4389</v>
      </c>
      <c r="C3114" s="83"/>
      <c r="D3114" s="83"/>
      <c r="E3114" s="83" t="s">
        <v>4228</v>
      </c>
      <c r="F3114" s="82" t="s">
        <v>78</v>
      </c>
      <c r="G3114" s="82">
        <v>1</v>
      </c>
      <c r="H3114" s="82">
        <v>4090</v>
      </c>
      <c r="I3114" s="138">
        <f>H3114*G3114</f>
        <v>4090</v>
      </c>
      <c r="J3114" s="82"/>
      <c r="K3114" s="83"/>
    </row>
    <row r="3115" spans="1:11" ht="15" customHeight="1" x14ac:dyDescent="0.25">
      <c r="A3115" s="82" t="s">
        <v>4236</v>
      </c>
      <c r="B3115" s="83" t="s">
        <v>4390</v>
      </c>
      <c r="C3115" s="83"/>
      <c r="D3115" s="83"/>
      <c r="E3115" s="83" t="s">
        <v>4228</v>
      </c>
      <c r="F3115" s="82" t="s">
        <v>78</v>
      </c>
      <c r="G3115" s="82">
        <v>1</v>
      </c>
      <c r="H3115" s="82"/>
      <c r="I3115" s="138">
        <f>H3115*G3115</f>
        <v>0</v>
      </c>
      <c r="J3115" s="82"/>
      <c r="K3115" s="83"/>
    </row>
    <row r="3116" spans="1:11" ht="15" customHeight="1" x14ac:dyDescent="0.25">
      <c r="A3116" s="80" t="s">
        <v>4825</v>
      </c>
      <c r="B3116" s="80" t="s">
        <v>4826</v>
      </c>
      <c r="C3116" s="80"/>
      <c r="D3116" s="80"/>
      <c r="E3116" s="80"/>
      <c r="F3116" s="80"/>
      <c r="G3116" s="81"/>
      <c r="H3116" s="80"/>
      <c r="I3116" s="137"/>
      <c r="J3116" s="80"/>
      <c r="K3116" s="80"/>
    </row>
    <row r="3117" spans="1:11" ht="15" customHeight="1" x14ac:dyDescent="0.25">
      <c r="A3117" s="82" t="s">
        <v>4688</v>
      </c>
      <c r="B3117" s="83" t="s">
        <v>4389</v>
      </c>
      <c r="C3117" s="83"/>
      <c r="D3117" s="83"/>
      <c r="E3117" s="83" t="s">
        <v>4228</v>
      </c>
      <c r="F3117" s="82" t="s">
        <v>78</v>
      </c>
      <c r="G3117" s="82">
        <v>1</v>
      </c>
      <c r="H3117" s="82">
        <v>4090</v>
      </c>
      <c r="I3117" s="138">
        <f>H3117*G3117</f>
        <v>4090</v>
      </c>
      <c r="J3117" s="82"/>
      <c r="K3117" s="83"/>
    </row>
    <row r="3118" spans="1:11" ht="27" customHeight="1" x14ac:dyDescent="0.25">
      <c r="A3118" s="82" t="s">
        <v>4236</v>
      </c>
      <c r="B3118" s="83" t="s">
        <v>4827</v>
      </c>
      <c r="C3118" s="83"/>
      <c r="D3118" s="83"/>
      <c r="E3118" s="83" t="s">
        <v>4228</v>
      </c>
      <c r="F3118" s="82" t="s">
        <v>47</v>
      </c>
      <c r="G3118" s="82">
        <v>1</v>
      </c>
      <c r="H3118" s="82"/>
      <c r="I3118" s="138">
        <f>H3118*G3118</f>
        <v>0</v>
      </c>
      <c r="J3118" s="82"/>
      <c r="K3118" s="83"/>
    </row>
    <row r="3119" spans="1:11" ht="15" customHeight="1" x14ac:dyDescent="0.25">
      <c r="A3119" s="80" t="s">
        <v>4828</v>
      </c>
      <c r="B3119" s="80" t="s">
        <v>4790</v>
      </c>
      <c r="C3119" s="80"/>
      <c r="D3119" s="80"/>
      <c r="E3119" s="80"/>
      <c r="F3119" s="80"/>
      <c r="G3119" s="81"/>
      <c r="H3119" s="80"/>
      <c r="I3119" s="137"/>
      <c r="J3119" s="80"/>
      <c r="K3119" s="80"/>
    </row>
    <row r="3120" spans="1:11" ht="15" customHeight="1" x14ac:dyDescent="0.25">
      <c r="A3120" s="80" t="s">
        <v>4829</v>
      </c>
      <c r="B3120" s="80" t="s">
        <v>4830</v>
      </c>
      <c r="C3120" s="80"/>
      <c r="D3120" s="80"/>
      <c r="E3120" s="80"/>
      <c r="F3120" s="80"/>
      <c r="G3120" s="81"/>
      <c r="H3120" s="80"/>
      <c r="I3120" s="137"/>
      <c r="J3120" s="80"/>
      <c r="K3120" s="80"/>
    </row>
    <row r="3121" spans="1:11" ht="15" customHeight="1" x14ac:dyDescent="0.25">
      <c r="A3121" s="80" t="s">
        <v>4831</v>
      </c>
      <c r="B3121" s="80" t="s">
        <v>4832</v>
      </c>
      <c r="C3121" s="80"/>
      <c r="D3121" s="80"/>
      <c r="E3121" s="80"/>
      <c r="F3121" s="80"/>
      <c r="G3121" s="81"/>
      <c r="H3121" s="80"/>
      <c r="I3121" s="137"/>
      <c r="J3121" s="80"/>
      <c r="K3121" s="80"/>
    </row>
    <row r="3122" spans="1:11" ht="15" customHeight="1" x14ac:dyDescent="0.25">
      <c r="A3122" s="80" t="s">
        <v>4833</v>
      </c>
      <c r="B3122" s="80" t="s">
        <v>4834</v>
      </c>
      <c r="C3122" s="80"/>
      <c r="D3122" s="80"/>
      <c r="E3122" s="80"/>
      <c r="F3122" s="80"/>
      <c r="G3122" s="81"/>
      <c r="H3122" s="80"/>
      <c r="I3122" s="137"/>
      <c r="J3122" s="80"/>
      <c r="K3122" s="80"/>
    </row>
    <row r="3123" spans="1:11" ht="15" customHeight="1" x14ac:dyDescent="0.25">
      <c r="A3123" s="80" t="s">
        <v>4835</v>
      </c>
      <c r="B3123" s="80" t="s">
        <v>4836</v>
      </c>
      <c r="C3123" s="80"/>
      <c r="D3123" s="80"/>
      <c r="E3123" s="80"/>
      <c r="F3123" s="80"/>
      <c r="G3123" s="81"/>
      <c r="H3123" s="80"/>
      <c r="I3123" s="137"/>
      <c r="J3123" s="80"/>
      <c r="K3123" s="80"/>
    </row>
    <row r="3124" spans="1:11" ht="15" customHeight="1" x14ac:dyDescent="0.25">
      <c r="A3124" s="80" t="s">
        <v>4837</v>
      </c>
      <c r="B3124" s="80" t="s">
        <v>4838</v>
      </c>
      <c r="C3124" s="80"/>
      <c r="D3124" s="80"/>
      <c r="E3124" s="80"/>
      <c r="F3124" s="80"/>
      <c r="G3124" s="81"/>
      <c r="H3124" s="80"/>
      <c r="I3124" s="137"/>
      <c r="J3124" s="80"/>
      <c r="K3124" s="80"/>
    </row>
    <row r="3125" spans="1:11" ht="15" customHeight="1" x14ac:dyDescent="0.25">
      <c r="A3125" s="80" t="s">
        <v>4839</v>
      </c>
      <c r="B3125" s="80" t="s">
        <v>4836</v>
      </c>
      <c r="C3125" s="80"/>
      <c r="D3125" s="80"/>
      <c r="E3125" s="80"/>
      <c r="F3125" s="80"/>
      <c r="G3125" s="81"/>
      <c r="H3125" s="80"/>
      <c r="I3125" s="137"/>
      <c r="J3125" s="80"/>
      <c r="K3125" s="80"/>
    </row>
    <row r="3126" spans="1:11" ht="15" customHeight="1" x14ac:dyDescent="0.25">
      <c r="A3126" s="80" t="s">
        <v>4840</v>
      </c>
      <c r="B3126" s="80" t="s">
        <v>4841</v>
      </c>
      <c r="C3126" s="80"/>
      <c r="D3126" s="80"/>
      <c r="E3126" s="80"/>
      <c r="F3126" s="80"/>
      <c r="G3126" s="81"/>
      <c r="H3126" s="80"/>
      <c r="I3126" s="137"/>
      <c r="J3126" s="80"/>
      <c r="K3126" s="80"/>
    </row>
    <row r="3127" spans="1:11" ht="27" customHeight="1" x14ac:dyDescent="0.25">
      <c r="A3127" s="82" t="s">
        <v>4676</v>
      </c>
      <c r="B3127" s="83" t="s">
        <v>4677</v>
      </c>
      <c r="C3127" s="83" t="s">
        <v>4678</v>
      </c>
      <c r="D3127" s="83"/>
      <c r="E3127" s="83" t="s">
        <v>4228</v>
      </c>
      <c r="F3127" s="82" t="s">
        <v>78</v>
      </c>
      <c r="G3127" s="82">
        <v>1</v>
      </c>
      <c r="H3127" s="82">
        <f>11790*1.22</f>
        <v>14383.8</v>
      </c>
      <c r="I3127" s="138">
        <f t="shared" ref="I3127:I3159" si="133">H3127*G3127</f>
        <v>14383.8</v>
      </c>
      <c r="J3127" s="82"/>
      <c r="K3127" s="83"/>
    </row>
    <row r="3128" spans="1:11" ht="27" customHeight="1" x14ac:dyDescent="0.25">
      <c r="A3128" s="82" t="s">
        <v>4242</v>
      </c>
      <c r="B3128" s="83" t="s">
        <v>4313</v>
      </c>
      <c r="C3128" s="83" t="s">
        <v>4282</v>
      </c>
      <c r="D3128" s="83"/>
      <c r="E3128" s="83" t="s">
        <v>4228</v>
      </c>
      <c r="F3128" s="82" t="s">
        <v>78</v>
      </c>
      <c r="G3128" s="82">
        <v>1</v>
      </c>
      <c r="H3128" s="82">
        <v>1950</v>
      </c>
      <c r="I3128" s="138">
        <f t="shared" si="133"/>
        <v>1950</v>
      </c>
      <c r="J3128" s="82"/>
      <c r="K3128" s="83" t="s">
        <v>4246</v>
      </c>
    </row>
    <row r="3129" spans="1:11" ht="39" customHeight="1" x14ac:dyDescent="0.25">
      <c r="A3129" s="82" t="s">
        <v>4708</v>
      </c>
      <c r="B3129" s="83" t="s">
        <v>4709</v>
      </c>
      <c r="C3129" s="83" t="s">
        <v>4710</v>
      </c>
      <c r="D3129" s="83"/>
      <c r="E3129" s="83" t="s">
        <v>4228</v>
      </c>
      <c r="F3129" s="82" t="s">
        <v>78</v>
      </c>
      <c r="G3129" s="82">
        <v>1</v>
      </c>
      <c r="H3129" s="82"/>
      <c r="I3129" s="138">
        <f t="shared" si="133"/>
        <v>0</v>
      </c>
      <c r="J3129" s="82"/>
      <c r="K3129" s="83"/>
    </row>
    <row r="3130" spans="1:11" ht="27" customHeight="1" x14ac:dyDescent="0.25">
      <c r="A3130" s="82" t="s">
        <v>4679</v>
      </c>
      <c r="B3130" s="83" t="s">
        <v>4680</v>
      </c>
      <c r="C3130" s="83" t="s">
        <v>4681</v>
      </c>
      <c r="D3130" s="83"/>
      <c r="E3130" s="83" t="s">
        <v>4228</v>
      </c>
      <c r="F3130" s="82" t="s">
        <v>78</v>
      </c>
      <c r="G3130" s="82">
        <v>1</v>
      </c>
      <c r="H3130" s="82"/>
      <c r="I3130" s="138">
        <f t="shared" si="133"/>
        <v>0</v>
      </c>
      <c r="J3130" s="82"/>
      <c r="K3130" s="83"/>
    </row>
    <row r="3131" spans="1:11" ht="27" customHeight="1" x14ac:dyDescent="0.25">
      <c r="A3131" s="82" t="s">
        <v>4713</v>
      </c>
      <c r="B3131" s="83" t="s">
        <v>4714</v>
      </c>
      <c r="C3131" s="83" t="s">
        <v>4715</v>
      </c>
      <c r="D3131" s="83"/>
      <c r="E3131" s="83" t="s">
        <v>4228</v>
      </c>
      <c r="F3131" s="82" t="s">
        <v>78</v>
      </c>
      <c r="G3131" s="82">
        <v>1</v>
      </c>
      <c r="H3131" s="82">
        <f>6890*1.22</f>
        <v>8405.7999999999993</v>
      </c>
      <c r="I3131" s="138">
        <f t="shared" si="133"/>
        <v>8405.7999999999993</v>
      </c>
      <c r="J3131" s="82"/>
      <c r="K3131" s="83"/>
    </row>
    <row r="3132" spans="1:11" ht="27" customHeight="1" x14ac:dyDescent="0.25">
      <c r="A3132" s="82" t="s">
        <v>4720</v>
      </c>
      <c r="B3132" s="83" t="s">
        <v>4721</v>
      </c>
      <c r="C3132" s="83" t="s">
        <v>4722</v>
      </c>
      <c r="D3132" s="83"/>
      <c r="E3132" s="83" t="s">
        <v>4228</v>
      </c>
      <c r="F3132" s="82" t="s">
        <v>78</v>
      </c>
      <c r="G3132" s="82">
        <v>1</v>
      </c>
      <c r="H3132" s="82">
        <f>13990*1.22</f>
        <v>17067.8</v>
      </c>
      <c r="I3132" s="138">
        <f t="shared" si="133"/>
        <v>17067.8</v>
      </c>
      <c r="J3132" s="82" t="s">
        <v>4723</v>
      </c>
      <c r="K3132" s="83"/>
    </row>
    <row r="3133" spans="1:11" ht="27" customHeight="1" x14ac:dyDescent="0.25">
      <c r="A3133" s="82" t="s">
        <v>4724</v>
      </c>
      <c r="B3133" s="83" t="s">
        <v>4725</v>
      </c>
      <c r="C3133" s="83" t="s">
        <v>4726</v>
      </c>
      <c r="D3133" s="83"/>
      <c r="E3133" s="83" t="s">
        <v>4228</v>
      </c>
      <c r="F3133" s="82" t="s">
        <v>78</v>
      </c>
      <c r="G3133" s="82">
        <v>1</v>
      </c>
      <c r="H3133" s="82">
        <f>19290*1.22</f>
        <v>23533.8</v>
      </c>
      <c r="I3133" s="138">
        <f t="shared" si="133"/>
        <v>23533.8</v>
      </c>
      <c r="J3133" s="82"/>
      <c r="K3133" s="83"/>
    </row>
    <row r="3134" spans="1:11" ht="39" customHeight="1" x14ac:dyDescent="0.25">
      <c r="A3134" s="82" t="s">
        <v>459</v>
      </c>
      <c r="B3134" s="83" t="s">
        <v>4232</v>
      </c>
      <c r="C3134" s="83"/>
      <c r="D3134" s="83"/>
      <c r="E3134" s="83" t="s">
        <v>4228</v>
      </c>
      <c r="F3134" s="82" t="s">
        <v>78</v>
      </c>
      <c r="G3134" s="82">
        <v>1</v>
      </c>
      <c r="H3134" s="82"/>
      <c r="I3134" s="138">
        <f t="shared" si="133"/>
        <v>0</v>
      </c>
      <c r="J3134" s="82"/>
      <c r="K3134" s="83"/>
    </row>
    <row r="3135" spans="1:11" ht="15" customHeight="1" x14ac:dyDescent="0.25">
      <c r="A3135" s="82" t="s">
        <v>4711</v>
      </c>
      <c r="B3135" s="83" t="s">
        <v>4712</v>
      </c>
      <c r="C3135" s="83"/>
      <c r="D3135" s="83"/>
      <c r="E3135" s="83" t="s">
        <v>4228</v>
      </c>
      <c r="F3135" s="82" t="s">
        <v>78</v>
      </c>
      <c r="G3135" s="82">
        <v>1</v>
      </c>
      <c r="H3135" s="82"/>
      <c r="I3135" s="138">
        <f t="shared" si="133"/>
        <v>0</v>
      </c>
      <c r="J3135" s="82"/>
      <c r="K3135" s="83"/>
    </row>
    <row r="3136" spans="1:11" ht="39" customHeight="1" x14ac:dyDescent="0.25">
      <c r="A3136" s="82" t="s">
        <v>4733</v>
      </c>
      <c r="B3136" s="83" t="s">
        <v>4734</v>
      </c>
      <c r="C3136" s="83" t="s">
        <v>4735</v>
      </c>
      <c r="D3136" s="83"/>
      <c r="E3136" s="83" t="s">
        <v>4228</v>
      </c>
      <c r="F3136" s="82" t="s">
        <v>78</v>
      </c>
      <c r="G3136" s="82">
        <v>1</v>
      </c>
      <c r="H3136" s="82"/>
      <c r="I3136" s="138">
        <f t="shared" si="133"/>
        <v>0</v>
      </c>
      <c r="J3136" s="82"/>
      <c r="K3136" s="83"/>
    </row>
    <row r="3137" spans="1:11" ht="87" customHeight="1" x14ac:dyDescent="0.25">
      <c r="A3137" s="82" t="s">
        <v>4730</v>
      </c>
      <c r="B3137" s="83" t="s">
        <v>4731</v>
      </c>
      <c r="C3137" s="83" t="s">
        <v>4732</v>
      </c>
      <c r="D3137" s="83"/>
      <c r="E3137" s="83" t="s">
        <v>4228</v>
      </c>
      <c r="F3137" s="82" t="s">
        <v>78</v>
      </c>
      <c r="G3137" s="82">
        <v>1</v>
      </c>
      <c r="H3137" s="82">
        <f>51500*1.22</f>
        <v>62830</v>
      </c>
      <c r="I3137" s="138">
        <f t="shared" si="133"/>
        <v>62830</v>
      </c>
      <c r="J3137" s="82"/>
      <c r="K3137" s="83"/>
    </row>
    <row r="3138" spans="1:11" ht="15" customHeight="1" x14ac:dyDescent="0.25">
      <c r="A3138" s="82" t="s">
        <v>2131</v>
      </c>
      <c r="B3138" s="83" t="s">
        <v>4682</v>
      </c>
      <c r="C3138" s="83"/>
      <c r="D3138" s="83"/>
      <c r="E3138" s="83" t="s">
        <v>4228</v>
      </c>
      <c r="F3138" s="82" t="s">
        <v>78</v>
      </c>
      <c r="G3138" s="82">
        <v>1</v>
      </c>
      <c r="H3138" s="82"/>
      <c r="I3138" s="138">
        <f t="shared" si="133"/>
        <v>0</v>
      </c>
      <c r="J3138" s="82"/>
      <c r="K3138" s="83"/>
    </row>
    <row r="3139" spans="1:11" ht="39" customHeight="1" x14ac:dyDescent="0.25">
      <c r="A3139" s="82" t="s">
        <v>4736</v>
      </c>
      <c r="B3139" s="83" t="s">
        <v>4737</v>
      </c>
      <c r="C3139" s="83" t="s">
        <v>4738</v>
      </c>
      <c r="D3139" s="83"/>
      <c r="E3139" s="83" t="s">
        <v>4228</v>
      </c>
      <c r="F3139" s="82" t="s">
        <v>78</v>
      </c>
      <c r="G3139" s="82">
        <v>1</v>
      </c>
      <c r="H3139" s="82">
        <v>35000</v>
      </c>
      <c r="I3139" s="138">
        <f t="shared" si="133"/>
        <v>35000</v>
      </c>
      <c r="J3139" s="82" t="s">
        <v>4523</v>
      </c>
      <c r="K3139" s="83"/>
    </row>
    <row r="3140" spans="1:11" ht="15" customHeight="1" x14ac:dyDescent="0.25">
      <c r="A3140" s="82" t="s">
        <v>4236</v>
      </c>
      <c r="B3140" s="83" t="s">
        <v>4739</v>
      </c>
      <c r="C3140" s="83"/>
      <c r="D3140" s="83"/>
      <c r="E3140" s="83" t="s">
        <v>4228</v>
      </c>
      <c r="F3140" s="82" t="s">
        <v>78</v>
      </c>
      <c r="G3140" s="82">
        <v>1</v>
      </c>
      <c r="H3140" s="82"/>
      <c r="I3140" s="138">
        <f t="shared" si="133"/>
        <v>0</v>
      </c>
      <c r="J3140" s="82"/>
      <c r="K3140" s="83"/>
    </row>
    <row r="3141" spans="1:11" ht="27" customHeight="1" x14ac:dyDescent="0.25">
      <c r="A3141" s="82" t="s">
        <v>4236</v>
      </c>
      <c r="B3141" s="83" t="s">
        <v>4740</v>
      </c>
      <c r="C3141" s="83"/>
      <c r="D3141" s="83"/>
      <c r="E3141" s="83" t="s">
        <v>4228</v>
      </c>
      <c r="F3141" s="82" t="s">
        <v>78</v>
      </c>
      <c r="G3141" s="82">
        <v>1</v>
      </c>
      <c r="H3141" s="82"/>
      <c r="I3141" s="138">
        <f t="shared" si="133"/>
        <v>0</v>
      </c>
      <c r="J3141" s="82"/>
      <c r="K3141" s="83"/>
    </row>
    <row r="3142" spans="1:11" ht="15" customHeight="1" x14ac:dyDescent="0.25">
      <c r="A3142" s="82" t="s">
        <v>4236</v>
      </c>
      <c r="B3142" s="83" t="s">
        <v>4741</v>
      </c>
      <c r="C3142" s="83"/>
      <c r="D3142" s="83"/>
      <c r="E3142" s="83" t="s">
        <v>4228</v>
      </c>
      <c r="F3142" s="82" t="s">
        <v>78</v>
      </c>
      <c r="G3142" s="82">
        <v>1</v>
      </c>
      <c r="H3142" s="82"/>
      <c r="I3142" s="138">
        <f t="shared" si="133"/>
        <v>0</v>
      </c>
      <c r="J3142" s="82"/>
      <c r="K3142" s="83"/>
    </row>
    <row r="3143" spans="1:11" ht="15" customHeight="1" x14ac:dyDescent="0.25">
      <c r="A3143" s="82" t="s">
        <v>4236</v>
      </c>
      <c r="B3143" s="83" t="s">
        <v>4742</v>
      </c>
      <c r="C3143" s="83"/>
      <c r="D3143" s="83"/>
      <c r="E3143" s="83" t="s">
        <v>4228</v>
      </c>
      <c r="F3143" s="82" t="s">
        <v>78</v>
      </c>
      <c r="G3143" s="82">
        <v>1</v>
      </c>
      <c r="H3143" s="82"/>
      <c r="I3143" s="138">
        <f t="shared" si="133"/>
        <v>0</v>
      </c>
      <c r="J3143" s="82"/>
      <c r="K3143" s="83"/>
    </row>
    <row r="3144" spans="1:11" ht="15" customHeight="1" x14ac:dyDescent="0.25">
      <c r="A3144" s="82" t="s">
        <v>4236</v>
      </c>
      <c r="B3144" s="83" t="s">
        <v>4743</v>
      </c>
      <c r="C3144" s="83"/>
      <c r="D3144" s="83"/>
      <c r="E3144" s="83" t="s">
        <v>4228</v>
      </c>
      <c r="F3144" s="82" t="s">
        <v>78</v>
      </c>
      <c r="G3144" s="82">
        <v>1</v>
      </c>
      <c r="H3144" s="82"/>
      <c r="I3144" s="138">
        <f t="shared" si="133"/>
        <v>0</v>
      </c>
      <c r="J3144" s="82"/>
      <c r="K3144" s="83"/>
    </row>
    <row r="3145" spans="1:11" ht="15" customHeight="1" x14ac:dyDescent="0.25">
      <c r="A3145" s="82" t="s">
        <v>4236</v>
      </c>
      <c r="B3145" s="83" t="s">
        <v>4744</v>
      </c>
      <c r="C3145" s="83" t="s">
        <v>4745</v>
      </c>
      <c r="D3145" s="83"/>
      <c r="E3145" s="83" t="s">
        <v>4228</v>
      </c>
      <c r="F3145" s="82" t="s">
        <v>78</v>
      </c>
      <c r="G3145" s="82">
        <v>1</v>
      </c>
      <c r="H3145" s="82"/>
      <c r="I3145" s="138">
        <f t="shared" si="133"/>
        <v>0</v>
      </c>
      <c r="J3145" s="82"/>
      <c r="K3145" s="83"/>
    </row>
    <row r="3146" spans="1:11" ht="15" customHeight="1" x14ac:dyDescent="0.25">
      <c r="A3146" s="82" t="s">
        <v>4236</v>
      </c>
      <c r="B3146" s="83" t="s">
        <v>4746</v>
      </c>
      <c r="C3146" s="83"/>
      <c r="D3146" s="83"/>
      <c r="E3146" s="83" t="s">
        <v>4228</v>
      </c>
      <c r="F3146" s="82" t="s">
        <v>78</v>
      </c>
      <c r="G3146" s="82">
        <v>1</v>
      </c>
      <c r="H3146" s="82"/>
      <c r="I3146" s="138">
        <f t="shared" si="133"/>
        <v>0</v>
      </c>
      <c r="J3146" s="82"/>
      <c r="K3146" s="83"/>
    </row>
    <row r="3147" spans="1:11" ht="15" customHeight="1" x14ac:dyDescent="0.25">
      <c r="A3147" s="82" t="s">
        <v>4236</v>
      </c>
      <c r="B3147" s="83" t="s">
        <v>4747</v>
      </c>
      <c r="C3147" s="83"/>
      <c r="D3147" s="83"/>
      <c r="E3147" s="83" t="s">
        <v>4228</v>
      </c>
      <c r="F3147" s="82" t="s">
        <v>78</v>
      </c>
      <c r="G3147" s="82">
        <v>1</v>
      </c>
      <c r="H3147" s="82"/>
      <c r="I3147" s="138">
        <f t="shared" si="133"/>
        <v>0</v>
      </c>
      <c r="J3147" s="82"/>
      <c r="K3147" s="83"/>
    </row>
    <row r="3148" spans="1:11" ht="15" customHeight="1" x14ac:dyDescent="0.25">
      <c r="A3148" s="82" t="s">
        <v>4236</v>
      </c>
      <c r="B3148" s="83" t="s">
        <v>4748</v>
      </c>
      <c r="C3148" s="83"/>
      <c r="D3148" s="83"/>
      <c r="E3148" s="83" t="s">
        <v>4228</v>
      </c>
      <c r="F3148" s="82" t="s">
        <v>78</v>
      </c>
      <c r="G3148" s="82">
        <v>1</v>
      </c>
      <c r="H3148" s="82"/>
      <c r="I3148" s="138">
        <f t="shared" si="133"/>
        <v>0</v>
      </c>
      <c r="J3148" s="82"/>
      <c r="K3148" s="83"/>
    </row>
    <row r="3149" spans="1:11" ht="123" customHeight="1" x14ac:dyDescent="0.25">
      <c r="A3149" s="82" t="s">
        <v>4236</v>
      </c>
      <c r="B3149" s="83" t="s">
        <v>4749</v>
      </c>
      <c r="C3149" s="83"/>
      <c r="D3149" s="83"/>
      <c r="E3149" s="83" t="s">
        <v>4228</v>
      </c>
      <c r="F3149" s="82" t="s">
        <v>47</v>
      </c>
      <c r="G3149" s="82">
        <v>1</v>
      </c>
      <c r="H3149" s="82">
        <f>16990*1.22</f>
        <v>20727.8</v>
      </c>
      <c r="I3149" s="138">
        <f t="shared" si="133"/>
        <v>20727.8</v>
      </c>
      <c r="J3149" s="82"/>
      <c r="K3149" s="83"/>
    </row>
    <row r="3150" spans="1:11" ht="75" customHeight="1" x14ac:dyDescent="0.25">
      <c r="A3150" s="82" t="s">
        <v>4236</v>
      </c>
      <c r="B3150" s="83" t="s">
        <v>4750</v>
      </c>
      <c r="C3150" s="83"/>
      <c r="D3150" s="83"/>
      <c r="E3150" s="83" t="s">
        <v>4228</v>
      </c>
      <c r="F3150" s="82" t="s">
        <v>47</v>
      </c>
      <c r="G3150" s="82">
        <v>1</v>
      </c>
      <c r="H3150" s="82">
        <f>69990*1.22</f>
        <v>85387.8</v>
      </c>
      <c r="I3150" s="138">
        <f t="shared" si="133"/>
        <v>85387.8</v>
      </c>
      <c r="J3150" s="82"/>
      <c r="K3150" s="83" t="s">
        <v>4751</v>
      </c>
    </row>
    <row r="3151" spans="1:11" ht="27" customHeight="1" x14ac:dyDescent="0.25">
      <c r="A3151" s="82" t="s">
        <v>4236</v>
      </c>
      <c r="B3151" s="83" t="s">
        <v>4752</v>
      </c>
      <c r="C3151" s="83"/>
      <c r="D3151" s="83"/>
      <c r="E3151" s="83" t="s">
        <v>4228</v>
      </c>
      <c r="F3151" s="82" t="s">
        <v>47</v>
      </c>
      <c r="G3151" s="82">
        <v>1</v>
      </c>
      <c r="H3151" s="82"/>
      <c r="I3151" s="138">
        <f t="shared" si="133"/>
        <v>0</v>
      </c>
      <c r="J3151" s="82"/>
      <c r="K3151" s="83" t="s">
        <v>4753</v>
      </c>
    </row>
    <row r="3152" spans="1:11" ht="15" customHeight="1" x14ac:dyDescent="0.25">
      <c r="A3152" s="82" t="s">
        <v>4236</v>
      </c>
      <c r="B3152" s="83" t="s">
        <v>4754</v>
      </c>
      <c r="C3152" s="83"/>
      <c r="D3152" s="83"/>
      <c r="E3152" s="83" t="s">
        <v>4228</v>
      </c>
      <c r="F3152" s="82" t="s">
        <v>78</v>
      </c>
      <c r="G3152" s="82">
        <v>1</v>
      </c>
      <c r="H3152" s="82"/>
      <c r="I3152" s="138">
        <f t="shared" si="133"/>
        <v>0</v>
      </c>
      <c r="J3152" s="82"/>
      <c r="K3152" s="83"/>
    </row>
    <row r="3153" spans="1:11" ht="15" customHeight="1" x14ac:dyDescent="0.25">
      <c r="A3153" s="82" t="s">
        <v>4236</v>
      </c>
      <c r="B3153" s="83" t="s">
        <v>4334</v>
      </c>
      <c r="C3153" s="83"/>
      <c r="D3153" s="83"/>
      <c r="E3153" s="83" t="s">
        <v>4228</v>
      </c>
      <c r="F3153" s="82" t="s">
        <v>78</v>
      </c>
      <c r="G3153" s="82">
        <v>1</v>
      </c>
      <c r="H3153" s="82">
        <v>4500</v>
      </c>
      <c r="I3153" s="138">
        <f t="shared" si="133"/>
        <v>4500</v>
      </c>
      <c r="J3153" s="82"/>
      <c r="K3153" s="83"/>
    </row>
    <row r="3154" spans="1:11" ht="15" customHeight="1" x14ac:dyDescent="0.25">
      <c r="A3154" s="82" t="s">
        <v>4236</v>
      </c>
      <c r="B3154" s="83" t="s">
        <v>4389</v>
      </c>
      <c r="C3154" s="83"/>
      <c r="D3154" s="83"/>
      <c r="E3154" s="83" t="s">
        <v>4228</v>
      </c>
      <c r="F3154" s="82" t="s">
        <v>78</v>
      </c>
      <c r="G3154" s="82">
        <v>1</v>
      </c>
      <c r="H3154" s="82">
        <v>4090</v>
      </c>
      <c r="I3154" s="138">
        <f t="shared" si="133"/>
        <v>4090</v>
      </c>
      <c r="J3154" s="82"/>
      <c r="K3154" s="83"/>
    </row>
    <row r="3155" spans="1:11" ht="15" customHeight="1" x14ac:dyDescent="0.25">
      <c r="A3155" s="82" t="s">
        <v>4236</v>
      </c>
      <c r="B3155" s="83" t="s">
        <v>4755</v>
      </c>
      <c r="C3155" s="83"/>
      <c r="D3155" s="83"/>
      <c r="E3155" s="83" t="s">
        <v>4228</v>
      </c>
      <c r="F3155" s="82" t="s">
        <v>78</v>
      </c>
      <c r="G3155" s="82">
        <v>1</v>
      </c>
      <c r="H3155" s="82"/>
      <c r="I3155" s="138">
        <f t="shared" si="133"/>
        <v>0</v>
      </c>
      <c r="J3155" s="82"/>
      <c r="K3155" s="83"/>
    </row>
    <row r="3156" spans="1:11" ht="15" customHeight="1" x14ac:dyDescent="0.25">
      <c r="A3156" s="82" t="s">
        <v>4236</v>
      </c>
      <c r="B3156" s="83" t="s">
        <v>4390</v>
      </c>
      <c r="C3156" s="83"/>
      <c r="D3156" s="83"/>
      <c r="E3156" s="83" t="s">
        <v>4228</v>
      </c>
      <c r="F3156" s="82" t="s">
        <v>78</v>
      </c>
      <c r="G3156" s="82">
        <v>1</v>
      </c>
      <c r="H3156" s="82"/>
      <c r="I3156" s="138">
        <f t="shared" si="133"/>
        <v>0</v>
      </c>
      <c r="J3156" s="82"/>
      <c r="K3156" s="83"/>
    </row>
    <row r="3157" spans="1:11" ht="27" customHeight="1" x14ac:dyDescent="0.25">
      <c r="A3157" s="82" t="s">
        <v>4697</v>
      </c>
      <c r="B3157" s="83" t="s">
        <v>4698</v>
      </c>
      <c r="C3157" s="83" t="s">
        <v>4699</v>
      </c>
      <c r="D3157" s="83" t="s">
        <v>4700</v>
      </c>
      <c r="E3157" s="83" t="s">
        <v>4228</v>
      </c>
      <c r="F3157" s="82" t="s">
        <v>78</v>
      </c>
      <c r="G3157" s="82">
        <v>1</v>
      </c>
      <c r="H3157" s="82"/>
      <c r="I3157" s="138">
        <f t="shared" si="133"/>
        <v>0</v>
      </c>
      <c r="J3157" s="82"/>
      <c r="K3157" s="83"/>
    </row>
    <row r="3158" spans="1:11" ht="27" customHeight="1" x14ac:dyDescent="0.25">
      <c r="A3158" s="82" t="s">
        <v>4756</v>
      </c>
      <c r="B3158" s="83" t="s">
        <v>4757</v>
      </c>
      <c r="C3158" s="83"/>
      <c r="D3158" s="83"/>
      <c r="E3158" s="83" t="s">
        <v>4228</v>
      </c>
      <c r="F3158" s="82" t="s">
        <v>78</v>
      </c>
      <c r="G3158" s="82">
        <v>2</v>
      </c>
      <c r="H3158" s="82"/>
      <c r="I3158" s="138">
        <f t="shared" si="133"/>
        <v>0</v>
      </c>
      <c r="J3158" s="82"/>
      <c r="K3158" s="83"/>
    </row>
    <row r="3159" spans="1:11" ht="27" customHeight="1" x14ac:dyDescent="0.25">
      <c r="A3159" s="82" t="s">
        <v>4758</v>
      </c>
      <c r="B3159" s="83" t="s">
        <v>4759</v>
      </c>
      <c r="C3159" s="83"/>
      <c r="D3159" s="83"/>
      <c r="E3159" s="83" t="s">
        <v>4228</v>
      </c>
      <c r="F3159" s="82" t="s">
        <v>78</v>
      </c>
      <c r="G3159" s="82">
        <v>2</v>
      </c>
      <c r="H3159" s="82"/>
      <c r="I3159" s="138">
        <f t="shared" si="133"/>
        <v>0</v>
      </c>
      <c r="J3159" s="82"/>
      <c r="K3159" s="83"/>
    </row>
    <row r="3160" spans="1:11" ht="15" customHeight="1" x14ac:dyDescent="0.25">
      <c r="A3160" s="80" t="s">
        <v>4842</v>
      </c>
      <c r="B3160" s="80" t="s">
        <v>4843</v>
      </c>
      <c r="C3160" s="80"/>
      <c r="D3160" s="80"/>
      <c r="E3160" s="80"/>
      <c r="F3160" s="80"/>
      <c r="G3160" s="81"/>
      <c r="H3160" s="80"/>
      <c r="I3160" s="137"/>
      <c r="J3160" s="80"/>
      <c r="K3160" s="80"/>
    </row>
    <row r="3161" spans="1:11" ht="27" customHeight="1" x14ac:dyDescent="0.25">
      <c r="A3161" s="82" t="s">
        <v>4257</v>
      </c>
      <c r="B3161" s="83" t="s">
        <v>4258</v>
      </c>
      <c r="C3161" s="83"/>
      <c r="D3161" s="83"/>
      <c r="E3161" s="83" t="s">
        <v>4228</v>
      </c>
      <c r="F3161" s="82" t="s">
        <v>78</v>
      </c>
      <c r="G3161" s="82">
        <v>4</v>
      </c>
      <c r="H3161" s="82"/>
      <c r="I3161" s="138">
        <f>H3161*G3161</f>
        <v>0</v>
      </c>
      <c r="J3161" s="82"/>
      <c r="K3161" s="83"/>
    </row>
    <row r="3162" spans="1:11" ht="15" customHeight="1" x14ac:dyDescent="0.25">
      <c r="A3162" s="80" t="s">
        <v>4844</v>
      </c>
      <c r="B3162" s="80" t="s">
        <v>4790</v>
      </c>
      <c r="C3162" s="80"/>
      <c r="D3162" s="80"/>
      <c r="E3162" s="80"/>
      <c r="F3162" s="80"/>
      <c r="G3162" s="81"/>
      <c r="H3162" s="80"/>
      <c r="I3162" s="137"/>
      <c r="J3162" s="80"/>
      <c r="K3162" s="80"/>
    </row>
    <row r="3163" spans="1:11" ht="15" customHeight="1" x14ac:dyDescent="0.25">
      <c r="A3163" s="80" t="s">
        <v>4845</v>
      </c>
      <c r="B3163" s="80" t="s">
        <v>4846</v>
      </c>
      <c r="C3163" s="80"/>
      <c r="D3163" s="80"/>
      <c r="E3163" s="80"/>
      <c r="F3163" s="80"/>
      <c r="G3163" s="81"/>
      <c r="H3163" s="80"/>
      <c r="I3163" s="137"/>
      <c r="J3163" s="80"/>
      <c r="K3163" s="80"/>
    </row>
    <row r="3164" spans="1:11" ht="15" customHeight="1" x14ac:dyDescent="0.25">
      <c r="A3164" s="80" t="s">
        <v>4847</v>
      </c>
      <c r="B3164" s="80" t="s">
        <v>4848</v>
      </c>
      <c r="C3164" s="80"/>
      <c r="D3164" s="80"/>
      <c r="E3164" s="80"/>
      <c r="F3164" s="80"/>
      <c r="G3164" s="81"/>
      <c r="H3164" s="80"/>
      <c r="I3164" s="137"/>
      <c r="J3164" s="80"/>
      <c r="K3164" s="80"/>
    </row>
    <row r="3165" spans="1:11" ht="15" customHeight="1" x14ac:dyDescent="0.25">
      <c r="A3165" s="80" t="s">
        <v>4849</v>
      </c>
      <c r="B3165" s="80" t="s">
        <v>4850</v>
      </c>
      <c r="C3165" s="80"/>
      <c r="D3165" s="80"/>
      <c r="E3165" s="80"/>
      <c r="F3165" s="80"/>
      <c r="G3165" s="81"/>
      <c r="H3165" s="80"/>
      <c r="I3165" s="137"/>
      <c r="J3165" s="80"/>
      <c r="K3165" s="80"/>
    </row>
    <row r="3166" spans="1:11" ht="15" customHeight="1" x14ac:dyDescent="0.25">
      <c r="A3166" s="82" t="s">
        <v>4688</v>
      </c>
      <c r="B3166" s="83" t="s">
        <v>4492</v>
      </c>
      <c r="C3166" s="83"/>
      <c r="D3166" s="83"/>
      <c r="E3166" s="83" t="s">
        <v>4228</v>
      </c>
      <c r="F3166" s="82" t="s">
        <v>78</v>
      </c>
      <c r="G3166" s="82">
        <v>4</v>
      </c>
      <c r="H3166" s="82">
        <v>4720</v>
      </c>
      <c r="I3166" s="138">
        <f>H3166*G3166</f>
        <v>18880</v>
      </c>
      <c r="J3166" s="82"/>
      <c r="K3166" s="83"/>
    </row>
    <row r="3167" spans="1:11" ht="15" customHeight="1" x14ac:dyDescent="0.25">
      <c r="A3167" s="82" t="s">
        <v>4688</v>
      </c>
      <c r="B3167" s="83" t="s">
        <v>4493</v>
      </c>
      <c r="C3167" s="83"/>
      <c r="D3167" s="83"/>
      <c r="E3167" s="83" t="s">
        <v>4228</v>
      </c>
      <c r="F3167" s="82" t="s">
        <v>78</v>
      </c>
      <c r="G3167" s="82">
        <v>4</v>
      </c>
      <c r="H3167" s="82">
        <v>760</v>
      </c>
      <c r="I3167" s="138">
        <f>H3167*G3167</f>
        <v>3040</v>
      </c>
      <c r="J3167" s="82"/>
      <c r="K3167" s="83"/>
    </row>
    <row r="3168" spans="1:11" ht="15" customHeight="1" x14ac:dyDescent="0.25">
      <c r="A3168" s="82" t="s">
        <v>4688</v>
      </c>
      <c r="B3168" s="83" t="s">
        <v>4334</v>
      </c>
      <c r="C3168" s="83"/>
      <c r="D3168" s="83"/>
      <c r="E3168" s="83" t="s">
        <v>4228</v>
      </c>
      <c r="F3168" s="82" t="s">
        <v>78</v>
      </c>
      <c r="G3168" s="82">
        <v>5</v>
      </c>
      <c r="H3168" s="82">
        <v>4500</v>
      </c>
      <c r="I3168" s="138">
        <f>H3168*G3168</f>
        <v>22500</v>
      </c>
      <c r="J3168" s="82"/>
      <c r="K3168" s="83"/>
    </row>
    <row r="3169" spans="1:11" ht="15" customHeight="1" x14ac:dyDescent="0.25">
      <c r="A3169" s="82" t="s">
        <v>4688</v>
      </c>
      <c r="B3169" s="83" t="s">
        <v>4389</v>
      </c>
      <c r="C3169" s="83"/>
      <c r="D3169" s="83"/>
      <c r="E3169" s="83" t="s">
        <v>4228</v>
      </c>
      <c r="F3169" s="82" t="s">
        <v>78</v>
      </c>
      <c r="G3169" s="82">
        <v>3</v>
      </c>
      <c r="H3169" s="82">
        <v>4090</v>
      </c>
      <c r="I3169" s="138">
        <f>H3169*G3169</f>
        <v>12270</v>
      </c>
      <c r="J3169" s="82"/>
      <c r="K3169" s="83"/>
    </row>
    <row r="3170" spans="1:11" ht="15" customHeight="1" x14ac:dyDescent="0.25">
      <c r="A3170" s="82" t="s">
        <v>4236</v>
      </c>
      <c r="B3170" s="83" t="s">
        <v>4514</v>
      </c>
      <c r="C3170" s="83"/>
      <c r="D3170" s="83"/>
      <c r="E3170" s="83" t="s">
        <v>4228</v>
      </c>
      <c r="F3170" s="82" t="s">
        <v>78</v>
      </c>
      <c r="G3170" s="82">
        <v>3</v>
      </c>
      <c r="H3170" s="82">
        <v>4790</v>
      </c>
      <c r="I3170" s="138">
        <f>H3170*G3170</f>
        <v>14370</v>
      </c>
      <c r="J3170" s="82"/>
      <c r="K3170" s="83"/>
    </row>
    <row r="3171" spans="1:11" ht="15" customHeight="1" x14ac:dyDescent="0.25">
      <c r="A3171" s="80" t="s">
        <v>4851</v>
      </c>
      <c r="B3171" s="80" t="s">
        <v>4852</v>
      </c>
      <c r="C3171" s="80"/>
      <c r="D3171" s="80"/>
      <c r="E3171" s="80"/>
      <c r="F3171" s="80"/>
      <c r="G3171" s="81"/>
      <c r="H3171" s="80"/>
      <c r="I3171" s="137"/>
      <c r="J3171" s="80"/>
      <c r="K3171" s="80"/>
    </row>
    <row r="3172" spans="1:11" ht="15" customHeight="1" x14ac:dyDescent="0.25">
      <c r="A3172" s="82" t="s">
        <v>4688</v>
      </c>
      <c r="B3172" s="83" t="s">
        <v>4492</v>
      </c>
      <c r="C3172" s="83"/>
      <c r="D3172" s="83"/>
      <c r="E3172" s="83" t="s">
        <v>4228</v>
      </c>
      <c r="F3172" s="82" t="s">
        <v>78</v>
      </c>
      <c r="G3172" s="82">
        <v>2</v>
      </c>
      <c r="H3172" s="82">
        <v>4720</v>
      </c>
      <c r="I3172" s="138">
        <f>H3172*G3172</f>
        <v>9440</v>
      </c>
      <c r="J3172" s="82"/>
      <c r="K3172" s="83"/>
    </row>
    <row r="3173" spans="1:11" ht="15" customHeight="1" x14ac:dyDescent="0.25">
      <c r="A3173" s="82" t="s">
        <v>4688</v>
      </c>
      <c r="B3173" s="83" t="s">
        <v>4493</v>
      </c>
      <c r="C3173" s="83"/>
      <c r="D3173" s="83"/>
      <c r="E3173" s="83" t="s">
        <v>4228</v>
      </c>
      <c r="F3173" s="82" t="s">
        <v>78</v>
      </c>
      <c r="G3173" s="82">
        <v>2</v>
      </c>
      <c r="H3173" s="82">
        <v>760</v>
      </c>
      <c r="I3173" s="138">
        <f>H3173*G3173</f>
        <v>1520</v>
      </c>
      <c r="J3173" s="82"/>
      <c r="K3173" s="83"/>
    </row>
    <row r="3174" spans="1:11" ht="15" customHeight="1" x14ac:dyDescent="0.25">
      <c r="A3174" s="82" t="s">
        <v>4688</v>
      </c>
      <c r="B3174" s="83" t="s">
        <v>4334</v>
      </c>
      <c r="C3174" s="83"/>
      <c r="D3174" s="83"/>
      <c r="E3174" s="83" t="s">
        <v>4228</v>
      </c>
      <c r="F3174" s="82" t="s">
        <v>78</v>
      </c>
      <c r="G3174" s="82">
        <v>3</v>
      </c>
      <c r="H3174" s="82">
        <v>4500</v>
      </c>
      <c r="I3174" s="138">
        <f>H3174*G3174</f>
        <v>13500</v>
      </c>
      <c r="J3174" s="82"/>
      <c r="K3174" s="83"/>
    </row>
    <row r="3175" spans="1:11" ht="15" customHeight="1" x14ac:dyDescent="0.25">
      <c r="A3175" s="82" t="s">
        <v>4688</v>
      </c>
      <c r="B3175" s="83" t="s">
        <v>4389</v>
      </c>
      <c r="C3175" s="83"/>
      <c r="D3175" s="83"/>
      <c r="E3175" s="83" t="s">
        <v>4228</v>
      </c>
      <c r="F3175" s="82" t="s">
        <v>78</v>
      </c>
      <c r="G3175" s="82">
        <v>2</v>
      </c>
      <c r="H3175" s="82">
        <v>4090</v>
      </c>
      <c r="I3175" s="138">
        <f>H3175*G3175</f>
        <v>8180</v>
      </c>
      <c r="J3175" s="82"/>
      <c r="K3175" s="83"/>
    </row>
    <row r="3176" spans="1:11" ht="15" customHeight="1" x14ac:dyDescent="0.25">
      <c r="A3176" s="82" t="s">
        <v>4236</v>
      </c>
      <c r="B3176" s="83" t="s">
        <v>4514</v>
      </c>
      <c r="C3176" s="83"/>
      <c r="D3176" s="83"/>
      <c r="E3176" s="83" t="s">
        <v>4228</v>
      </c>
      <c r="F3176" s="82" t="s">
        <v>78</v>
      </c>
      <c r="G3176" s="82">
        <v>2</v>
      </c>
      <c r="H3176" s="82">
        <v>4790</v>
      </c>
      <c r="I3176" s="138">
        <f>H3176*G3176</f>
        <v>9580</v>
      </c>
      <c r="J3176" s="82"/>
      <c r="K3176" s="83"/>
    </row>
    <row r="3177" spans="1:11" ht="15" customHeight="1" x14ac:dyDescent="0.25">
      <c r="A3177" s="80" t="s">
        <v>4853</v>
      </c>
      <c r="B3177" s="80" t="s">
        <v>4854</v>
      </c>
      <c r="C3177" s="80"/>
      <c r="D3177" s="80"/>
      <c r="E3177" s="80"/>
      <c r="F3177" s="80"/>
      <c r="G3177" s="81"/>
      <c r="H3177" s="80"/>
      <c r="I3177" s="137"/>
      <c r="J3177" s="80"/>
      <c r="K3177" s="80"/>
    </row>
    <row r="3178" spans="1:11" ht="51" customHeight="1" x14ac:dyDescent="0.25">
      <c r="A3178" s="82" t="s">
        <v>4383</v>
      </c>
      <c r="B3178" s="83" t="s">
        <v>4384</v>
      </c>
      <c r="C3178" s="83"/>
      <c r="D3178" s="83"/>
      <c r="E3178" s="83" t="s">
        <v>4228</v>
      </c>
      <c r="F3178" s="82" t="s">
        <v>78</v>
      </c>
      <c r="G3178" s="82">
        <v>1</v>
      </c>
      <c r="H3178" s="82">
        <v>16200</v>
      </c>
      <c r="I3178" s="138">
        <f>H3178*G3178</f>
        <v>16200</v>
      </c>
      <c r="J3178" s="82"/>
      <c r="K3178" s="83"/>
    </row>
    <row r="3179" spans="1:11" ht="15" customHeight="1" x14ac:dyDescent="0.25">
      <c r="A3179" s="82" t="s">
        <v>4236</v>
      </c>
      <c r="B3179" s="83" t="s">
        <v>4334</v>
      </c>
      <c r="C3179" s="83"/>
      <c r="D3179" s="83"/>
      <c r="E3179" s="83" t="s">
        <v>4228</v>
      </c>
      <c r="F3179" s="82" t="s">
        <v>78</v>
      </c>
      <c r="G3179" s="82">
        <v>1</v>
      </c>
      <c r="H3179" s="82">
        <v>4500</v>
      </c>
      <c r="I3179" s="138">
        <f>H3179*G3179</f>
        <v>4500</v>
      </c>
      <c r="J3179" s="82"/>
      <c r="K3179" s="83"/>
    </row>
    <row r="3180" spans="1:11" ht="15" customHeight="1" x14ac:dyDescent="0.25">
      <c r="A3180" s="82" t="s">
        <v>4236</v>
      </c>
      <c r="B3180" s="83" t="s">
        <v>4389</v>
      </c>
      <c r="C3180" s="83"/>
      <c r="D3180" s="83"/>
      <c r="E3180" s="83" t="s">
        <v>4228</v>
      </c>
      <c r="F3180" s="82" t="s">
        <v>78</v>
      </c>
      <c r="G3180" s="82">
        <v>1</v>
      </c>
      <c r="H3180" s="82">
        <v>4090</v>
      </c>
      <c r="I3180" s="138">
        <f>H3180*G3180</f>
        <v>4090</v>
      </c>
      <c r="J3180" s="82"/>
      <c r="K3180" s="83"/>
    </row>
    <row r="3181" spans="1:11" ht="15" customHeight="1" x14ac:dyDescent="0.25">
      <c r="A3181" s="82" t="s">
        <v>4236</v>
      </c>
      <c r="B3181" s="83" t="s">
        <v>4390</v>
      </c>
      <c r="C3181" s="83"/>
      <c r="D3181" s="83"/>
      <c r="E3181" s="83" t="s">
        <v>4228</v>
      </c>
      <c r="F3181" s="82" t="s">
        <v>78</v>
      </c>
      <c r="G3181" s="82">
        <v>1</v>
      </c>
      <c r="H3181" s="82"/>
      <c r="I3181" s="138">
        <f>H3181*G3181</f>
        <v>0</v>
      </c>
      <c r="J3181" s="82"/>
      <c r="K3181" s="83"/>
    </row>
    <row r="3182" spans="1:11" ht="15" customHeight="1" x14ac:dyDescent="0.25">
      <c r="A3182" s="82" t="s">
        <v>4385</v>
      </c>
      <c r="B3182" s="83" t="s">
        <v>4386</v>
      </c>
      <c r="C3182" s="83" t="s">
        <v>4387</v>
      </c>
      <c r="D3182" s="83"/>
      <c r="E3182" s="83" t="s">
        <v>4228</v>
      </c>
      <c r="F3182" s="82" t="s">
        <v>78</v>
      </c>
      <c r="G3182" s="82">
        <v>1</v>
      </c>
      <c r="H3182" s="82">
        <v>523000</v>
      </c>
      <c r="I3182" s="138">
        <f>H3182*G3182</f>
        <v>523000</v>
      </c>
      <c r="J3182" s="82" t="s">
        <v>4388</v>
      </c>
      <c r="K3182" s="83"/>
    </row>
    <row r="3183" spans="1:11" ht="15" customHeight="1" x14ac:dyDescent="0.25">
      <c r="A3183" s="80" t="s">
        <v>4855</v>
      </c>
      <c r="B3183" s="80" t="s">
        <v>4854</v>
      </c>
      <c r="C3183" s="80"/>
      <c r="D3183" s="80"/>
      <c r="E3183" s="80"/>
      <c r="F3183" s="80"/>
      <c r="G3183" s="81"/>
      <c r="H3183" s="80"/>
      <c r="I3183" s="137"/>
      <c r="J3183" s="80"/>
      <c r="K3183" s="80"/>
    </row>
    <row r="3184" spans="1:11" ht="51" customHeight="1" x14ac:dyDescent="0.25">
      <c r="A3184" s="82" t="s">
        <v>4383</v>
      </c>
      <c r="B3184" s="83" t="s">
        <v>4384</v>
      </c>
      <c r="C3184" s="83"/>
      <c r="D3184" s="83"/>
      <c r="E3184" s="83" t="s">
        <v>4228</v>
      </c>
      <c r="F3184" s="82" t="s">
        <v>78</v>
      </c>
      <c r="G3184" s="82">
        <v>1</v>
      </c>
      <c r="H3184" s="82">
        <v>16200</v>
      </c>
      <c r="I3184" s="138">
        <f>H3184*G3184</f>
        <v>16200</v>
      </c>
      <c r="J3184" s="82"/>
      <c r="K3184" s="83"/>
    </row>
    <row r="3185" spans="1:11" ht="15" customHeight="1" x14ac:dyDescent="0.25">
      <c r="A3185" s="82" t="s">
        <v>4236</v>
      </c>
      <c r="B3185" s="83" t="s">
        <v>4334</v>
      </c>
      <c r="C3185" s="83"/>
      <c r="D3185" s="83"/>
      <c r="E3185" s="83" t="s">
        <v>4228</v>
      </c>
      <c r="F3185" s="82" t="s">
        <v>78</v>
      </c>
      <c r="G3185" s="82">
        <v>1</v>
      </c>
      <c r="H3185" s="82">
        <v>4500</v>
      </c>
      <c r="I3185" s="138">
        <f>H3185*G3185</f>
        <v>4500</v>
      </c>
      <c r="J3185" s="82"/>
      <c r="K3185" s="83"/>
    </row>
    <row r="3186" spans="1:11" ht="15" customHeight="1" x14ac:dyDescent="0.25">
      <c r="A3186" s="82" t="s">
        <v>4236</v>
      </c>
      <c r="B3186" s="83" t="s">
        <v>4389</v>
      </c>
      <c r="C3186" s="83"/>
      <c r="D3186" s="83"/>
      <c r="E3186" s="83" t="s">
        <v>4228</v>
      </c>
      <c r="F3186" s="82" t="s">
        <v>78</v>
      </c>
      <c r="G3186" s="82">
        <v>1</v>
      </c>
      <c r="H3186" s="82">
        <v>4090</v>
      </c>
      <c r="I3186" s="138">
        <f>H3186*G3186</f>
        <v>4090</v>
      </c>
      <c r="J3186" s="82"/>
      <c r="K3186" s="83"/>
    </row>
    <row r="3187" spans="1:11" ht="15" customHeight="1" x14ac:dyDescent="0.25">
      <c r="A3187" s="82" t="s">
        <v>4236</v>
      </c>
      <c r="B3187" s="83" t="s">
        <v>4390</v>
      </c>
      <c r="C3187" s="83"/>
      <c r="D3187" s="83"/>
      <c r="E3187" s="83" t="s">
        <v>4228</v>
      </c>
      <c r="F3187" s="82" t="s">
        <v>78</v>
      </c>
      <c r="G3187" s="82">
        <v>1</v>
      </c>
      <c r="H3187" s="82"/>
      <c r="I3187" s="138">
        <f>H3187*G3187</f>
        <v>0</v>
      </c>
      <c r="J3187" s="82"/>
      <c r="K3187" s="83"/>
    </row>
    <row r="3188" spans="1:11" ht="15" customHeight="1" x14ac:dyDescent="0.25">
      <c r="A3188" s="80" t="s">
        <v>4856</v>
      </c>
      <c r="B3188" s="80" t="s">
        <v>4857</v>
      </c>
      <c r="C3188" s="80"/>
      <c r="D3188" s="80"/>
      <c r="E3188" s="80"/>
      <c r="F3188" s="80"/>
      <c r="G3188" s="81"/>
      <c r="H3188" s="80"/>
      <c r="I3188" s="137"/>
      <c r="J3188" s="80"/>
      <c r="K3188" s="80"/>
    </row>
    <row r="3189" spans="1:11" ht="15" customHeight="1" x14ac:dyDescent="0.25">
      <c r="A3189" s="80" t="s">
        <v>4448</v>
      </c>
      <c r="B3189" s="80" t="s">
        <v>4857</v>
      </c>
      <c r="C3189" s="80"/>
      <c r="D3189" s="80"/>
      <c r="E3189" s="80"/>
      <c r="F3189" s="80"/>
      <c r="G3189" s="81"/>
      <c r="H3189" s="80"/>
      <c r="I3189" s="137"/>
      <c r="J3189" s="80"/>
      <c r="K3189" s="80"/>
    </row>
    <row r="3190" spans="1:11" ht="15" customHeight="1" x14ac:dyDescent="0.25">
      <c r="A3190" s="80" t="s">
        <v>4858</v>
      </c>
      <c r="B3190" s="80" t="s">
        <v>4859</v>
      </c>
      <c r="C3190" s="80"/>
      <c r="D3190" s="80"/>
      <c r="E3190" s="80"/>
      <c r="F3190" s="80"/>
      <c r="G3190" s="81"/>
      <c r="H3190" s="80"/>
      <c r="I3190" s="137"/>
      <c r="J3190" s="80"/>
      <c r="K3190" s="80"/>
    </row>
    <row r="3191" spans="1:11" ht="15" customHeight="1" x14ac:dyDescent="0.25">
      <c r="A3191" s="80" t="s">
        <v>4860</v>
      </c>
      <c r="B3191" s="80" t="s">
        <v>4861</v>
      </c>
      <c r="C3191" s="80"/>
      <c r="D3191" s="80"/>
      <c r="E3191" s="80"/>
      <c r="F3191" s="80"/>
      <c r="G3191" s="81"/>
      <c r="H3191" s="80"/>
      <c r="I3191" s="137"/>
      <c r="J3191" s="80"/>
      <c r="K3191" s="80"/>
    </row>
    <row r="3192" spans="1:11" ht="15" customHeight="1" x14ac:dyDescent="0.25">
      <c r="A3192" s="80" t="s">
        <v>4862</v>
      </c>
      <c r="B3192" s="80" t="s">
        <v>4863</v>
      </c>
      <c r="C3192" s="80"/>
      <c r="D3192" s="80"/>
      <c r="E3192" s="80"/>
      <c r="F3192" s="80"/>
      <c r="G3192" s="81"/>
      <c r="H3192" s="80"/>
      <c r="I3192" s="137"/>
      <c r="J3192" s="80"/>
      <c r="K3192" s="80"/>
    </row>
    <row r="3193" spans="1:11" ht="15" customHeight="1" x14ac:dyDescent="0.25">
      <c r="A3193" s="80" t="s">
        <v>4864</v>
      </c>
      <c r="B3193" s="80" t="s">
        <v>4865</v>
      </c>
      <c r="C3193" s="80"/>
      <c r="D3193" s="80"/>
      <c r="E3193" s="80"/>
      <c r="F3193" s="80"/>
      <c r="G3193" s="81"/>
      <c r="H3193" s="80"/>
      <c r="I3193" s="137"/>
      <c r="J3193" s="80"/>
      <c r="K3193" s="80"/>
    </row>
    <row r="3194" spans="1:11" ht="15" customHeight="1" x14ac:dyDescent="0.25">
      <c r="A3194" s="80" t="s">
        <v>4866</v>
      </c>
      <c r="B3194" s="80" t="s">
        <v>4867</v>
      </c>
      <c r="C3194" s="80"/>
      <c r="D3194" s="80"/>
      <c r="E3194" s="80"/>
      <c r="F3194" s="80"/>
      <c r="G3194" s="81"/>
      <c r="H3194" s="80"/>
      <c r="I3194" s="137"/>
      <c r="J3194" s="80"/>
      <c r="K3194" s="80"/>
    </row>
    <row r="3195" spans="1:11" ht="15" customHeight="1" x14ac:dyDescent="0.25">
      <c r="A3195" s="80" t="s">
        <v>4868</v>
      </c>
      <c r="B3195" s="80" t="s">
        <v>4869</v>
      </c>
      <c r="C3195" s="80"/>
      <c r="D3195" s="80"/>
      <c r="E3195" s="80"/>
      <c r="F3195" s="80"/>
      <c r="G3195" s="81"/>
      <c r="H3195" s="80"/>
      <c r="I3195" s="137"/>
      <c r="J3195" s="80"/>
      <c r="K3195" s="80"/>
    </row>
    <row r="3196" spans="1:11" ht="27" customHeight="1" x14ac:dyDescent="0.25">
      <c r="A3196" s="80" t="s">
        <v>4870</v>
      </c>
      <c r="B3196" s="80" t="s">
        <v>4871</v>
      </c>
      <c r="C3196" s="80"/>
      <c r="D3196" s="80"/>
      <c r="E3196" s="80"/>
      <c r="F3196" s="80"/>
      <c r="G3196" s="81"/>
      <c r="H3196" s="80"/>
      <c r="I3196" s="137"/>
      <c r="J3196" s="80"/>
      <c r="K3196" s="80"/>
    </row>
    <row r="3197" spans="1:11" ht="27" customHeight="1" x14ac:dyDescent="0.25">
      <c r="A3197" s="82" t="s">
        <v>4257</v>
      </c>
      <c r="B3197" s="83" t="s">
        <v>4872</v>
      </c>
      <c r="C3197" s="83"/>
      <c r="D3197" s="83"/>
      <c r="E3197" s="83" t="s">
        <v>4228</v>
      </c>
      <c r="F3197" s="82" t="s">
        <v>78</v>
      </c>
      <c r="G3197" s="82">
        <v>1</v>
      </c>
      <c r="H3197" s="82"/>
      <c r="I3197" s="138">
        <f t="shared" ref="I3197:I3202" si="134">H3197*G3197</f>
        <v>0</v>
      </c>
      <c r="J3197" s="82"/>
      <c r="K3197" s="83"/>
    </row>
    <row r="3198" spans="1:11" ht="27" customHeight="1" x14ac:dyDescent="0.25">
      <c r="A3198" s="82" t="s">
        <v>4873</v>
      </c>
      <c r="B3198" s="83" t="s">
        <v>4874</v>
      </c>
      <c r="C3198" s="83" t="s">
        <v>4875</v>
      </c>
      <c r="D3198" s="83"/>
      <c r="E3198" s="83" t="s">
        <v>4228</v>
      </c>
      <c r="F3198" s="82" t="s">
        <v>78</v>
      </c>
      <c r="G3198" s="82">
        <v>1</v>
      </c>
      <c r="H3198" s="82"/>
      <c r="I3198" s="138">
        <f t="shared" si="134"/>
        <v>0</v>
      </c>
      <c r="J3198" s="82"/>
      <c r="K3198" s="83"/>
    </row>
    <row r="3199" spans="1:11" ht="39" customHeight="1" x14ac:dyDescent="0.25">
      <c r="A3199" s="82" t="s">
        <v>4876</v>
      </c>
      <c r="B3199" s="83" t="s">
        <v>4877</v>
      </c>
      <c r="C3199" s="83" t="s">
        <v>4878</v>
      </c>
      <c r="D3199" s="83"/>
      <c r="E3199" s="83" t="s">
        <v>4228</v>
      </c>
      <c r="F3199" s="82" t="s">
        <v>78</v>
      </c>
      <c r="G3199" s="82">
        <v>2</v>
      </c>
      <c r="H3199" s="82"/>
      <c r="I3199" s="138">
        <f t="shared" si="134"/>
        <v>0</v>
      </c>
      <c r="J3199" s="82" t="s">
        <v>4879</v>
      </c>
      <c r="K3199" s="83" t="s">
        <v>4880</v>
      </c>
    </row>
    <row r="3200" spans="1:11" ht="51" customHeight="1" x14ac:dyDescent="0.25">
      <c r="A3200" s="82" t="s">
        <v>4881</v>
      </c>
      <c r="B3200" s="83" t="s">
        <v>4882</v>
      </c>
      <c r="C3200" s="83" t="s">
        <v>4883</v>
      </c>
      <c r="D3200" s="83"/>
      <c r="E3200" s="83" t="s">
        <v>4228</v>
      </c>
      <c r="F3200" s="82" t="s">
        <v>78</v>
      </c>
      <c r="G3200" s="82">
        <v>1</v>
      </c>
      <c r="H3200" s="82"/>
      <c r="I3200" s="138">
        <f t="shared" si="134"/>
        <v>0</v>
      </c>
      <c r="J3200" s="82"/>
      <c r="K3200" s="83"/>
    </row>
    <row r="3201" spans="1:11" ht="27" customHeight="1" x14ac:dyDescent="0.25">
      <c r="A3201" s="82" t="s">
        <v>4884</v>
      </c>
      <c r="B3201" s="83" t="s">
        <v>4885</v>
      </c>
      <c r="C3201" s="83"/>
      <c r="D3201" s="83"/>
      <c r="E3201" s="83" t="s">
        <v>4886</v>
      </c>
      <c r="F3201" s="82" t="s">
        <v>78</v>
      </c>
      <c r="G3201" s="82">
        <v>1</v>
      </c>
      <c r="H3201" s="82"/>
      <c r="I3201" s="138">
        <f t="shared" si="134"/>
        <v>0</v>
      </c>
      <c r="J3201" s="82" t="s">
        <v>4361</v>
      </c>
      <c r="K3201" s="83"/>
    </row>
    <row r="3202" spans="1:11" ht="27" customHeight="1" x14ac:dyDescent="0.25">
      <c r="A3202" s="82" t="s">
        <v>4887</v>
      </c>
      <c r="B3202" s="83" t="s">
        <v>4888</v>
      </c>
      <c r="C3202" s="83" t="s">
        <v>4889</v>
      </c>
      <c r="D3202" s="83"/>
      <c r="E3202" s="83" t="s">
        <v>4228</v>
      </c>
      <c r="F3202" s="82" t="s">
        <v>78</v>
      </c>
      <c r="G3202" s="82">
        <v>1</v>
      </c>
      <c r="H3202" s="82">
        <v>460000</v>
      </c>
      <c r="I3202" s="138">
        <f t="shared" si="134"/>
        <v>460000</v>
      </c>
      <c r="J3202" s="82" t="s">
        <v>4890</v>
      </c>
      <c r="K3202" s="83"/>
    </row>
    <row r="3203" spans="1:11" ht="15" customHeight="1" x14ac:dyDescent="0.25">
      <c r="A3203" s="80" t="s">
        <v>4891</v>
      </c>
      <c r="B3203" s="80" t="s">
        <v>4892</v>
      </c>
      <c r="C3203" s="80"/>
      <c r="D3203" s="80"/>
      <c r="E3203" s="80"/>
      <c r="F3203" s="80"/>
      <c r="G3203" s="81"/>
      <c r="H3203" s="80"/>
      <c r="I3203" s="137"/>
      <c r="J3203" s="80"/>
      <c r="K3203" s="80"/>
    </row>
    <row r="3204" spans="1:11" ht="15" customHeight="1" x14ac:dyDescent="0.25">
      <c r="A3204" s="80" t="s">
        <v>4893</v>
      </c>
      <c r="B3204" s="80" t="s">
        <v>4894</v>
      </c>
      <c r="C3204" s="80"/>
      <c r="D3204" s="80"/>
      <c r="E3204" s="80"/>
      <c r="F3204" s="80"/>
      <c r="G3204" s="81"/>
      <c r="H3204" s="80"/>
      <c r="I3204" s="137"/>
      <c r="J3204" s="80"/>
      <c r="K3204" s="80"/>
    </row>
    <row r="3205" spans="1:11" ht="15" customHeight="1" x14ac:dyDescent="0.25">
      <c r="A3205" s="80" t="s">
        <v>4895</v>
      </c>
      <c r="B3205" s="80" t="s">
        <v>4896</v>
      </c>
      <c r="C3205" s="80"/>
      <c r="D3205" s="80"/>
      <c r="E3205" s="80"/>
      <c r="F3205" s="80"/>
      <c r="G3205" s="81"/>
      <c r="H3205" s="80"/>
      <c r="I3205" s="137"/>
      <c r="J3205" s="80"/>
      <c r="K3205" s="80"/>
    </row>
    <row r="3206" spans="1:11" ht="39" customHeight="1" x14ac:dyDescent="0.25">
      <c r="A3206" s="82" t="s">
        <v>4897</v>
      </c>
      <c r="B3206" s="83" t="s">
        <v>4898</v>
      </c>
      <c r="C3206" s="83" t="s">
        <v>4899</v>
      </c>
      <c r="D3206" s="83"/>
      <c r="E3206" s="83" t="s">
        <v>4228</v>
      </c>
      <c r="F3206" s="82" t="s">
        <v>78</v>
      </c>
      <c r="G3206" s="82">
        <v>6</v>
      </c>
      <c r="H3206" s="82"/>
      <c r="I3206" s="138">
        <f>H3206*G3206</f>
        <v>0</v>
      </c>
      <c r="J3206" s="82"/>
      <c r="K3206" s="83"/>
    </row>
    <row r="3207" spans="1:11" ht="15" customHeight="1" x14ac:dyDescent="0.25">
      <c r="A3207" s="80" t="s">
        <v>4900</v>
      </c>
      <c r="B3207" s="80" t="s">
        <v>4896</v>
      </c>
      <c r="C3207" s="80"/>
      <c r="D3207" s="80"/>
      <c r="E3207" s="80"/>
      <c r="F3207" s="80"/>
      <c r="G3207" s="81"/>
      <c r="H3207" s="80"/>
      <c r="I3207" s="137"/>
      <c r="J3207" s="80"/>
      <c r="K3207" s="80"/>
    </row>
    <row r="3208" spans="1:11" ht="39" customHeight="1" x14ac:dyDescent="0.25">
      <c r="A3208" s="82" t="s">
        <v>4897</v>
      </c>
      <c r="B3208" s="83" t="s">
        <v>4898</v>
      </c>
      <c r="C3208" s="83" t="s">
        <v>4899</v>
      </c>
      <c r="D3208" s="83"/>
      <c r="E3208" s="83" t="s">
        <v>4228</v>
      </c>
      <c r="F3208" s="82" t="s">
        <v>78</v>
      </c>
      <c r="G3208" s="82">
        <v>6</v>
      </c>
      <c r="H3208" s="82"/>
      <c r="I3208" s="138">
        <f>H3208*G3208</f>
        <v>0</v>
      </c>
      <c r="J3208" s="82"/>
      <c r="K3208" s="83"/>
    </row>
    <row r="3209" spans="1:11" ht="15" customHeight="1" x14ac:dyDescent="0.25">
      <c r="A3209" s="80" t="s">
        <v>4901</v>
      </c>
      <c r="B3209" s="80" t="s">
        <v>4896</v>
      </c>
      <c r="C3209" s="80"/>
      <c r="D3209" s="80"/>
      <c r="E3209" s="80"/>
      <c r="F3209" s="80"/>
      <c r="G3209" s="81"/>
      <c r="H3209" s="80"/>
      <c r="I3209" s="137"/>
      <c r="J3209" s="80"/>
      <c r="K3209" s="80"/>
    </row>
    <row r="3210" spans="1:11" ht="39" customHeight="1" x14ac:dyDescent="0.25">
      <c r="A3210" s="82" t="s">
        <v>4897</v>
      </c>
      <c r="B3210" s="83" t="s">
        <v>4898</v>
      </c>
      <c r="C3210" s="83" t="s">
        <v>4899</v>
      </c>
      <c r="D3210" s="83"/>
      <c r="E3210" s="83" t="s">
        <v>4228</v>
      </c>
      <c r="F3210" s="82" t="s">
        <v>78</v>
      </c>
      <c r="G3210" s="82">
        <v>6</v>
      </c>
      <c r="H3210" s="82"/>
      <c r="I3210" s="138">
        <f>H3210*G3210</f>
        <v>0</v>
      </c>
      <c r="J3210" s="82"/>
      <c r="K3210" s="83"/>
    </row>
    <row r="3211" spans="1:11" ht="15" customHeight="1" x14ac:dyDescent="0.25">
      <c r="A3211" s="80" t="s">
        <v>4902</v>
      </c>
      <c r="B3211" s="80" t="s">
        <v>4896</v>
      </c>
      <c r="C3211" s="80"/>
      <c r="D3211" s="80"/>
      <c r="E3211" s="80"/>
      <c r="F3211" s="80"/>
      <c r="G3211" s="81"/>
      <c r="H3211" s="80"/>
      <c r="I3211" s="137"/>
      <c r="J3211" s="80"/>
      <c r="K3211" s="80"/>
    </row>
    <row r="3212" spans="1:11" ht="39" customHeight="1" x14ac:dyDescent="0.25">
      <c r="A3212" s="82" t="s">
        <v>4897</v>
      </c>
      <c r="B3212" s="83" t="s">
        <v>4898</v>
      </c>
      <c r="C3212" s="83" t="s">
        <v>4899</v>
      </c>
      <c r="D3212" s="83"/>
      <c r="E3212" s="83" t="s">
        <v>4228</v>
      </c>
      <c r="F3212" s="82" t="s">
        <v>78</v>
      </c>
      <c r="G3212" s="82">
        <v>6</v>
      </c>
      <c r="H3212" s="82"/>
      <c r="I3212" s="138">
        <f>H3212*G3212</f>
        <v>0</v>
      </c>
      <c r="J3212" s="82"/>
      <c r="K3212" s="83"/>
    </row>
    <row r="3213" spans="1:11" ht="15" customHeight="1" x14ac:dyDescent="0.25">
      <c r="A3213" s="80" t="s">
        <v>4903</v>
      </c>
      <c r="B3213" s="80" t="s">
        <v>4896</v>
      </c>
      <c r="C3213" s="80"/>
      <c r="D3213" s="80"/>
      <c r="E3213" s="80"/>
      <c r="F3213" s="80"/>
      <c r="G3213" s="81"/>
      <c r="H3213" s="80"/>
      <c r="I3213" s="137"/>
      <c r="J3213" s="80"/>
      <c r="K3213" s="80"/>
    </row>
    <row r="3214" spans="1:11" ht="39" customHeight="1" x14ac:dyDescent="0.25">
      <c r="A3214" s="82" t="s">
        <v>4897</v>
      </c>
      <c r="B3214" s="83" t="s">
        <v>4898</v>
      </c>
      <c r="C3214" s="83" t="s">
        <v>4899</v>
      </c>
      <c r="D3214" s="83"/>
      <c r="E3214" s="83" t="s">
        <v>4228</v>
      </c>
      <c r="F3214" s="82" t="s">
        <v>78</v>
      </c>
      <c r="G3214" s="82">
        <v>6</v>
      </c>
      <c r="H3214" s="82"/>
      <c r="I3214" s="138">
        <f>H3214*G3214</f>
        <v>0</v>
      </c>
      <c r="J3214" s="82"/>
      <c r="K3214" s="83"/>
    </row>
    <row r="3215" spans="1:11" ht="15" customHeight="1" x14ac:dyDescent="0.25">
      <c r="A3215" s="80" t="s">
        <v>4904</v>
      </c>
      <c r="B3215" s="80" t="s">
        <v>4896</v>
      </c>
      <c r="C3215" s="80"/>
      <c r="D3215" s="80"/>
      <c r="E3215" s="80"/>
      <c r="F3215" s="80"/>
      <c r="G3215" s="81"/>
      <c r="H3215" s="80"/>
      <c r="I3215" s="137"/>
      <c r="J3215" s="80"/>
      <c r="K3215" s="80"/>
    </row>
    <row r="3216" spans="1:11" ht="39" customHeight="1" x14ac:dyDescent="0.25">
      <c r="A3216" s="82" t="s">
        <v>4897</v>
      </c>
      <c r="B3216" s="83" t="s">
        <v>4898</v>
      </c>
      <c r="C3216" s="83" t="s">
        <v>4899</v>
      </c>
      <c r="D3216" s="83"/>
      <c r="E3216" s="83" t="s">
        <v>4228</v>
      </c>
      <c r="F3216" s="82" t="s">
        <v>78</v>
      </c>
      <c r="G3216" s="82">
        <v>6</v>
      </c>
      <c r="H3216" s="82"/>
      <c r="I3216" s="138">
        <f>H3216*G3216</f>
        <v>0</v>
      </c>
      <c r="J3216" s="82"/>
      <c r="K3216" s="83"/>
    </row>
    <row r="3217" spans="1:11" ht="15" customHeight="1" x14ac:dyDescent="0.25">
      <c r="A3217" s="80" t="s">
        <v>4905</v>
      </c>
      <c r="B3217" s="80" t="s">
        <v>4906</v>
      </c>
      <c r="C3217" s="80"/>
      <c r="D3217" s="80"/>
      <c r="E3217" s="80"/>
      <c r="F3217" s="80"/>
      <c r="G3217" s="81"/>
      <c r="H3217" s="80"/>
      <c r="I3217" s="137"/>
      <c r="J3217" s="80"/>
      <c r="K3217" s="80"/>
    </row>
    <row r="3218" spans="1:11" ht="27" customHeight="1" x14ac:dyDescent="0.25">
      <c r="A3218" s="82" t="s">
        <v>4242</v>
      </c>
      <c r="B3218" s="83" t="s">
        <v>4313</v>
      </c>
      <c r="C3218" s="83" t="s">
        <v>4282</v>
      </c>
      <c r="D3218" s="83"/>
      <c r="E3218" s="83" t="s">
        <v>4228</v>
      </c>
      <c r="F3218" s="82" t="s">
        <v>78</v>
      </c>
      <c r="G3218" s="82">
        <v>1</v>
      </c>
      <c r="H3218" s="82">
        <v>1950</v>
      </c>
      <c r="I3218" s="138">
        <f t="shared" ref="I3218:I3225" si="135">H3218*G3218</f>
        <v>1950</v>
      </c>
      <c r="J3218" s="82"/>
      <c r="K3218" s="83" t="s">
        <v>4246</v>
      </c>
    </row>
    <row r="3219" spans="1:11" ht="27" customHeight="1" x14ac:dyDescent="0.25">
      <c r="A3219" s="82" t="s">
        <v>4324</v>
      </c>
      <c r="B3219" s="83" t="s">
        <v>4325</v>
      </c>
      <c r="C3219" s="83" t="s">
        <v>4326</v>
      </c>
      <c r="D3219" s="83"/>
      <c r="E3219" s="83" t="s">
        <v>4228</v>
      </c>
      <c r="F3219" s="82" t="s">
        <v>78</v>
      </c>
      <c r="G3219" s="82">
        <v>1</v>
      </c>
      <c r="H3219" s="82"/>
      <c r="I3219" s="138">
        <f t="shared" si="135"/>
        <v>0</v>
      </c>
      <c r="J3219" s="82"/>
      <c r="K3219" s="83"/>
    </row>
    <row r="3220" spans="1:11" ht="27" customHeight="1" x14ac:dyDescent="0.25">
      <c r="A3220" s="82" t="s">
        <v>4873</v>
      </c>
      <c r="B3220" s="83" t="s">
        <v>4874</v>
      </c>
      <c r="C3220" s="83" t="s">
        <v>4875</v>
      </c>
      <c r="D3220" s="83"/>
      <c r="E3220" s="83" t="s">
        <v>4228</v>
      </c>
      <c r="F3220" s="82" t="s">
        <v>78</v>
      </c>
      <c r="G3220" s="82">
        <v>1</v>
      </c>
      <c r="H3220" s="82"/>
      <c r="I3220" s="138">
        <f t="shared" si="135"/>
        <v>0</v>
      </c>
      <c r="J3220" s="82"/>
      <c r="K3220" s="83"/>
    </row>
    <row r="3221" spans="1:11" ht="27" customHeight="1" x14ac:dyDescent="0.25">
      <c r="A3221" s="82" t="s">
        <v>4327</v>
      </c>
      <c r="B3221" s="83" t="s">
        <v>4328</v>
      </c>
      <c r="C3221" s="83" t="s">
        <v>4329</v>
      </c>
      <c r="D3221" s="83"/>
      <c r="E3221" s="83" t="s">
        <v>4228</v>
      </c>
      <c r="F3221" s="82" t="s">
        <v>78</v>
      </c>
      <c r="G3221" s="82">
        <v>1</v>
      </c>
      <c r="H3221" s="82">
        <v>2200000</v>
      </c>
      <c r="I3221" s="138">
        <f t="shared" si="135"/>
        <v>2200000</v>
      </c>
      <c r="J3221" s="82" t="s">
        <v>4330</v>
      </c>
      <c r="K3221" s="83"/>
    </row>
    <row r="3222" spans="1:11" ht="27" customHeight="1" x14ac:dyDescent="0.25">
      <c r="A3222" s="82" t="s">
        <v>4331</v>
      </c>
      <c r="B3222" s="83" t="s">
        <v>4332</v>
      </c>
      <c r="C3222" s="83" t="s">
        <v>4333</v>
      </c>
      <c r="D3222" s="83"/>
      <c r="E3222" s="83" t="s">
        <v>4228</v>
      </c>
      <c r="F3222" s="82" t="s">
        <v>78</v>
      </c>
      <c r="G3222" s="82">
        <v>1</v>
      </c>
      <c r="H3222" s="82">
        <v>30000</v>
      </c>
      <c r="I3222" s="138">
        <f t="shared" si="135"/>
        <v>30000</v>
      </c>
      <c r="J3222" s="82"/>
      <c r="K3222" s="83"/>
    </row>
    <row r="3223" spans="1:11" ht="39" customHeight="1" x14ac:dyDescent="0.25">
      <c r="A3223" s="82" t="s">
        <v>4236</v>
      </c>
      <c r="B3223" s="83" t="s">
        <v>4907</v>
      </c>
      <c r="C3223" s="83" t="s">
        <v>4908</v>
      </c>
      <c r="D3223" s="83"/>
      <c r="E3223" s="83" t="s">
        <v>4228</v>
      </c>
      <c r="F3223" s="82" t="s">
        <v>78</v>
      </c>
      <c r="G3223" s="82">
        <v>1</v>
      </c>
      <c r="H3223" s="82">
        <v>92000</v>
      </c>
      <c r="I3223" s="138">
        <f t="shared" si="135"/>
        <v>92000</v>
      </c>
      <c r="J3223" s="82" t="s">
        <v>4909</v>
      </c>
      <c r="K3223" s="83" t="s">
        <v>6884</v>
      </c>
    </row>
    <row r="3224" spans="1:11" ht="15" customHeight="1" x14ac:dyDescent="0.25">
      <c r="A3224" s="82" t="s">
        <v>4236</v>
      </c>
      <c r="B3224" s="83" t="s">
        <v>4334</v>
      </c>
      <c r="C3224" s="83"/>
      <c r="D3224" s="83"/>
      <c r="E3224" s="83" t="s">
        <v>4228</v>
      </c>
      <c r="F3224" s="82" t="s">
        <v>78</v>
      </c>
      <c r="G3224" s="82">
        <v>1</v>
      </c>
      <c r="H3224" s="82">
        <v>4500</v>
      </c>
      <c r="I3224" s="138">
        <f t="shared" si="135"/>
        <v>4500</v>
      </c>
      <c r="J3224" s="82"/>
      <c r="K3224" s="83"/>
    </row>
    <row r="3225" spans="1:11" ht="27" customHeight="1" x14ac:dyDescent="0.25">
      <c r="A3225" s="82" t="s">
        <v>4257</v>
      </c>
      <c r="B3225" s="83" t="s">
        <v>4258</v>
      </c>
      <c r="C3225" s="83"/>
      <c r="D3225" s="83"/>
      <c r="E3225" s="83" t="s">
        <v>4228</v>
      </c>
      <c r="F3225" s="82" t="s">
        <v>78</v>
      </c>
      <c r="G3225" s="82">
        <v>2</v>
      </c>
      <c r="H3225" s="82"/>
      <c r="I3225" s="138">
        <f t="shared" si="135"/>
        <v>0</v>
      </c>
      <c r="J3225" s="82"/>
      <c r="K3225" s="83"/>
    </row>
    <row r="3226" spans="1:11" ht="15" customHeight="1" x14ac:dyDescent="0.25">
      <c r="A3226" s="84"/>
      <c r="B3226" s="84" t="s">
        <v>4910</v>
      </c>
      <c r="C3226" s="84"/>
      <c r="D3226" s="84"/>
      <c r="E3226" s="84"/>
      <c r="F3226" s="84"/>
      <c r="G3226" s="85"/>
      <c r="H3226" s="84"/>
      <c r="I3226" s="139"/>
      <c r="J3226" s="84"/>
      <c r="K3226" s="84"/>
    </row>
    <row r="3227" spans="1:11" ht="15" customHeight="1" x14ac:dyDescent="0.25">
      <c r="A3227" s="80" t="s">
        <v>4911</v>
      </c>
      <c r="B3227" s="80" t="s">
        <v>4912</v>
      </c>
      <c r="C3227" s="80"/>
      <c r="D3227" s="80"/>
      <c r="E3227" s="80"/>
      <c r="F3227" s="80"/>
      <c r="G3227" s="81"/>
      <c r="H3227" s="80"/>
      <c r="I3227" s="137"/>
      <c r="J3227" s="80"/>
      <c r="K3227" s="80"/>
    </row>
    <row r="3228" spans="1:11" ht="27" customHeight="1" x14ac:dyDescent="0.25">
      <c r="A3228" s="82" t="s">
        <v>4280</v>
      </c>
      <c r="B3228" s="83" t="s">
        <v>4281</v>
      </c>
      <c r="C3228" s="83"/>
      <c r="D3228" s="83"/>
      <c r="E3228" s="83" t="s">
        <v>4228</v>
      </c>
      <c r="F3228" s="82" t="s">
        <v>78</v>
      </c>
      <c r="G3228" s="82">
        <v>1</v>
      </c>
      <c r="H3228" s="82">
        <v>32200</v>
      </c>
      <c r="I3228" s="138">
        <f>H3228*G3228</f>
        <v>32200</v>
      </c>
      <c r="J3228" s="82"/>
      <c r="K3228" s="83"/>
    </row>
    <row r="3229" spans="1:11" ht="15" customHeight="1" x14ac:dyDescent="0.25">
      <c r="A3229" s="80" t="s">
        <v>4913</v>
      </c>
      <c r="B3229" s="80" t="s">
        <v>4914</v>
      </c>
      <c r="C3229" s="80"/>
      <c r="D3229" s="80"/>
      <c r="E3229" s="80"/>
      <c r="F3229" s="80"/>
      <c r="G3229" s="81"/>
      <c r="H3229" s="80"/>
      <c r="I3229" s="137"/>
      <c r="J3229" s="80"/>
      <c r="K3229" s="80"/>
    </row>
    <row r="3230" spans="1:11" ht="39" customHeight="1" x14ac:dyDescent="0.25">
      <c r="A3230" s="82" t="s">
        <v>4274</v>
      </c>
      <c r="B3230" s="83" t="s">
        <v>4275</v>
      </c>
      <c r="C3230" s="83"/>
      <c r="D3230" s="83"/>
      <c r="E3230" s="83" t="s">
        <v>4228</v>
      </c>
      <c r="F3230" s="82" t="s">
        <v>78</v>
      </c>
      <c r="G3230" s="82">
        <v>1</v>
      </c>
      <c r="H3230" s="82">
        <v>23400</v>
      </c>
      <c r="I3230" s="138">
        <f>H3230*G3230</f>
        <v>23400</v>
      </c>
      <c r="J3230" s="82"/>
      <c r="K3230" s="83"/>
    </row>
    <row r="3231" spans="1:11" ht="27" customHeight="1" x14ac:dyDescent="0.25">
      <c r="A3231" s="82" t="s">
        <v>4280</v>
      </c>
      <c r="B3231" s="83" t="s">
        <v>4281</v>
      </c>
      <c r="C3231" s="83"/>
      <c r="D3231" s="83"/>
      <c r="E3231" s="83" t="s">
        <v>4228</v>
      </c>
      <c r="F3231" s="82" t="s">
        <v>78</v>
      </c>
      <c r="G3231" s="82">
        <v>7</v>
      </c>
      <c r="H3231" s="82">
        <v>32200</v>
      </c>
      <c r="I3231" s="138">
        <f>H3231*G3231</f>
        <v>225400</v>
      </c>
      <c r="J3231" s="82"/>
      <c r="K3231" s="83"/>
    </row>
    <row r="3232" spans="1:11" ht="15" customHeight="1" x14ac:dyDescent="0.25">
      <c r="A3232" s="80" t="s">
        <v>4915</v>
      </c>
      <c r="B3232" s="80" t="s">
        <v>4790</v>
      </c>
      <c r="C3232" s="80"/>
      <c r="D3232" s="80"/>
      <c r="E3232" s="80"/>
      <c r="F3232" s="80"/>
      <c r="G3232" s="81"/>
      <c r="H3232" s="80"/>
      <c r="I3232" s="137"/>
      <c r="J3232" s="80"/>
      <c r="K3232" s="80"/>
    </row>
    <row r="3233" spans="1:11" ht="15" customHeight="1" x14ac:dyDescent="0.25">
      <c r="A3233" s="80" t="s">
        <v>4916</v>
      </c>
      <c r="B3233" s="80" t="s">
        <v>4790</v>
      </c>
      <c r="C3233" s="80"/>
      <c r="D3233" s="80"/>
      <c r="E3233" s="80"/>
      <c r="F3233" s="80"/>
      <c r="G3233" s="81"/>
      <c r="H3233" s="80"/>
      <c r="I3233" s="137"/>
      <c r="J3233" s="80"/>
      <c r="K3233" s="80"/>
    </row>
    <row r="3234" spans="1:11" ht="15" customHeight="1" x14ac:dyDescent="0.25">
      <c r="A3234" s="80" t="s">
        <v>4917</v>
      </c>
      <c r="B3234" s="80" t="s">
        <v>4918</v>
      </c>
      <c r="C3234" s="80"/>
      <c r="D3234" s="80"/>
      <c r="E3234" s="80"/>
      <c r="F3234" s="80"/>
      <c r="G3234" s="81"/>
      <c r="H3234" s="80"/>
      <c r="I3234" s="137"/>
      <c r="J3234" s="80"/>
      <c r="K3234" s="80"/>
    </row>
    <row r="3235" spans="1:11" ht="39" customHeight="1" x14ac:dyDescent="0.25">
      <c r="A3235" s="82" t="s">
        <v>4274</v>
      </c>
      <c r="B3235" s="83" t="s">
        <v>4275</v>
      </c>
      <c r="C3235" s="83"/>
      <c r="D3235" s="83"/>
      <c r="E3235" s="83" t="s">
        <v>4228</v>
      </c>
      <c r="F3235" s="82" t="s">
        <v>78</v>
      </c>
      <c r="G3235" s="82">
        <v>1</v>
      </c>
      <c r="H3235" s="82"/>
      <c r="I3235" s="138">
        <f>H3235*G3235</f>
        <v>0</v>
      </c>
      <c r="J3235" s="82"/>
      <c r="K3235" s="83"/>
    </row>
    <row r="3236" spans="1:11" ht="27" customHeight="1" x14ac:dyDescent="0.25">
      <c r="A3236" s="82" t="s">
        <v>4280</v>
      </c>
      <c r="B3236" s="83" t="s">
        <v>4281</v>
      </c>
      <c r="C3236" s="83"/>
      <c r="D3236" s="83"/>
      <c r="E3236" s="83" t="s">
        <v>4228</v>
      </c>
      <c r="F3236" s="82" t="s">
        <v>78</v>
      </c>
      <c r="G3236" s="82">
        <v>4</v>
      </c>
      <c r="H3236" s="82">
        <v>32200</v>
      </c>
      <c r="I3236" s="138">
        <f>H3236*G3236</f>
        <v>128800</v>
      </c>
      <c r="J3236" s="82"/>
      <c r="K3236" s="83"/>
    </row>
    <row r="3237" spans="1:11" ht="15" customHeight="1" x14ac:dyDescent="0.25">
      <c r="A3237" s="80" t="s">
        <v>4919</v>
      </c>
      <c r="B3237" s="80" t="s">
        <v>4920</v>
      </c>
      <c r="C3237" s="80"/>
      <c r="D3237" s="80"/>
      <c r="E3237" s="80"/>
      <c r="F3237" s="80"/>
      <c r="G3237" s="81"/>
      <c r="H3237" s="80"/>
      <c r="I3237" s="137"/>
      <c r="J3237" s="80"/>
      <c r="K3237" s="80"/>
    </row>
    <row r="3238" spans="1:11" ht="15" customHeight="1" x14ac:dyDescent="0.25">
      <c r="A3238" s="80" t="s">
        <v>4921</v>
      </c>
      <c r="B3238" s="80" t="s">
        <v>4920</v>
      </c>
      <c r="C3238" s="80"/>
      <c r="D3238" s="80"/>
      <c r="E3238" s="80"/>
      <c r="F3238" s="80"/>
      <c r="G3238" s="81"/>
      <c r="H3238" s="80"/>
      <c r="I3238" s="137"/>
      <c r="J3238" s="80"/>
      <c r="K3238" s="80"/>
    </row>
    <row r="3239" spans="1:11" ht="15" customHeight="1" x14ac:dyDescent="0.25">
      <c r="A3239" s="80" t="s">
        <v>4922</v>
      </c>
      <c r="B3239" s="80" t="s">
        <v>4923</v>
      </c>
      <c r="C3239" s="80"/>
      <c r="D3239" s="80"/>
      <c r="E3239" s="80"/>
      <c r="F3239" s="80"/>
      <c r="G3239" s="81"/>
      <c r="H3239" s="80"/>
      <c r="I3239" s="137"/>
      <c r="J3239" s="80"/>
      <c r="K3239" s="80"/>
    </row>
    <row r="3240" spans="1:11" ht="15" customHeight="1" x14ac:dyDescent="0.25">
      <c r="A3240" s="82" t="s">
        <v>4236</v>
      </c>
      <c r="B3240" s="83" t="s">
        <v>4334</v>
      </c>
      <c r="C3240" s="83"/>
      <c r="D3240" s="83"/>
      <c r="E3240" s="83" t="s">
        <v>4228</v>
      </c>
      <c r="F3240" s="82" t="s">
        <v>78</v>
      </c>
      <c r="G3240" s="82">
        <v>1</v>
      </c>
      <c r="H3240" s="82">
        <v>4500</v>
      </c>
      <c r="I3240" s="138">
        <f>H3240*G3240</f>
        <v>4500</v>
      </c>
      <c r="J3240" s="82"/>
      <c r="K3240" s="83"/>
    </row>
    <row r="3241" spans="1:11" ht="15" customHeight="1" x14ac:dyDescent="0.25">
      <c r="A3241" s="82" t="s">
        <v>4236</v>
      </c>
      <c r="B3241" s="83" t="s">
        <v>4389</v>
      </c>
      <c r="C3241" s="83"/>
      <c r="D3241" s="83"/>
      <c r="E3241" s="83" t="s">
        <v>4228</v>
      </c>
      <c r="F3241" s="82" t="s">
        <v>78</v>
      </c>
      <c r="G3241" s="82">
        <v>1</v>
      </c>
      <c r="H3241" s="82">
        <v>4090</v>
      </c>
      <c r="I3241" s="138">
        <f>H3241*G3241</f>
        <v>4090</v>
      </c>
      <c r="J3241" s="82"/>
      <c r="K3241" s="83"/>
    </row>
    <row r="3242" spans="1:11" ht="15" customHeight="1" x14ac:dyDescent="0.25">
      <c r="A3242" s="82" t="s">
        <v>4236</v>
      </c>
      <c r="B3242" s="83" t="s">
        <v>4390</v>
      </c>
      <c r="C3242" s="83"/>
      <c r="D3242" s="83"/>
      <c r="E3242" s="83" t="s">
        <v>4228</v>
      </c>
      <c r="F3242" s="82" t="s">
        <v>78</v>
      </c>
      <c r="G3242" s="82">
        <v>1</v>
      </c>
      <c r="H3242" s="82"/>
      <c r="I3242" s="138">
        <f>H3242*G3242</f>
        <v>0</v>
      </c>
      <c r="J3242" s="82"/>
      <c r="K3242" s="83"/>
    </row>
    <row r="3243" spans="1:11" ht="15" customHeight="1" x14ac:dyDescent="0.25">
      <c r="A3243" s="80" t="s">
        <v>4924</v>
      </c>
      <c r="B3243" s="80" t="s">
        <v>4925</v>
      </c>
      <c r="C3243" s="80"/>
      <c r="D3243" s="80"/>
      <c r="E3243" s="80"/>
      <c r="F3243" s="80"/>
      <c r="G3243" s="81"/>
      <c r="H3243" s="80"/>
      <c r="I3243" s="137"/>
      <c r="J3243" s="80"/>
      <c r="K3243" s="80"/>
    </row>
    <row r="3244" spans="1:11" ht="15" customHeight="1" x14ac:dyDescent="0.25">
      <c r="A3244" s="82" t="s">
        <v>4236</v>
      </c>
      <c r="B3244" s="83" t="s">
        <v>4926</v>
      </c>
      <c r="C3244" s="83"/>
      <c r="D3244" s="83"/>
      <c r="E3244" s="83" t="s">
        <v>4228</v>
      </c>
      <c r="F3244" s="82" t="s">
        <v>78</v>
      </c>
      <c r="G3244" s="82">
        <v>1</v>
      </c>
      <c r="H3244" s="82"/>
      <c r="I3244" s="138">
        <f>H3244*G3244</f>
        <v>0</v>
      </c>
      <c r="J3244" s="82"/>
      <c r="K3244" s="83"/>
    </row>
    <row r="3245" spans="1:11" ht="15" customHeight="1" x14ac:dyDescent="0.25">
      <c r="A3245" s="82" t="s">
        <v>4236</v>
      </c>
      <c r="B3245" s="83" t="s">
        <v>4927</v>
      </c>
      <c r="C3245" s="83"/>
      <c r="D3245" s="83"/>
      <c r="E3245" s="83" t="s">
        <v>4228</v>
      </c>
      <c r="F3245" s="82" t="s">
        <v>78</v>
      </c>
      <c r="G3245" s="82">
        <v>1</v>
      </c>
      <c r="H3245" s="82"/>
      <c r="I3245" s="138">
        <f>H3245*G3245</f>
        <v>0</v>
      </c>
      <c r="J3245" s="82"/>
      <c r="K3245" s="83"/>
    </row>
    <row r="3246" spans="1:11" ht="15" customHeight="1" x14ac:dyDescent="0.25">
      <c r="A3246" s="80" t="s">
        <v>4928</v>
      </c>
      <c r="B3246" s="80" t="s">
        <v>4929</v>
      </c>
      <c r="C3246" s="80"/>
      <c r="D3246" s="80"/>
      <c r="E3246" s="80"/>
      <c r="F3246" s="80"/>
      <c r="G3246" s="81"/>
      <c r="H3246" s="80"/>
      <c r="I3246" s="137"/>
      <c r="J3246" s="80"/>
      <c r="K3246" s="80"/>
    </row>
    <row r="3247" spans="1:11" ht="27" customHeight="1" x14ac:dyDescent="0.25">
      <c r="A3247" s="82" t="s">
        <v>4310</v>
      </c>
      <c r="B3247" s="83" t="s">
        <v>4311</v>
      </c>
      <c r="C3247" s="83" t="s">
        <v>4312</v>
      </c>
      <c r="D3247" s="83"/>
      <c r="E3247" s="83" t="s">
        <v>6885</v>
      </c>
      <c r="F3247" s="82" t="s">
        <v>78</v>
      </c>
      <c r="G3247" s="82">
        <v>1</v>
      </c>
      <c r="H3247" s="82"/>
      <c r="I3247" s="138">
        <f t="shared" ref="I3247:I3253" si="136">H3247*G3247</f>
        <v>0</v>
      </c>
      <c r="J3247" s="82"/>
      <c r="K3247" s="83"/>
    </row>
    <row r="3248" spans="1:11" ht="27" customHeight="1" x14ac:dyDescent="0.25">
      <c r="A3248" s="82" t="s">
        <v>432</v>
      </c>
      <c r="B3248" s="83" t="s">
        <v>4231</v>
      </c>
      <c r="C3248" s="83"/>
      <c r="D3248" s="83"/>
      <c r="E3248" s="83" t="s">
        <v>4228</v>
      </c>
      <c r="F3248" s="82" t="s">
        <v>78</v>
      </c>
      <c r="G3248" s="82">
        <v>1</v>
      </c>
      <c r="H3248" s="82">
        <v>12000</v>
      </c>
      <c r="I3248" s="138">
        <f t="shared" si="136"/>
        <v>12000</v>
      </c>
      <c r="J3248" s="82"/>
      <c r="K3248" s="83"/>
    </row>
    <row r="3249" spans="1:11" ht="39" customHeight="1" x14ac:dyDescent="0.25">
      <c r="A3249" s="82" t="s">
        <v>459</v>
      </c>
      <c r="B3249" s="83" t="s">
        <v>4232</v>
      </c>
      <c r="C3249" s="83"/>
      <c r="D3249" s="83"/>
      <c r="E3249" s="83" t="s">
        <v>4228</v>
      </c>
      <c r="F3249" s="82" t="s">
        <v>78</v>
      </c>
      <c r="G3249" s="82">
        <v>2</v>
      </c>
      <c r="H3249" s="82"/>
      <c r="I3249" s="138">
        <f t="shared" si="136"/>
        <v>0</v>
      </c>
      <c r="J3249" s="82"/>
      <c r="K3249" s="83"/>
    </row>
    <row r="3250" spans="1:11" ht="27" customHeight="1" x14ac:dyDescent="0.25">
      <c r="A3250" s="82" t="s">
        <v>4233</v>
      </c>
      <c r="B3250" s="83" t="s">
        <v>4234</v>
      </c>
      <c r="C3250" s="83"/>
      <c r="D3250" s="83"/>
      <c r="E3250" s="83" t="s">
        <v>4228</v>
      </c>
      <c r="F3250" s="82" t="s">
        <v>78</v>
      </c>
      <c r="G3250" s="82">
        <v>1</v>
      </c>
      <c r="H3250" s="82"/>
      <c r="I3250" s="138">
        <f t="shared" si="136"/>
        <v>0</v>
      </c>
      <c r="J3250" s="82"/>
      <c r="K3250" s="83"/>
    </row>
    <row r="3251" spans="1:11" ht="39" customHeight="1" x14ac:dyDescent="0.25">
      <c r="A3251" s="82" t="s">
        <v>4264</v>
      </c>
      <c r="B3251" s="83" t="s">
        <v>4265</v>
      </c>
      <c r="C3251" s="83" t="s">
        <v>4266</v>
      </c>
      <c r="D3251" s="83"/>
      <c r="E3251" s="83" t="s">
        <v>4228</v>
      </c>
      <c r="F3251" s="82" t="s">
        <v>78</v>
      </c>
      <c r="G3251" s="82">
        <v>2</v>
      </c>
      <c r="H3251" s="82"/>
      <c r="I3251" s="138">
        <f t="shared" si="136"/>
        <v>0</v>
      </c>
      <c r="J3251" s="82"/>
      <c r="K3251" s="83"/>
    </row>
    <row r="3252" spans="1:11" ht="27" customHeight="1" x14ac:dyDescent="0.25">
      <c r="A3252" s="82" t="s">
        <v>4267</v>
      </c>
      <c r="B3252" s="83" t="s">
        <v>4268</v>
      </c>
      <c r="C3252" s="83" t="s">
        <v>4269</v>
      </c>
      <c r="D3252" s="83"/>
      <c r="E3252" s="83" t="s">
        <v>4228</v>
      </c>
      <c r="F3252" s="82" t="s">
        <v>78</v>
      </c>
      <c r="G3252" s="82">
        <v>1</v>
      </c>
      <c r="H3252" s="82"/>
      <c r="I3252" s="138">
        <f t="shared" si="136"/>
        <v>0</v>
      </c>
      <c r="J3252" s="82"/>
      <c r="K3252" s="83"/>
    </row>
    <row r="3253" spans="1:11" ht="27" customHeight="1" x14ac:dyDescent="0.25">
      <c r="A3253" s="82" t="s">
        <v>4242</v>
      </c>
      <c r="B3253" s="83" t="s">
        <v>4243</v>
      </c>
      <c r="C3253" s="83" t="s">
        <v>4282</v>
      </c>
      <c r="D3253" s="83"/>
      <c r="E3253" s="83" t="s">
        <v>4228</v>
      </c>
      <c r="F3253" s="82" t="s">
        <v>78</v>
      </c>
      <c r="G3253" s="82">
        <v>1</v>
      </c>
      <c r="H3253" s="82">
        <v>1950</v>
      </c>
      <c r="I3253" s="138">
        <f t="shared" si="136"/>
        <v>1950</v>
      </c>
      <c r="J3253" s="82"/>
      <c r="K3253" s="83" t="s">
        <v>4246</v>
      </c>
    </row>
    <row r="3254" spans="1:11" ht="15" customHeight="1" x14ac:dyDescent="0.25">
      <c r="A3254" s="80" t="s">
        <v>4932</v>
      </c>
      <c r="B3254" s="80" t="s">
        <v>4933</v>
      </c>
      <c r="C3254" s="80"/>
      <c r="D3254" s="80"/>
      <c r="E3254" s="80"/>
      <c r="F3254" s="80"/>
      <c r="G3254" s="81"/>
      <c r="H3254" s="80"/>
      <c r="I3254" s="137"/>
      <c r="J3254" s="80"/>
      <c r="K3254" s="80"/>
    </row>
    <row r="3255" spans="1:11" ht="15" customHeight="1" x14ac:dyDescent="0.25">
      <c r="A3255" s="80" t="s">
        <v>4934</v>
      </c>
      <c r="B3255" s="80" t="s">
        <v>4935</v>
      </c>
      <c r="C3255" s="80"/>
      <c r="D3255" s="80"/>
      <c r="E3255" s="80"/>
      <c r="F3255" s="80"/>
      <c r="G3255" s="81"/>
      <c r="H3255" s="80"/>
      <c r="I3255" s="137"/>
      <c r="J3255" s="80"/>
      <c r="K3255" s="80"/>
    </row>
    <row r="3256" spans="1:11" ht="15" customHeight="1" x14ac:dyDescent="0.25">
      <c r="A3256" s="80" t="s">
        <v>4440</v>
      </c>
      <c r="B3256" s="80" t="s">
        <v>4936</v>
      </c>
      <c r="C3256" s="80"/>
      <c r="D3256" s="80"/>
      <c r="E3256" s="80"/>
      <c r="F3256" s="80"/>
      <c r="G3256" s="81"/>
      <c r="H3256" s="80"/>
      <c r="I3256" s="137"/>
      <c r="J3256" s="80"/>
      <c r="K3256" s="80"/>
    </row>
    <row r="3257" spans="1:11" ht="39" customHeight="1" x14ac:dyDescent="0.25">
      <c r="A3257" s="82" t="s">
        <v>4477</v>
      </c>
      <c r="B3257" s="83" t="s">
        <v>4478</v>
      </c>
      <c r="C3257" s="83" t="s">
        <v>4479</v>
      </c>
      <c r="D3257" s="83"/>
      <c r="E3257" s="83" t="s">
        <v>4228</v>
      </c>
      <c r="F3257" s="82" t="s">
        <v>78</v>
      </c>
      <c r="G3257" s="82">
        <v>1</v>
      </c>
      <c r="H3257" s="82">
        <v>33000</v>
      </c>
      <c r="I3257" s="138">
        <f t="shared" ref="I3257:I3285" si="137">H3257*G3257</f>
        <v>33000</v>
      </c>
      <c r="J3257" s="82"/>
      <c r="K3257" s="83"/>
    </row>
    <row r="3258" spans="1:11" ht="27" customHeight="1" x14ac:dyDescent="0.25">
      <c r="A3258" s="82" t="s">
        <v>4937</v>
      </c>
      <c r="B3258" s="83" t="s">
        <v>4938</v>
      </c>
      <c r="C3258" s="83" t="s">
        <v>4939</v>
      </c>
      <c r="D3258" s="83"/>
      <c r="E3258" s="83" t="s">
        <v>4940</v>
      </c>
      <c r="F3258" s="82" t="s">
        <v>78</v>
      </c>
      <c r="G3258" s="82">
        <v>2</v>
      </c>
      <c r="H3258" s="82"/>
      <c r="I3258" s="138">
        <f t="shared" si="137"/>
        <v>0</v>
      </c>
      <c r="J3258" s="82"/>
      <c r="K3258" s="83"/>
    </row>
    <row r="3259" spans="1:11" ht="39" customHeight="1" x14ac:dyDescent="0.25">
      <c r="A3259" s="82" t="s">
        <v>4941</v>
      </c>
      <c r="B3259" s="83" t="s">
        <v>4942</v>
      </c>
      <c r="C3259" s="83" t="s">
        <v>4943</v>
      </c>
      <c r="D3259" s="83"/>
      <c r="E3259" s="83" t="s">
        <v>4940</v>
      </c>
      <c r="F3259" s="82" t="s">
        <v>78</v>
      </c>
      <c r="G3259" s="82">
        <v>2</v>
      </c>
      <c r="H3259" s="82"/>
      <c r="I3259" s="138">
        <f t="shared" si="137"/>
        <v>0</v>
      </c>
      <c r="J3259" s="82"/>
      <c r="K3259" s="83"/>
    </row>
    <row r="3260" spans="1:11" ht="51" customHeight="1" x14ac:dyDescent="0.25">
      <c r="A3260" s="82" t="s">
        <v>4944</v>
      </c>
      <c r="B3260" s="83" t="s">
        <v>4945</v>
      </c>
      <c r="C3260" s="83" t="s">
        <v>4946</v>
      </c>
      <c r="D3260" s="83"/>
      <c r="E3260" s="83" t="s">
        <v>4940</v>
      </c>
      <c r="F3260" s="82" t="s">
        <v>78</v>
      </c>
      <c r="G3260" s="82">
        <v>1</v>
      </c>
      <c r="H3260" s="82"/>
      <c r="I3260" s="138">
        <f t="shared" si="137"/>
        <v>0</v>
      </c>
      <c r="J3260" s="82"/>
      <c r="K3260" s="83"/>
    </row>
    <row r="3261" spans="1:11" ht="27" customHeight="1" x14ac:dyDescent="0.25">
      <c r="A3261" s="82" t="s">
        <v>4236</v>
      </c>
      <c r="B3261" s="83" t="s">
        <v>4947</v>
      </c>
      <c r="C3261" s="83"/>
      <c r="D3261" s="83"/>
      <c r="E3261" s="83" t="s">
        <v>4940</v>
      </c>
      <c r="F3261" s="82" t="s">
        <v>78</v>
      </c>
      <c r="G3261" s="82">
        <v>1</v>
      </c>
      <c r="H3261" s="82"/>
      <c r="I3261" s="138">
        <f t="shared" si="137"/>
        <v>0</v>
      </c>
      <c r="J3261" s="82"/>
      <c r="K3261" s="83"/>
    </row>
    <row r="3262" spans="1:11" ht="39" customHeight="1" x14ac:dyDescent="0.25">
      <c r="A3262" s="82" t="s">
        <v>4948</v>
      </c>
      <c r="B3262" s="83" t="s">
        <v>4949</v>
      </c>
      <c r="C3262" s="83"/>
      <c r="D3262" s="83"/>
      <c r="E3262" s="83" t="s">
        <v>4228</v>
      </c>
      <c r="F3262" s="82" t="s">
        <v>78</v>
      </c>
      <c r="G3262" s="82">
        <v>1</v>
      </c>
      <c r="H3262" s="82"/>
      <c r="I3262" s="138">
        <f t="shared" si="137"/>
        <v>0</v>
      </c>
      <c r="J3262" s="82"/>
      <c r="K3262" s="83" t="s">
        <v>4950</v>
      </c>
    </row>
    <row r="3263" spans="1:11" ht="27" customHeight="1" x14ac:dyDescent="0.25">
      <c r="A3263" s="82" t="s">
        <v>4951</v>
      </c>
      <c r="B3263" s="83" t="s">
        <v>4952</v>
      </c>
      <c r="C3263" s="83" t="s">
        <v>4953</v>
      </c>
      <c r="D3263" s="83"/>
      <c r="E3263" s="83" t="s">
        <v>4954</v>
      </c>
      <c r="F3263" s="82" t="s">
        <v>78</v>
      </c>
      <c r="G3263" s="82">
        <v>1</v>
      </c>
      <c r="H3263" s="82"/>
      <c r="I3263" s="138">
        <f t="shared" si="137"/>
        <v>0</v>
      </c>
      <c r="J3263" s="82"/>
      <c r="K3263" s="83"/>
    </row>
    <row r="3264" spans="1:11" ht="39" customHeight="1" x14ac:dyDescent="0.25">
      <c r="A3264" s="82" t="s">
        <v>4955</v>
      </c>
      <c r="B3264" s="83" t="s">
        <v>4956</v>
      </c>
      <c r="C3264" s="83"/>
      <c r="D3264" s="83"/>
      <c r="E3264" s="83" t="s">
        <v>4228</v>
      </c>
      <c r="F3264" s="82" t="s">
        <v>78</v>
      </c>
      <c r="G3264" s="82">
        <v>1</v>
      </c>
      <c r="H3264" s="82"/>
      <c r="I3264" s="138">
        <f t="shared" si="137"/>
        <v>0</v>
      </c>
      <c r="J3264" s="82"/>
      <c r="K3264" s="83" t="s">
        <v>4950</v>
      </c>
    </row>
    <row r="3265" spans="1:11" ht="27" customHeight="1" x14ac:dyDescent="0.25">
      <c r="A3265" s="82" t="s">
        <v>4957</v>
      </c>
      <c r="B3265" s="83" t="s">
        <v>4958</v>
      </c>
      <c r="C3265" s="83"/>
      <c r="D3265" s="83"/>
      <c r="E3265" s="83" t="s">
        <v>4228</v>
      </c>
      <c r="F3265" s="82" t="s">
        <v>78</v>
      </c>
      <c r="G3265" s="82">
        <v>1</v>
      </c>
      <c r="H3265" s="82"/>
      <c r="I3265" s="138">
        <f t="shared" si="137"/>
        <v>0</v>
      </c>
      <c r="J3265" s="82"/>
      <c r="K3265" s="83"/>
    </row>
    <row r="3266" spans="1:11" ht="27" customHeight="1" x14ac:dyDescent="0.25">
      <c r="A3266" s="82" t="s">
        <v>4959</v>
      </c>
      <c r="B3266" s="83" t="s">
        <v>4960</v>
      </c>
      <c r="C3266" s="83"/>
      <c r="D3266" s="83"/>
      <c r="E3266" s="83" t="s">
        <v>4228</v>
      </c>
      <c r="F3266" s="82" t="s">
        <v>78</v>
      </c>
      <c r="G3266" s="82">
        <v>1</v>
      </c>
      <c r="H3266" s="82"/>
      <c r="I3266" s="138">
        <f t="shared" si="137"/>
        <v>0</v>
      </c>
      <c r="J3266" s="82"/>
      <c r="K3266" s="83"/>
    </row>
    <row r="3267" spans="1:11" ht="15" customHeight="1" x14ac:dyDescent="0.25">
      <c r="A3267" s="82" t="s">
        <v>4961</v>
      </c>
      <c r="B3267" s="83" t="s">
        <v>4962</v>
      </c>
      <c r="C3267" s="83"/>
      <c r="D3267" s="83"/>
      <c r="E3267" s="83" t="s">
        <v>4954</v>
      </c>
      <c r="F3267" s="82" t="s">
        <v>78</v>
      </c>
      <c r="G3267" s="82">
        <v>1</v>
      </c>
      <c r="H3267" s="82"/>
      <c r="I3267" s="138">
        <f t="shared" si="137"/>
        <v>0</v>
      </c>
      <c r="J3267" s="82"/>
      <c r="K3267" s="83"/>
    </row>
    <row r="3268" spans="1:11" ht="15" customHeight="1" x14ac:dyDescent="0.25">
      <c r="A3268" s="82" t="s">
        <v>4963</v>
      </c>
      <c r="B3268" s="83" t="s">
        <v>4964</v>
      </c>
      <c r="C3268" s="83"/>
      <c r="D3268" s="83"/>
      <c r="E3268" s="83" t="s">
        <v>4940</v>
      </c>
      <c r="F3268" s="82" t="s">
        <v>78</v>
      </c>
      <c r="G3268" s="82">
        <v>15</v>
      </c>
      <c r="H3268" s="82"/>
      <c r="I3268" s="138">
        <f t="shared" si="137"/>
        <v>0</v>
      </c>
      <c r="J3268" s="82"/>
      <c r="K3268" s="83"/>
    </row>
    <row r="3269" spans="1:11" ht="27" customHeight="1" x14ac:dyDescent="0.25">
      <c r="A3269" s="82" t="s">
        <v>4965</v>
      </c>
      <c r="B3269" s="83" t="s">
        <v>4966</v>
      </c>
      <c r="C3269" s="83"/>
      <c r="D3269" s="83"/>
      <c r="E3269" s="83" t="s">
        <v>4967</v>
      </c>
      <c r="F3269" s="82" t="s">
        <v>78</v>
      </c>
      <c r="G3269" s="82">
        <v>4</v>
      </c>
      <c r="H3269" s="82"/>
      <c r="I3269" s="138">
        <f t="shared" si="137"/>
        <v>0</v>
      </c>
      <c r="J3269" s="82"/>
      <c r="K3269" s="83"/>
    </row>
    <row r="3270" spans="1:11" ht="27" customHeight="1" x14ac:dyDescent="0.25">
      <c r="A3270" s="82" t="s">
        <v>4968</v>
      </c>
      <c r="B3270" s="83" t="s">
        <v>4969</v>
      </c>
      <c r="C3270" s="83"/>
      <c r="D3270" s="83"/>
      <c r="E3270" s="83" t="s">
        <v>4940</v>
      </c>
      <c r="F3270" s="82" t="s">
        <v>78</v>
      </c>
      <c r="G3270" s="82">
        <v>4</v>
      </c>
      <c r="H3270" s="82"/>
      <c r="I3270" s="138">
        <f t="shared" si="137"/>
        <v>0</v>
      </c>
      <c r="J3270" s="82" t="s">
        <v>4568</v>
      </c>
      <c r="K3270" s="83"/>
    </row>
    <row r="3271" spans="1:11" ht="15" customHeight="1" x14ac:dyDescent="0.25">
      <c r="A3271" s="82" t="s">
        <v>4970</v>
      </c>
      <c r="B3271" s="83" t="s">
        <v>4971</v>
      </c>
      <c r="C3271" s="83"/>
      <c r="D3271" s="83"/>
      <c r="E3271" s="83" t="s">
        <v>4972</v>
      </c>
      <c r="F3271" s="82" t="s">
        <v>78</v>
      </c>
      <c r="G3271" s="82">
        <v>12</v>
      </c>
      <c r="H3271" s="82"/>
      <c r="I3271" s="138">
        <f t="shared" si="137"/>
        <v>0</v>
      </c>
      <c r="J3271" s="82" t="s">
        <v>4973</v>
      </c>
      <c r="K3271" s="83"/>
    </row>
    <row r="3272" spans="1:11" ht="27" customHeight="1" x14ac:dyDescent="0.25">
      <c r="A3272" s="82" t="s">
        <v>4974</v>
      </c>
      <c r="B3272" s="83" t="s">
        <v>4975</v>
      </c>
      <c r="C3272" s="83"/>
      <c r="D3272" s="83"/>
      <c r="E3272" s="83" t="s">
        <v>4972</v>
      </c>
      <c r="F3272" s="82" t="s">
        <v>78</v>
      </c>
      <c r="G3272" s="82">
        <v>20</v>
      </c>
      <c r="H3272" s="82"/>
      <c r="I3272" s="138">
        <f t="shared" si="137"/>
        <v>0</v>
      </c>
      <c r="J3272" s="82" t="s">
        <v>4976</v>
      </c>
      <c r="K3272" s="83"/>
    </row>
    <row r="3273" spans="1:11" ht="39" customHeight="1" x14ac:dyDescent="0.25">
      <c r="A3273" s="82" t="s">
        <v>4977</v>
      </c>
      <c r="B3273" s="83" t="s">
        <v>4978</v>
      </c>
      <c r="C3273" s="83"/>
      <c r="D3273" s="83"/>
      <c r="E3273" s="83" t="s">
        <v>4979</v>
      </c>
      <c r="F3273" s="82" t="s">
        <v>78</v>
      </c>
      <c r="G3273" s="82">
        <v>4</v>
      </c>
      <c r="H3273" s="82"/>
      <c r="I3273" s="138">
        <f t="shared" si="137"/>
        <v>0</v>
      </c>
      <c r="J3273" s="82" t="s">
        <v>4980</v>
      </c>
      <c r="K3273" s="83" t="s">
        <v>4950</v>
      </c>
    </row>
    <row r="3274" spans="1:11" ht="75" customHeight="1" x14ac:dyDescent="0.25">
      <c r="A3274" s="82" t="s">
        <v>4981</v>
      </c>
      <c r="B3274" s="83" t="s">
        <v>4982</v>
      </c>
      <c r="C3274" s="83"/>
      <c r="D3274" s="83"/>
      <c r="E3274" s="83" t="s">
        <v>4983</v>
      </c>
      <c r="F3274" s="82" t="s">
        <v>78</v>
      </c>
      <c r="G3274" s="82">
        <v>2</v>
      </c>
      <c r="H3274" s="82"/>
      <c r="I3274" s="138">
        <f t="shared" si="137"/>
        <v>0</v>
      </c>
      <c r="J3274" s="82"/>
      <c r="K3274" s="83"/>
    </row>
    <row r="3275" spans="1:11" ht="39" customHeight="1" x14ac:dyDescent="0.25">
      <c r="A3275" s="82" t="s">
        <v>4984</v>
      </c>
      <c r="B3275" s="83" t="s">
        <v>4985</v>
      </c>
      <c r="C3275" s="83" t="s">
        <v>4986</v>
      </c>
      <c r="D3275" s="83" t="s">
        <v>4987</v>
      </c>
      <c r="E3275" s="83" t="s">
        <v>4228</v>
      </c>
      <c r="F3275" s="82" t="s">
        <v>78</v>
      </c>
      <c r="G3275" s="82">
        <v>1</v>
      </c>
      <c r="H3275" s="82">
        <v>193050</v>
      </c>
      <c r="I3275" s="138">
        <f t="shared" si="137"/>
        <v>193050</v>
      </c>
      <c r="J3275" s="82"/>
      <c r="K3275" s="83"/>
    </row>
    <row r="3276" spans="1:11" ht="27" customHeight="1" x14ac:dyDescent="0.25">
      <c r="A3276" s="82" t="s">
        <v>375</v>
      </c>
      <c r="B3276" s="83" t="s">
        <v>4988</v>
      </c>
      <c r="C3276" s="83" t="s">
        <v>4989</v>
      </c>
      <c r="D3276" s="83"/>
      <c r="E3276" s="83" t="s">
        <v>4228</v>
      </c>
      <c r="F3276" s="82" t="s">
        <v>78</v>
      </c>
      <c r="G3276" s="82">
        <v>1</v>
      </c>
      <c r="H3276" s="82"/>
      <c r="I3276" s="138">
        <f t="shared" si="137"/>
        <v>0</v>
      </c>
      <c r="J3276" s="82"/>
      <c r="K3276" s="83"/>
    </row>
    <row r="3277" spans="1:11" ht="27" customHeight="1" x14ac:dyDescent="0.25">
      <c r="A3277" s="82" t="s">
        <v>4242</v>
      </c>
      <c r="B3277" s="83" t="s">
        <v>4313</v>
      </c>
      <c r="C3277" s="83" t="s">
        <v>4282</v>
      </c>
      <c r="D3277" s="83"/>
      <c r="E3277" s="83" t="s">
        <v>4228</v>
      </c>
      <c r="F3277" s="82" t="s">
        <v>78</v>
      </c>
      <c r="G3277" s="82">
        <v>23</v>
      </c>
      <c r="H3277" s="82">
        <v>1950</v>
      </c>
      <c r="I3277" s="138">
        <f t="shared" si="137"/>
        <v>44850</v>
      </c>
      <c r="J3277" s="82"/>
      <c r="K3277" s="83" t="s">
        <v>4246</v>
      </c>
    </row>
    <row r="3278" spans="1:11" ht="15" customHeight="1" x14ac:dyDescent="0.25">
      <c r="A3278" s="82" t="s">
        <v>4236</v>
      </c>
      <c r="B3278" s="83" t="s">
        <v>4990</v>
      </c>
      <c r="C3278" s="83"/>
      <c r="D3278" s="83"/>
      <c r="E3278" s="83" t="s">
        <v>4228</v>
      </c>
      <c r="F3278" s="82" t="s">
        <v>78</v>
      </c>
      <c r="G3278" s="82">
        <v>1</v>
      </c>
      <c r="H3278" s="82"/>
      <c r="I3278" s="138">
        <f t="shared" si="137"/>
        <v>0</v>
      </c>
      <c r="J3278" s="82"/>
      <c r="K3278" s="83"/>
    </row>
    <row r="3279" spans="1:11" ht="15" customHeight="1" x14ac:dyDescent="0.25">
      <c r="A3279" s="82" t="s">
        <v>4991</v>
      </c>
      <c r="B3279" s="83" t="s">
        <v>4992</v>
      </c>
      <c r="C3279" s="83"/>
      <c r="D3279" s="83"/>
      <c r="E3279" s="83" t="s">
        <v>4228</v>
      </c>
      <c r="F3279" s="82" t="s">
        <v>78</v>
      </c>
      <c r="G3279" s="82">
        <v>4</v>
      </c>
      <c r="H3279" s="82"/>
      <c r="I3279" s="138">
        <f t="shared" si="137"/>
        <v>0</v>
      </c>
      <c r="J3279" s="82"/>
      <c r="K3279" s="83"/>
    </row>
    <row r="3280" spans="1:11" ht="27" customHeight="1" x14ac:dyDescent="0.25">
      <c r="A3280" s="82" t="s">
        <v>4993</v>
      </c>
      <c r="B3280" s="83" t="s">
        <v>4994</v>
      </c>
      <c r="C3280" s="83"/>
      <c r="D3280" s="83"/>
      <c r="E3280" s="83" t="s">
        <v>4228</v>
      </c>
      <c r="F3280" s="82" t="s">
        <v>78</v>
      </c>
      <c r="G3280" s="82">
        <v>2</v>
      </c>
      <c r="H3280" s="82"/>
      <c r="I3280" s="138">
        <f t="shared" si="137"/>
        <v>0</v>
      </c>
      <c r="J3280" s="82"/>
      <c r="K3280" s="83"/>
    </row>
    <row r="3281" spans="1:11" ht="15" customHeight="1" x14ac:dyDescent="0.25">
      <c r="A3281" s="82" t="s">
        <v>4995</v>
      </c>
      <c r="B3281" s="83" t="s">
        <v>4996</v>
      </c>
      <c r="C3281" s="83"/>
      <c r="D3281" s="83"/>
      <c r="E3281" s="83" t="s">
        <v>4228</v>
      </c>
      <c r="F3281" s="82" t="s">
        <v>78</v>
      </c>
      <c r="G3281" s="82">
        <v>3</v>
      </c>
      <c r="H3281" s="82"/>
      <c r="I3281" s="138">
        <f t="shared" si="137"/>
        <v>0</v>
      </c>
      <c r="J3281" s="82"/>
      <c r="K3281" s="83"/>
    </row>
    <row r="3282" spans="1:11" ht="15" customHeight="1" x14ac:dyDescent="0.25">
      <c r="A3282" s="82" t="s">
        <v>4997</v>
      </c>
      <c r="B3282" s="83" t="s">
        <v>4998</v>
      </c>
      <c r="C3282" s="83"/>
      <c r="D3282" s="83"/>
      <c r="E3282" s="83" t="s">
        <v>4228</v>
      </c>
      <c r="F3282" s="82" t="s">
        <v>78</v>
      </c>
      <c r="G3282" s="82">
        <v>1</v>
      </c>
      <c r="H3282" s="82"/>
      <c r="I3282" s="138">
        <f t="shared" si="137"/>
        <v>0</v>
      </c>
      <c r="J3282" s="82"/>
      <c r="K3282" s="83"/>
    </row>
    <row r="3283" spans="1:11" ht="51" customHeight="1" x14ac:dyDescent="0.25">
      <c r="A3283" s="82" t="s">
        <v>4236</v>
      </c>
      <c r="B3283" s="83" t="s">
        <v>4999</v>
      </c>
      <c r="C3283" s="83"/>
      <c r="D3283" s="83"/>
      <c r="E3283" s="83" t="s">
        <v>4228</v>
      </c>
      <c r="F3283" s="82" t="s">
        <v>78</v>
      </c>
      <c r="G3283" s="82">
        <v>5</v>
      </c>
      <c r="H3283" s="82"/>
      <c r="I3283" s="138">
        <f t="shared" si="137"/>
        <v>0</v>
      </c>
      <c r="J3283" s="82"/>
      <c r="K3283" s="83"/>
    </row>
    <row r="3284" spans="1:11" ht="27" customHeight="1" x14ac:dyDescent="0.25">
      <c r="A3284" s="82" t="s">
        <v>4236</v>
      </c>
      <c r="B3284" s="83" t="s">
        <v>5000</v>
      </c>
      <c r="C3284" s="83"/>
      <c r="D3284" s="83"/>
      <c r="E3284" s="83" t="s">
        <v>4228</v>
      </c>
      <c r="F3284" s="82" t="s">
        <v>576</v>
      </c>
      <c r="G3284" s="82">
        <v>430</v>
      </c>
      <c r="H3284" s="82"/>
      <c r="I3284" s="138">
        <f t="shared" si="137"/>
        <v>0</v>
      </c>
      <c r="J3284" s="82"/>
      <c r="K3284" s="83"/>
    </row>
    <row r="3285" spans="1:11" ht="39" customHeight="1" x14ac:dyDescent="0.25">
      <c r="A3285" s="82" t="s">
        <v>4236</v>
      </c>
      <c r="B3285" s="83" t="s">
        <v>5001</v>
      </c>
      <c r="C3285" s="83"/>
      <c r="D3285" s="83"/>
      <c r="E3285" s="83" t="s">
        <v>4228</v>
      </c>
      <c r="F3285" s="82" t="s">
        <v>78</v>
      </c>
      <c r="G3285" s="82">
        <v>40</v>
      </c>
      <c r="H3285" s="82"/>
      <c r="I3285" s="138">
        <f t="shared" si="137"/>
        <v>0</v>
      </c>
      <c r="J3285" s="82"/>
      <c r="K3285" s="83"/>
    </row>
    <row r="3286" spans="1:11" ht="15" customHeight="1" x14ac:dyDescent="0.25">
      <c r="A3286" s="80" t="s">
        <v>5002</v>
      </c>
      <c r="B3286" s="80" t="s">
        <v>5003</v>
      </c>
      <c r="C3286" s="80"/>
      <c r="D3286" s="80"/>
      <c r="E3286" s="80"/>
      <c r="F3286" s="80"/>
      <c r="G3286" s="81"/>
      <c r="H3286" s="80"/>
      <c r="I3286" s="137"/>
      <c r="J3286" s="80"/>
      <c r="K3286" s="80"/>
    </row>
    <row r="3287" spans="1:11" ht="27" customHeight="1" x14ac:dyDescent="0.25">
      <c r="A3287" s="82" t="s">
        <v>4257</v>
      </c>
      <c r="B3287" s="83" t="s">
        <v>4258</v>
      </c>
      <c r="C3287" s="83"/>
      <c r="D3287" s="83"/>
      <c r="E3287" s="83" t="s">
        <v>4228</v>
      </c>
      <c r="F3287" s="82" t="s">
        <v>78</v>
      </c>
      <c r="G3287" s="82">
        <v>4</v>
      </c>
      <c r="H3287" s="82"/>
      <c r="I3287" s="138">
        <f>H3287*G3287</f>
        <v>0</v>
      </c>
      <c r="J3287" s="82"/>
      <c r="K3287" s="83"/>
    </row>
    <row r="3288" spans="1:11" ht="39" customHeight="1" x14ac:dyDescent="0.25">
      <c r="A3288" s="82" t="s">
        <v>4421</v>
      </c>
      <c r="B3288" s="83" t="s">
        <v>4422</v>
      </c>
      <c r="C3288" s="83" t="s">
        <v>4423</v>
      </c>
      <c r="D3288" s="83"/>
      <c r="E3288" s="83" t="s">
        <v>4228</v>
      </c>
      <c r="F3288" s="82" t="s">
        <v>78</v>
      </c>
      <c r="G3288" s="82">
        <v>2</v>
      </c>
      <c r="H3288" s="82"/>
      <c r="I3288" s="138">
        <f>H3288*G3288</f>
        <v>0</v>
      </c>
      <c r="J3288" s="82"/>
      <c r="K3288" s="83" t="s">
        <v>5004</v>
      </c>
    </row>
    <row r="3289" spans="1:11" ht="15" customHeight="1" x14ac:dyDescent="0.25">
      <c r="A3289" s="80" t="s">
        <v>5005</v>
      </c>
      <c r="B3289" s="80" t="s">
        <v>5006</v>
      </c>
      <c r="C3289" s="80"/>
      <c r="D3289" s="80"/>
      <c r="E3289" s="80"/>
      <c r="F3289" s="80"/>
      <c r="G3289" s="81"/>
      <c r="H3289" s="80"/>
      <c r="I3289" s="137"/>
      <c r="J3289" s="80"/>
      <c r="K3289" s="80"/>
    </row>
    <row r="3290" spans="1:11" ht="27" customHeight="1" x14ac:dyDescent="0.25">
      <c r="A3290" s="82" t="s">
        <v>4310</v>
      </c>
      <c r="B3290" s="83" t="s">
        <v>4311</v>
      </c>
      <c r="C3290" s="83" t="s">
        <v>4312</v>
      </c>
      <c r="D3290" s="83"/>
      <c r="E3290" s="83" t="s">
        <v>6885</v>
      </c>
      <c r="F3290" s="82" t="s">
        <v>78</v>
      </c>
      <c r="G3290" s="82">
        <v>1</v>
      </c>
      <c r="H3290" s="82"/>
      <c r="I3290" s="138">
        <f t="shared" ref="I3290:I3296" si="138">H3290*G3290</f>
        <v>0</v>
      </c>
      <c r="J3290" s="82"/>
      <c r="K3290" s="83"/>
    </row>
    <row r="3291" spans="1:11" ht="27" customHeight="1" x14ac:dyDescent="0.25">
      <c r="A3291" s="82" t="s">
        <v>4242</v>
      </c>
      <c r="B3291" s="83" t="s">
        <v>4313</v>
      </c>
      <c r="C3291" s="83" t="s">
        <v>4282</v>
      </c>
      <c r="D3291" s="83"/>
      <c r="E3291" s="83" t="s">
        <v>6885</v>
      </c>
      <c r="F3291" s="82" t="s">
        <v>78</v>
      </c>
      <c r="G3291" s="82">
        <v>1</v>
      </c>
      <c r="H3291" s="82">
        <v>1950</v>
      </c>
      <c r="I3291" s="138">
        <f t="shared" si="138"/>
        <v>1950</v>
      </c>
      <c r="J3291" s="82"/>
      <c r="K3291" s="83" t="s">
        <v>4246</v>
      </c>
    </row>
    <row r="3292" spans="1:11" ht="39" customHeight="1" x14ac:dyDescent="0.25">
      <c r="A3292" s="82" t="s">
        <v>5007</v>
      </c>
      <c r="B3292" s="83" t="s">
        <v>5008</v>
      </c>
      <c r="C3292" s="83"/>
      <c r="D3292" s="83"/>
      <c r="E3292" s="83" t="s">
        <v>110</v>
      </c>
      <c r="F3292" s="82" t="s">
        <v>78</v>
      </c>
      <c r="G3292" s="82">
        <v>16</v>
      </c>
      <c r="H3292" s="82">
        <v>15000</v>
      </c>
      <c r="I3292" s="138">
        <f t="shared" si="138"/>
        <v>240000</v>
      </c>
      <c r="J3292" s="82"/>
      <c r="K3292" s="83"/>
    </row>
    <row r="3293" spans="1:11" ht="51" customHeight="1" x14ac:dyDescent="0.25">
      <c r="A3293" s="82" t="s">
        <v>5009</v>
      </c>
      <c r="B3293" s="83" t="s">
        <v>5010</v>
      </c>
      <c r="C3293" s="83"/>
      <c r="D3293" s="83"/>
      <c r="E3293" s="83" t="s">
        <v>110</v>
      </c>
      <c r="F3293" s="82" t="s">
        <v>78</v>
      </c>
      <c r="G3293" s="82">
        <v>5</v>
      </c>
      <c r="H3293" s="82"/>
      <c r="I3293" s="138">
        <f t="shared" si="138"/>
        <v>0</v>
      </c>
      <c r="J3293" s="82"/>
      <c r="K3293" s="83"/>
    </row>
    <row r="3294" spans="1:11" ht="15" customHeight="1" x14ac:dyDescent="0.25">
      <c r="A3294" s="82" t="s">
        <v>5011</v>
      </c>
      <c r="B3294" s="83" t="s">
        <v>5012</v>
      </c>
      <c r="C3294" s="83"/>
      <c r="D3294" s="83"/>
      <c r="E3294" s="83" t="s">
        <v>110</v>
      </c>
      <c r="F3294" s="82" t="s">
        <v>78</v>
      </c>
      <c r="G3294" s="82">
        <v>5</v>
      </c>
      <c r="H3294" s="82"/>
      <c r="I3294" s="138">
        <f t="shared" si="138"/>
        <v>0</v>
      </c>
      <c r="J3294" s="82"/>
      <c r="K3294" s="83"/>
    </row>
    <row r="3295" spans="1:11" ht="15" customHeight="1" x14ac:dyDescent="0.25">
      <c r="A3295" s="82" t="s">
        <v>4236</v>
      </c>
      <c r="B3295" s="83" t="s">
        <v>5013</v>
      </c>
      <c r="C3295" s="83"/>
      <c r="D3295" s="83"/>
      <c r="E3295" s="83" t="s">
        <v>110</v>
      </c>
      <c r="F3295" s="82" t="s">
        <v>78</v>
      </c>
      <c r="G3295" s="82">
        <v>1</v>
      </c>
      <c r="H3295" s="82"/>
      <c r="I3295" s="138">
        <f t="shared" si="138"/>
        <v>0</v>
      </c>
      <c r="J3295" s="82"/>
      <c r="K3295" s="83"/>
    </row>
    <row r="3296" spans="1:11" ht="15" customHeight="1" x14ac:dyDescent="0.25">
      <c r="A3296" s="82" t="s">
        <v>4236</v>
      </c>
      <c r="B3296" s="83" t="s">
        <v>5014</v>
      </c>
      <c r="C3296" s="83"/>
      <c r="D3296" s="83"/>
      <c r="E3296" s="83" t="s">
        <v>110</v>
      </c>
      <c r="F3296" s="82" t="s">
        <v>78</v>
      </c>
      <c r="G3296" s="82">
        <v>48</v>
      </c>
      <c r="H3296" s="82">
        <v>5540</v>
      </c>
      <c r="I3296" s="138">
        <f t="shared" si="138"/>
        <v>265920</v>
      </c>
      <c r="J3296" s="82"/>
      <c r="K3296" s="83"/>
    </row>
    <row r="3297" spans="1:11" ht="15" customHeight="1" x14ac:dyDescent="0.25">
      <c r="A3297" s="80" t="s">
        <v>5015</v>
      </c>
      <c r="B3297" s="80" t="s">
        <v>5003</v>
      </c>
      <c r="C3297" s="80"/>
      <c r="D3297" s="80"/>
      <c r="E3297" s="80"/>
      <c r="F3297" s="80"/>
      <c r="G3297" s="81"/>
      <c r="H3297" s="80"/>
      <c r="I3297" s="137"/>
      <c r="J3297" s="80"/>
      <c r="K3297" s="80"/>
    </row>
    <row r="3298" spans="1:11" ht="27" customHeight="1" x14ac:dyDescent="0.25">
      <c r="A3298" s="82" t="s">
        <v>4257</v>
      </c>
      <c r="B3298" s="83" t="s">
        <v>5016</v>
      </c>
      <c r="C3298" s="83"/>
      <c r="D3298" s="83"/>
      <c r="E3298" s="83" t="s">
        <v>110</v>
      </c>
      <c r="F3298" s="82" t="s">
        <v>78</v>
      </c>
      <c r="G3298" s="82">
        <v>4</v>
      </c>
      <c r="H3298" s="82"/>
      <c r="I3298" s="138">
        <f>H3298*G3298</f>
        <v>0</v>
      </c>
      <c r="J3298" s="82"/>
      <c r="K3298" s="83"/>
    </row>
    <row r="3299" spans="1:11" ht="15" customHeight="1" x14ac:dyDescent="0.25">
      <c r="A3299" s="82" t="s">
        <v>4236</v>
      </c>
      <c r="B3299" s="83" t="s">
        <v>5017</v>
      </c>
      <c r="C3299" s="83"/>
      <c r="D3299" s="83"/>
      <c r="E3299" s="83" t="s">
        <v>110</v>
      </c>
      <c r="F3299" s="82" t="s">
        <v>78</v>
      </c>
      <c r="G3299" s="82">
        <v>10</v>
      </c>
      <c r="H3299" s="82"/>
      <c r="I3299" s="138">
        <f>H3299*G3299</f>
        <v>0</v>
      </c>
      <c r="J3299" s="82"/>
      <c r="K3299" s="83"/>
    </row>
    <row r="3300" spans="1:11" ht="15" customHeight="1" x14ac:dyDescent="0.25">
      <c r="A3300" s="82" t="s">
        <v>4236</v>
      </c>
      <c r="B3300" s="83" t="s">
        <v>5018</v>
      </c>
      <c r="C3300" s="83"/>
      <c r="D3300" s="83"/>
      <c r="E3300" s="83" t="s">
        <v>110</v>
      </c>
      <c r="F3300" s="82" t="s">
        <v>78</v>
      </c>
      <c r="G3300" s="82">
        <v>25</v>
      </c>
      <c r="H3300" s="82"/>
      <c r="I3300" s="138">
        <f>H3300*G3300</f>
        <v>0</v>
      </c>
      <c r="J3300" s="82"/>
      <c r="K3300" s="83"/>
    </row>
    <row r="3301" spans="1:11" ht="15" customHeight="1" x14ac:dyDescent="0.25">
      <c r="A3301" s="82" t="s">
        <v>4236</v>
      </c>
      <c r="B3301" s="83" t="s">
        <v>5019</v>
      </c>
      <c r="C3301" s="83"/>
      <c r="D3301" s="83"/>
      <c r="E3301" s="83" t="s">
        <v>110</v>
      </c>
      <c r="F3301" s="82" t="s">
        <v>78</v>
      </c>
      <c r="G3301" s="82">
        <v>25</v>
      </c>
      <c r="H3301" s="82"/>
      <c r="I3301" s="138">
        <f>H3301*G3301</f>
        <v>0</v>
      </c>
      <c r="J3301" s="82"/>
      <c r="K3301" s="83"/>
    </row>
    <row r="3302" spans="1:11" ht="15" customHeight="1" x14ac:dyDescent="0.25">
      <c r="A3302" s="80" t="s">
        <v>5020</v>
      </c>
      <c r="B3302" s="80" t="s">
        <v>5021</v>
      </c>
      <c r="C3302" s="80"/>
      <c r="D3302" s="80"/>
      <c r="E3302" s="80"/>
      <c r="F3302" s="80"/>
      <c r="G3302" s="81"/>
      <c r="H3302" s="80"/>
      <c r="I3302" s="137"/>
      <c r="J3302" s="80"/>
      <c r="K3302" s="80"/>
    </row>
    <row r="3303" spans="1:11" ht="39" customHeight="1" x14ac:dyDescent="0.25">
      <c r="A3303" s="82" t="s">
        <v>4482</v>
      </c>
      <c r="B3303" s="83" t="s">
        <v>5022</v>
      </c>
      <c r="C3303" s="83"/>
      <c r="D3303" s="83"/>
      <c r="E3303" s="83" t="s">
        <v>4228</v>
      </c>
      <c r="F3303" s="82" t="s">
        <v>78</v>
      </c>
      <c r="G3303" s="82">
        <v>8</v>
      </c>
      <c r="H3303" s="82"/>
      <c r="I3303" s="138">
        <f>H3303*G3303</f>
        <v>0</v>
      </c>
      <c r="J3303" s="82"/>
      <c r="K3303" s="83"/>
    </row>
    <row r="3304" spans="1:11" ht="15" customHeight="1" x14ac:dyDescent="0.25">
      <c r="A3304" s="82" t="s">
        <v>4484</v>
      </c>
      <c r="B3304" s="83" t="s">
        <v>4485</v>
      </c>
      <c r="C3304" s="83"/>
      <c r="D3304" s="83"/>
      <c r="E3304" s="83" t="s">
        <v>4228</v>
      </c>
      <c r="F3304" s="82" t="s">
        <v>78</v>
      </c>
      <c r="G3304" s="82">
        <v>4</v>
      </c>
      <c r="H3304" s="82"/>
      <c r="I3304" s="138">
        <f>H3304*G3304</f>
        <v>0</v>
      </c>
      <c r="J3304" s="82"/>
      <c r="K3304" s="83"/>
    </row>
    <row r="3305" spans="1:11" ht="39" customHeight="1" x14ac:dyDescent="0.25">
      <c r="A3305" s="82" t="s">
        <v>4486</v>
      </c>
      <c r="B3305" s="83" t="s">
        <v>4487</v>
      </c>
      <c r="C3305" s="83"/>
      <c r="D3305" s="83"/>
      <c r="E3305" s="83" t="s">
        <v>4228</v>
      </c>
      <c r="F3305" s="82" t="s">
        <v>78</v>
      </c>
      <c r="G3305" s="82">
        <v>1</v>
      </c>
      <c r="H3305" s="82">
        <v>9600</v>
      </c>
      <c r="I3305" s="138">
        <f>H3305*G3305</f>
        <v>9600</v>
      </c>
      <c r="J3305" s="82"/>
      <c r="K3305" s="83"/>
    </row>
    <row r="3306" spans="1:11" ht="15" customHeight="1" x14ac:dyDescent="0.25">
      <c r="A3306" s="82" t="s">
        <v>4236</v>
      </c>
      <c r="B3306" s="83" t="s">
        <v>4334</v>
      </c>
      <c r="C3306" s="83"/>
      <c r="D3306" s="83"/>
      <c r="E3306" s="83" t="s">
        <v>4228</v>
      </c>
      <c r="F3306" s="82" t="s">
        <v>78</v>
      </c>
      <c r="G3306" s="82">
        <v>2</v>
      </c>
      <c r="H3306" s="82">
        <v>4500</v>
      </c>
      <c r="I3306" s="138">
        <f>H3306*G3306</f>
        <v>9000</v>
      </c>
      <c r="J3306" s="82"/>
      <c r="K3306" s="83"/>
    </row>
    <row r="3307" spans="1:11" ht="15" customHeight="1" x14ac:dyDescent="0.25">
      <c r="A3307" s="82" t="s">
        <v>4236</v>
      </c>
      <c r="B3307" s="83" t="s">
        <v>4343</v>
      </c>
      <c r="C3307" s="83"/>
      <c r="D3307" s="83"/>
      <c r="E3307" s="83" t="s">
        <v>4228</v>
      </c>
      <c r="F3307" s="82" t="s">
        <v>78</v>
      </c>
      <c r="G3307" s="82">
        <v>4</v>
      </c>
      <c r="H3307" s="82">
        <v>1570</v>
      </c>
      <c r="I3307" s="138">
        <f>H3307*G3307</f>
        <v>6280</v>
      </c>
      <c r="J3307" s="82"/>
      <c r="K3307" s="83"/>
    </row>
    <row r="3308" spans="1:11" ht="15" customHeight="1" x14ac:dyDescent="0.25">
      <c r="A3308" s="80" t="s">
        <v>5023</v>
      </c>
      <c r="B3308" s="80" t="s">
        <v>5024</v>
      </c>
      <c r="C3308" s="80"/>
      <c r="D3308" s="80"/>
      <c r="E3308" s="80"/>
      <c r="F3308" s="80"/>
      <c r="G3308" s="81"/>
      <c r="H3308" s="80"/>
      <c r="I3308" s="137"/>
      <c r="J3308" s="80"/>
      <c r="K3308" s="80"/>
    </row>
    <row r="3309" spans="1:11" ht="27" customHeight="1" x14ac:dyDescent="0.25">
      <c r="A3309" s="82" t="s">
        <v>4236</v>
      </c>
      <c r="B3309" s="83" t="s">
        <v>4491</v>
      </c>
      <c r="C3309" s="83"/>
      <c r="D3309" s="83"/>
      <c r="E3309" s="83" t="s">
        <v>4228</v>
      </c>
      <c r="F3309" s="82" t="s">
        <v>78</v>
      </c>
      <c r="G3309" s="82">
        <v>1</v>
      </c>
      <c r="H3309" s="82">
        <v>16500</v>
      </c>
      <c r="I3309" s="138">
        <f t="shared" ref="I3309:I3314" si="139">H3309*G3309</f>
        <v>16500</v>
      </c>
      <c r="J3309" s="82"/>
      <c r="K3309" s="83"/>
    </row>
    <row r="3310" spans="1:11" ht="15" customHeight="1" x14ac:dyDescent="0.25">
      <c r="A3310" s="82" t="s">
        <v>4236</v>
      </c>
      <c r="B3310" s="83" t="s">
        <v>4334</v>
      </c>
      <c r="C3310" s="83"/>
      <c r="D3310" s="83"/>
      <c r="E3310" s="83" t="s">
        <v>4228</v>
      </c>
      <c r="F3310" s="82" t="s">
        <v>78</v>
      </c>
      <c r="G3310" s="82">
        <v>1</v>
      </c>
      <c r="H3310" s="82">
        <v>4500</v>
      </c>
      <c r="I3310" s="138">
        <f t="shared" si="139"/>
        <v>4500</v>
      </c>
      <c r="J3310" s="82"/>
      <c r="K3310" s="83"/>
    </row>
    <row r="3311" spans="1:11" ht="15" customHeight="1" x14ac:dyDescent="0.25">
      <c r="A3311" s="82" t="s">
        <v>4236</v>
      </c>
      <c r="B3311" s="83" t="s">
        <v>4389</v>
      </c>
      <c r="C3311" s="83"/>
      <c r="D3311" s="83"/>
      <c r="E3311" s="83" t="s">
        <v>4228</v>
      </c>
      <c r="F3311" s="82" t="s">
        <v>78</v>
      </c>
      <c r="G3311" s="82">
        <v>1</v>
      </c>
      <c r="H3311" s="82">
        <v>4090</v>
      </c>
      <c r="I3311" s="138">
        <f t="shared" si="139"/>
        <v>4090</v>
      </c>
      <c r="J3311" s="82"/>
      <c r="K3311" s="83"/>
    </row>
    <row r="3312" spans="1:11" ht="15" customHeight="1" x14ac:dyDescent="0.25">
      <c r="A3312" s="82" t="s">
        <v>4236</v>
      </c>
      <c r="B3312" s="83" t="s">
        <v>4492</v>
      </c>
      <c r="C3312" s="83"/>
      <c r="D3312" s="83"/>
      <c r="E3312" s="83" t="s">
        <v>4228</v>
      </c>
      <c r="F3312" s="82" t="s">
        <v>78</v>
      </c>
      <c r="G3312" s="82">
        <v>1</v>
      </c>
      <c r="H3312" s="82">
        <v>4720</v>
      </c>
      <c r="I3312" s="138">
        <f t="shared" si="139"/>
        <v>4720</v>
      </c>
      <c r="J3312" s="82"/>
      <c r="K3312" s="83"/>
    </row>
    <row r="3313" spans="1:11" ht="15" customHeight="1" x14ac:dyDescent="0.25">
      <c r="A3313" s="82" t="s">
        <v>4236</v>
      </c>
      <c r="B3313" s="83" t="s">
        <v>4493</v>
      </c>
      <c r="C3313" s="83"/>
      <c r="D3313" s="83"/>
      <c r="E3313" s="83" t="s">
        <v>4228</v>
      </c>
      <c r="F3313" s="82" t="s">
        <v>78</v>
      </c>
      <c r="G3313" s="82">
        <v>1</v>
      </c>
      <c r="H3313" s="82">
        <v>760</v>
      </c>
      <c r="I3313" s="138">
        <f t="shared" si="139"/>
        <v>760</v>
      </c>
      <c r="J3313" s="82"/>
      <c r="K3313" s="83"/>
    </row>
    <row r="3314" spans="1:11" ht="15" customHeight="1" x14ac:dyDescent="0.25">
      <c r="A3314" s="82" t="s">
        <v>4236</v>
      </c>
      <c r="B3314" s="83" t="s">
        <v>4494</v>
      </c>
      <c r="C3314" s="83"/>
      <c r="D3314" s="83"/>
      <c r="E3314" s="83" t="s">
        <v>4228</v>
      </c>
      <c r="F3314" s="82" t="s">
        <v>78</v>
      </c>
      <c r="G3314" s="82">
        <v>1</v>
      </c>
      <c r="H3314" s="82">
        <v>3270</v>
      </c>
      <c r="I3314" s="138">
        <f t="shared" si="139"/>
        <v>3270</v>
      </c>
      <c r="J3314" s="82"/>
      <c r="K3314" s="83"/>
    </row>
    <row r="3315" spans="1:11" ht="15" customHeight="1" x14ac:dyDescent="0.25">
      <c r="A3315" s="80" t="s">
        <v>5025</v>
      </c>
      <c r="B3315" s="80" t="s">
        <v>4496</v>
      </c>
      <c r="C3315" s="80"/>
      <c r="D3315" s="80"/>
      <c r="E3315" s="80"/>
      <c r="F3315" s="80"/>
      <c r="G3315" s="81"/>
      <c r="H3315" s="80"/>
      <c r="I3315" s="137"/>
      <c r="J3315" s="80"/>
      <c r="K3315" s="80"/>
    </row>
    <row r="3316" spans="1:11" ht="39" customHeight="1" x14ac:dyDescent="0.25">
      <c r="A3316" s="82" t="s">
        <v>4236</v>
      </c>
      <c r="B3316" s="83" t="s">
        <v>4497</v>
      </c>
      <c r="C3316" s="83"/>
      <c r="D3316" s="83"/>
      <c r="E3316" s="83" t="s">
        <v>4228</v>
      </c>
      <c r="F3316" s="82" t="s">
        <v>47</v>
      </c>
      <c r="G3316" s="82">
        <v>1</v>
      </c>
      <c r="H3316" s="82"/>
      <c r="I3316" s="138">
        <f>H3316*G3316</f>
        <v>0</v>
      </c>
      <c r="J3316" s="82"/>
      <c r="K3316" s="83"/>
    </row>
    <row r="3317" spans="1:11" ht="15" customHeight="1" x14ac:dyDescent="0.25">
      <c r="A3317" s="80" t="s">
        <v>5026</v>
      </c>
      <c r="B3317" s="80" t="s">
        <v>5027</v>
      </c>
      <c r="C3317" s="80"/>
      <c r="D3317" s="80"/>
      <c r="E3317" s="80"/>
      <c r="F3317" s="80"/>
      <c r="G3317" s="81"/>
      <c r="H3317" s="80"/>
      <c r="I3317" s="137"/>
      <c r="J3317" s="80"/>
      <c r="K3317" s="80"/>
    </row>
    <row r="3318" spans="1:11" ht="39" customHeight="1" x14ac:dyDescent="0.25">
      <c r="A3318" s="82" t="s">
        <v>4482</v>
      </c>
      <c r="B3318" s="83" t="s">
        <v>5022</v>
      </c>
      <c r="C3318" s="83"/>
      <c r="D3318" s="83"/>
      <c r="E3318" s="83" t="s">
        <v>4228</v>
      </c>
      <c r="F3318" s="82" t="s">
        <v>78</v>
      </c>
      <c r="G3318" s="82">
        <v>8</v>
      </c>
      <c r="H3318" s="82"/>
      <c r="I3318" s="138">
        <f>H3318*G3318</f>
        <v>0</v>
      </c>
      <c r="J3318" s="82"/>
      <c r="K3318" s="83"/>
    </row>
    <row r="3319" spans="1:11" ht="15" customHeight="1" x14ac:dyDescent="0.25">
      <c r="A3319" s="82" t="s">
        <v>4484</v>
      </c>
      <c r="B3319" s="83" t="s">
        <v>4485</v>
      </c>
      <c r="C3319" s="83"/>
      <c r="D3319" s="83"/>
      <c r="E3319" s="83" t="s">
        <v>4228</v>
      </c>
      <c r="F3319" s="82" t="s">
        <v>78</v>
      </c>
      <c r="G3319" s="82">
        <v>4</v>
      </c>
      <c r="H3319" s="82"/>
      <c r="I3319" s="138">
        <f>H3319*G3319</f>
        <v>0</v>
      </c>
      <c r="J3319" s="82"/>
      <c r="K3319" s="83"/>
    </row>
    <row r="3320" spans="1:11" ht="39" customHeight="1" x14ac:dyDescent="0.25">
      <c r="A3320" s="82" t="s">
        <v>4486</v>
      </c>
      <c r="B3320" s="83" t="s">
        <v>4487</v>
      </c>
      <c r="C3320" s="83"/>
      <c r="D3320" s="83"/>
      <c r="E3320" s="83" t="s">
        <v>4228</v>
      </c>
      <c r="F3320" s="82" t="s">
        <v>78</v>
      </c>
      <c r="G3320" s="82">
        <v>1</v>
      </c>
      <c r="H3320" s="82">
        <v>9600</v>
      </c>
      <c r="I3320" s="138">
        <f>H3320*G3320</f>
        <v>9600</v>
      </c>
      <c r="J3320" s="82"/>
      <c r="K3320" s="83"/>
    </row>
    <row r="3321" spans="1:11" ht="15" customHeight="1" x14ac:dyDescent="0.25">
      <c r="A3321" s="82" t="s">
        <v>4236</v>
      </c>
      <c r="B3321" s="83" t="s">
        <v>4334</v>
      </c>
      <c r="C3321" s="83"/>
      <c r="D3321" s="83"/>
      <c r="E3321" s="83" t="s">
        <v>4228</v>
      </c>
      <c r="F3321" s="82" t="s">
        <v>78</v>
      </c>
      <c r="G3321" s="82">
        <v>2</v>
      </c>
      <c r="H3321" s="82">
        <v>4500</v>
      </c>
      <c r="I3321" s="138">
        <f>H3321*G3321</f>
        <v>9000</v>
      </c>
      <c r="J3321" s="82"/>
      <c r="K3321" s="83"/>
    </row>
    <row r="3322" spans="1:11" ht="15" customHeight="1" x14ac:dyDescent="0.25">
      <c r="A3322" s="82" t="s">
        <v>4236</v>
      </c>
      <c r="B3322" s="83" t="s">
        <v>4343</v>
      </c>
      <c r="C3322" s="83"/>
      <c r="D3322" s="83"/>
      <c r="E3322" s="83" t="s">
        <v>4228</v>
      </c>
      <c r="F3322" s="82" t="s">
        <v>78</v>
      </c>
      <c r="G3322" s="82">
        <v>4</v>
      </c>
      <c r="H3322" s="82">
        <v>1570</v>
      </c>
      <c r="I3322" s="138">
        <f>H3322*G3322</f>
        <v>6280</v>
      </c>
      <c r="J3322" s="82"/>
      <c r="K3322" s="83"/>
    </row>
    <row r="3323" spans="1:11" ht="15" customHeight="1" x14ac:dyDescent="0.25">
      <c r="A3323" s="80" t="s">
        <v>5028</v>
      </c>
      <c r="B3323" s="80" t="s">
        <v>5029</v>
      </c>
      <c r="C3323" s="80"/>
      <c r="D3323" s="80"/>
      <c r="E3323" s="80"/>
      <c r="F3323" s="80"/>
      <c r="G3323" s="81"/>
      <c r="H3323" s="80"/>
      <c r="I3323" s="137"/>
      <c r="J3323" s="80"/>
      <c r="K3323" s="80"/>
    </row>
    <row r="3324" spans="1:11" ht="27" customHeight="1" x14ac:dyDescent="0.25">
      <c r="A3324" s="82" t="s">
        <v>4236</v>
      </c>
      <c r="B3324" s="83" t="s">
        <v>4491</v>
      </c>
      <c r="C3324" s="83"/>
      <c r="D3324" s="83"/>
      <c r="E3324" s="83" t="s">
        <v>4228</v>
      </c>
      <c r="F3324" s="82" t="s">
        <v>78</v>
      </c>
      <c r="G3324" s="82">
        <v>1</v>
      </c>
      <c r="H3324" s="82">
        <v>16500</v>
      </c>
      <c r="I3324" s="138">
        <f t="shared" ref="I3324:I3329" si="140">H3324*G3324</f>
        <v>16500</v>
      </c>
      <c r="J3324" s="82"/>
      <c r="K3324" s="83"/>
    </row>
    <row r="3325" spans="1:11" ht="15" customHeight="1" x14ac:dyDescent="0.25">
      <c r="A3325" s="82" t="s">
        <v>4236</v>
      </c>
      <c r="B3325" s="83" t="s">
        <v>4334</v>
      </c>
      <c r="C3325" s="83"/>
      <c r="D3325" s="83"/>
      <c r="E3325" s="83" t="s">
        <v>4228</v>
      </c>
      <c r="F3325" s="82" t="s">
        <v>78</v>
      </c>
      <c r="G3325" s="82">
        <v>1</v>
      </c>
      <c r="H3325" s="82">
        <v>4500</v>
      </c>
      <c r="I3325" s="138">
        <f t="shared" si="140"/>
        <v>4500</v>
      </c>
      <c r="J3325" s="82"/>
      <c r="K3325" s="83"/>
    </row>
    <row r="3326" spans="1:11" ht="15" customHeight="1" x14ac:dyDescent="0.25">
      <c r="A3326" s="82" t="s">
        <v>4236</v>
      </c>
      <c r="B3326" s="83" t="s">
        <v>4389</v>
      </c>
      <c r="C3326" s="83"/>
      <c r="D3326" s="83"/>
      <c r="E3326" s="83" t="s">
        <v>4228</v>
      </c>
      <c r="F3326" s="82" t="s">
        <v>78</v>
      </c>
      <c r="G3326" s="82">
        <v>1</v>
      </c>
      <c r="H3326" s="82">
        <v>4090</v>
      </c>
      <c r="I3326" s="138">
        <f t="shared" si="140"/>
        <v>4090</v>
      </c>
      <c r="J3326" s="82"/>
      <c r="K3326" s="83"/>
    </row>
    <row r="3327" spans="1:11" ht="15" customHeight="1" x14ac:dyDescent="0.25">
      <c r="A3327" s="82" t="s">
        <v>4236</v>
      </c>
      <c r="B3327" s="83" t="s">
        <v>4492</v>
      </c>
      <c r="C3327" s="83"/>
      <c r="D3327" s="83"/>
      <c r="E3327" s="83" t="s">
        <v>4228</v>
      </c>
      <c r="F3327" s="82" t="s">
        <v>78</v>
      </c>
      <c r="G3327" s="82">
        <v>1</v>
      </c>
      <c r="H3327" s="82">
        <v>4720</v>
      </c>
      <c r="I3327" s="138">
        <f t="shared" si="140"/>
        <v>4720</v>
      </c>
      <c r="J3327" s="82"/>
      <c r="K3327" s="83"/>
    </row>
    <row r="3328" spans="1:11" ht="15" customHeight="1" x14ac:dyDescent="0.25">
      <c r="A3328" s="82" t="s">
        <v>4236</v>
      </c>
      <c r="B3328" s="83" t="s">
        <v>4493</v>
      </c>
      <c r="C3328" s="83"/>
      <c r="D3328" s="83"/>
      <c r="E3328" s="83" t="s">
        <v>4228</v>
      </c>
      <c r="F3328" s="82" t="s">
        <v>78</v>
      </c>
      <c r="G3328" s="82">
        <v>1</v>
      </c>
      <c r="H3328" s="82">
        <v>760</v>
      </c>
      <c r="I3328" s="138">
        <f t="shared" si="140"/>
        <v>760</v>
      </c>
      <c r="J3328" s="82"/>
      <c r="K3328" s="83"/>
    </row>
    <row r="3329" spans="1:11" ht="15" customHeight="1" x14ac:dyDescent="0.25">
      <c r="A3329" s="82" t="s">
        <v>4236</v>
      </c>
      <c r="B3329" s="83" t="s">
        <v>4494</v>
      </c>
      <c r="C3329" s="83"/>
      <c r="D3329" s="83"/>
      <c r="E3329" s="83" t="s">
        <v>4228</v>
      </c>
      <c r="F3329" s="82" t="s">
        <v>78</v>
      </c>
      <c r="G3329" s="82">
        <v>1</v>
      </c>
      <c r="H3329" s="82">
        <v>3270</v>
      </c>
      <c r="I3329" s="138">
        <f t="shared" si="140"/>
        <v>3270</v>
      </c>
      <c r="J3329" s="82"/>
      <c r="K3329" s="83"/>
    </row>
    <row r="3330" spans="1:11" ht="15" customHeight="1" x14ac:dyDescent="0.25">
      <c r="A3330" s="80" t="s">
        <v>5030</v>
      </c>
      <c r="B3330" s="80" t="s">
        <v>4496</v>
      </c>
      <c r="C3330" s="80"/>
      <c r="D3330" s="80"/>
      <c r="E3330" s="80"/>
      <c r="F3330" s="80"/>
      <c r="G3330" s="81"/>
      <c r="H3330" s="80"/>
      <c r="I3330" s="137"/>
      <c r="J3330" s="80"/>
      <c r="K3330" s="80"/>
    </row>
    <row r="3331" spans="1:11" ht="39" customHeight="1" x14ac:dyDescent="0.25">
      <c r="A3331" s="82" t="s">
        <v>4236</v>
      </c>
      <c r="B3331" s="83" t="s">
        <v>4497</v>
      </c>
      <c r="C3331" s="83"/>
      <c r="D3331" s="83"/>
      <c r="E3331" s="83" t="s">
        <v>4228</v>
      </c>
      <c r="F3331" s="82" t="s">
        <v>47</v>
      </c>
      <c r="G3331" s="82">
        <v>2</v>
      </c>
      <c r="H3331" s="82"/>
      <c r="I3331" s="138">
        <f>H3331*G3331</f>
        <v>0</v>
      </c>
      <c r="J3331" s="82"/>
      <c r="K3331" s="83"/>
    </row>
    <row r="3332" spans="1:11" ht="15" customHeight="1" x14ac:dyDescent="0.25">
      <c r="A3332" s="80" t="s">
        <v>5031</v>
      </c>
      <c r="B3332" s="80" t="s">
        <v>5032</v>
      </c>
      <c r="C3332" s="80"/>
      <c r="D3332" s="80"/>
      <c r="E3332" s="80"/>
      <c r="F3332" s="80"/>
      <c r="G3332" s="81"/>
      <c r="H3332" s="80"/>
      <c r="I3332" s="137"/>
      <c r="J3332" s="80"/>
      <c r="K3332" s="80"/>
    </row>
    <row r="3333" spans="1:11" ht="15" customHeight="1" x14ac:dyDescent="0.25">
      <c r="A3333" s="82" t="s">
        <v>4484</v>
      </c>
      <c r="B3333" s="83" t="s">
        <v>4500</v>
      </c>
      <c r="C3333" s="83"/>
      <c r="D3333" s="83"/>
      <c r="E3333" s="83" t="s">
        <v>110</v>
      </c>
      <c r="F3333" s="82" t="s">
        <v>78</v>
      </c>
      <c r="G3333" s="82">
        <v>10</v>
      </c>
      <c r="H3333" s="82"/>
      <c r="I3333" s="138">
        <f t="shared" ref="I3333:I3338" si="141">H3333*G3333</f>
        <v>0</v>
      </c>
      <c r="J3333" s="82"/>
      <c r="K3333" s="83"/>
    </row>
    <row r="3334" spans="1:11" ht="39" customHeight="1" x14ac:dyDescent="0.25">
      <c r="A3334" s="82" t="s">
        <v>4486</v>
      </c>
      <c r="B3334" s="83" t="s">
        <v>4487</v>
      </c>
      <c r="C3334" s="83"/>
      <c r="D3334" s="83"/>
      <c r="E3334" s="83" t="s">
        <v>110</v>
      </c>
      <c r="F3334" s="82" t="s">
        <v>78</v>
      </c>
      <c r="G3334" s="82">
        <v>2</v>
      </c>
      <c r="H3334" s="82">
        <v>9600</v>
      </c>
      <c r="I3334" s="138">
        <f t="shared" si="141"/>
        <v>19200</v>
      </c>
      <c r="J3334" s="82"/>
      <c r="K3334" s="83"/>
    </row>
    <row r="3335" spans="1:11" ht="99" customHeight="1" x14ac:dyDescent="0.25">
      <c r="A3335" s="82" t="s">
        <v>4517</v>
      </c>
      <c r="B3335" s="83" t="s">
        <v>4518</v>
      </c>
      <c r="C3335" s="83"/>
      <c r="D3335" s="83"/>
      <c r="E3335" s="83" t="s">
        <v>4228</v>
      </c>
      <c r="F3335" s="82" t="s">
        <v>78</v>
      </c>
      <c r="G3335" s="82">
        <v>5</v>
      </c>
      <c r="H3335" s="82"/>
      <c r="I3335" s="138">
        <f t="shared" si="141"/>
        <v>0</v>
      </c>
      <c r="J3335" s="82" t="s">
        <v>4519</v>
      </c>
      <c r="K3335" s="83" t="s">
        <v>4520</v>
      </c>
    </row>
    <row r="3336" spans="1:11" ht="15" customHeight="1" x14ac:dyDescent="0.25">
      <c r="A3336" s="82" t="s">
        <v>4236</v>
      </c>
      <c r="B3336" s="83" t="s">
        <v>4343</v>
      </c>
      <c r="C3336" s="83"/>
      <c r="D3336" s="83"/>
      <c r="E3336" s="83" t="s">
        <v>4228</v>
      </c>
      <c r="F3336" s="82" t="s">
        <v>78</v>
      </c>
      <c r="G3336" s="82">
        <v>4</v>
      </c>
      <c r="H3336" s="82">
        <v>1570</v>
      </c>
      <c r="I3336" s="138">
        <f t="shared" si="141"/>
        <v>6280</v>
      </c>
      <c r="J3336" s="82"/>
      <c r="K3336" s="83"/>
    </row>
    <row r="3337" spans="1:11" ht="15" customHeight="1" x14ac:dyDescent="0.25">
      <c r="A3337" s="82" t="s">
        <v>4236</v>
      </c>
      <c r="B3337" s="83" t="s">
        <v>4334</v>
      </c>
      <c r="C3337" s="83"/>
      <c r="D3337" s="83"/>
      <c r="E3337" s="83" t="s">
        <v>110</v>
      </c>
      <c r="F3337" s="82" t="s">
        <v>78</v>
      </c>
      <c r="G3337" s="82">
        <v>1</v>
      </c>
      <c r="H3337" s="82">
        <v>4500</v>
      </c>
      <c r="I3337" s="138">
        <f t="shared" si="141"/>
        <v>4500</v>
      </c>
      <c r="J3337" s="82"/>
      <c r="K3337" s="83"/>
    </row>
    <row r="3338" spans="1:11" ht="39" customHeight="1" x14ac:dyDescent="0.25">
      <c r="A3338" s="82" t="s">
        <v>4477</v>
      </c>
      <c r="B3338" s="83" t="s">
        <v>4478</v>
      </c>
      <c r="C3338" s="83" t="s">
        <v>4479</v>
      </c>
      <c r="D3338" s="83"/>
      <c r="E3338" s="83" t="s">
        <v>4228</v>
      </c>
      <c r="F3338" s="82" t="s">
        <v>78</v>
      </c>
      <c r="G3338" s="82">
        <v>1</v>
      </c>
      <c r="H3338" s="82">
        <v>33000</v>
      </c>
      <c r="I3338" s="138">
        <f t="shared" si="141"/>
        <v>33000</v>
      </c>
      <c r="J3338" s="82"/>
      <c r="K3338" s="83"/>
    </row>
    <row r="3339" spans="1:11" ht="15" customHeight="1" x14ac:dyDescent="0.25">
      <c r="A3339" s="80" t="s">
        <v>5033</v>
      </c>
      <c r="B3339" s="80" t="s">
        <v>4496</v>
      </c>
      <c r="C3339" s="80"/>
      <c r="D3339" s="80"/>
      <c r="E3339" s="80"/>
      <c r="F3339" s="80"/>
      <c r="G3339" s="81"/>
      <c r="H3339" s="80"/>
      <c r="I3339" s="137"/>
      <c r="J3339" s="80"/>
      <c r="K3339" s="80"/>
    </row>
    <row r="3340" spans="1:11" ht="39" customHeight="1" x14ac:dyDescent="0.25">
      <c r="A3340" s="82" t="s">
        <v>4236</v>
      </c>
      <c r="B3340" s="83" t="s">
        <v>4497</v>
      </c>
      <c r="C3340" s="83"/>
      <c r="D3340" s="83"/>
      <c r="E3340" s="83" t="s">
        <v>4228</v>
      </c>
      <c r="F3340" s="82" t="s">
        <v>47</v>
      </c>
      <c r="G3340" s="82">
        <v>5</v>
      </c>
      <c r="H3340" s="82"/>
      <c r="I3340" s="138">
        <f>H3340*G3340</f>
        <v>0</v>
      </c>
      <c r="J3340" s="82"/>
      <c r="K3340" s="83"/>
    </row>
    <row r="3341" spans="1:11" ht="15" customHeight="1" x14ac:dyDescent="0.25">
      <c r="A3341" s="80" t="s">
        <v>5034</v>
      </c>
      <c r="B3341" s="80" t="s">
        <v>5035</v>
      </c>
      <c r="C3341" s="80"/>
      <c r="D3341" s="80"/>
      <c r="E3341" s="80"/>
      <c r="F3341" s="80"/>
      <c r="G3341" s="81"/>
      <c r="H3341" s="80"/>
      <c r="I3341" s="137"/>
      <c r="J3341" s="80"/>
      <c r="K3341" s="80"/>
    </row>
    <row r="3342" spans="1:11" ht="15" customHeight="1" x14ac:dyDescent="0.25">
      <c r="A3342" s="82" t="s">
        <v>4236</v>
      </c>
      <c r="B3342" s="83" t="s">
        <v>4514</v>
      </c>
      <c r="C3342" s="83"/>
      <c r="D3342" s="83"/>
      <c r="E3342" s="83" t="s">
        <v>4228</v>
      </c>
      <c r="F3342" s="82" t="s">
        <v>78</v>
      </c>
      <c r="G3342" s="82">
        <v>1</v>
      </c>
      <c r="H3342" s="82">
        <v>4790</v>
      </c>
      <c r="I3342" s="138">
        <f>H3342*G3342</f>
        <v>4790</v>
      </c>
      <c r="J3342" s="82"/>
      <c r="K3342" s="83"/>
    </row>
    <row r="3343" spans="1:11" ht="15" customHeight="1" x14ac:dyDescent="0.25">
      <c r="A3343" s="82" t="s">
        <v>4236</v>
      </c>
      <c r="B3343" s="83" t="s">
        <v>4494</v>
      </c>
      <c r="C3343" s="83"/>
      <c r="D3343" s="83"/>
      <c r="E3343" s="83" t="s">
        <v>4228</v>
      </c>
      <c r="F3343" s="82" t="s">
        <v>78</v>
      </c>
      <c r="G3343" s="82">
        <v>1</v>
      </c>
      <c r="H3343" s="82">
        <v>3270</v>
      </c>
      <c r="I3343" s="138">
        <f>H3343*G3343</f>
        <v>3270</v>
      </c>
      <c r="J3343" s="82"/>
      <c r="K3343" s="83"/>
    </row>
    <row r="3344" spans="1:11" ht="15" customHeight="1" x14ac:dyDescent="0.25">
      <c r="A3344" s="80" t="s">
        <v>5036</v>
      </c>
      <c r="B3344" s="80" t="s">
        <v>4490</v>
      </c>
      <c r="C3344" s="80"/>
      <c r="D3344" s="80"/>
      <c r="E3344" s="80"/>
      <c r="F3344" s="80"/>
      <c r="G3344" s="81"/>
      <c r="H3344" s="80"/>
      <c r="I3344" s="137"/>
      <c r="J3344" s="80"/>
      <c r="K3344" s="80"/>
    </row>
    <row r="3345" spans="1:11" ht="27" customHeight="1" x14ac:dyDescent="0.25">
      <c r="A3345" s="82" t="s">
        <v>4236</v>
      </c>
      <c r="B3345" s="83" t="s">
        <v>4491</v>
      </c>
      <c r="C3345" s="83"/>
      <c r="D3345" s="83"/>
      <c r="E3345" s="83" t="s">
        <v>4228</v>
      </c>
      <c r="F3345" s="82" t="s">
        <v>78</v>
      </c>
      <c r="G3345" s="82">
        <v>1</v>
      </c>
      <c r="H3345" s="82">
        <v>16500</v>
      </c>
      <c r="I3345" s="138">
        <f>H3345*G3345</f>
        <v>16500</v>
      </c>
      <c r="J3345" s="82"/>
      <c r="K3345" s="83"/>
    </row>
    <row r="3346" spans="1:11" ht="15" customHeight="1" x14ac:dyDescent="0.25">
      <c r="A3346" s="82" t="s">
        <v>4236</v>
      </c>
      <c r="B3346" s="83" t="s">
        <v>4334</v>
      </c>
      <c r="C3346" s="83"/>
      <c r="D3346" s="83"/>
      <c r="E3346" s="83" t="s">
        <v>4228</v>
      </c>
      <c r="F3346" s="82" t="s">
        <v>78</v>
      </c>
      <c r="G3346" s="82">
        <v>1</v>
      </c>
      <c r="H3346" s="82">
        <v>4500</v>
      </c>
      <c r="I3346" s="138">
        <f>H3346*G3346</f>
        <v>4500</v>
      </c>
      <c r="J3346" s="82"/>
      <c r="K3346" s="83"/>
    </row>
    <row r="3347" spans="1:11" ht="15" customHeight="1" x14ac:dyDescent="0.25">
      <c r="A3347" s="82" t="s">
        <v>4236</v>
      </c>
      <c r="B3347" s="83" t="s">
        <v>4389</v>
      </c>
      <c r="C3347" s="83"/>
      <c r="D3347" s="83"/>
      <c r="E3347" s="83" t="s">
        <v>4228</v>
      </c>
      <c r="F3347" s="82" t="s">
        <v>78</v>
      </c>
      <c r="G3347" s="82">
        <v>1</v>
      </c>
      <c r="H3347" s="82">
        <v>4090</v>
      </c>
      <c r="I3347" s="138">
        <f>H3347*G3347</f>
        <v>4090</v>
      </c>
      <c r="J3347" s="82"/>
      <c r="K3347" s="83"/>
    </row>
    <row r="3348" spans="1:11" ht="15" customHeight="1" x14ac:dyDescent="0.25">
      <c r="A3348" s="82" t="s">
        <v>4236</v>
      </c>
      <c r="B3348" s="83" t="s">
        <v>4492</v>
      </c>
      <c r="C3348" s="83"/>
      <c r="D3348" s="83"/>
      <c r="E3348" s="83" t="s">
        <v>4228</v>
      </c>
      <c r="F3348" s="82" t="s">
        <v>78</v>
      </c>
      <c r="G3348" s="82">
        <v>1</v>
      </c>
      <c r="H3348" s="82">
        <v>4720</v>
      </c>
      <c r="I3348" s="138">
        <f>H3348*G3348</f>
        <v>4720</v>
      </c>
      <c r="J3348" s="82"/>
      <c r="K3348" s="83"/>
    </row>
    <row r="3349" spans="1:11" ht="15" customHeight="1" x14ac:dyDescent="0.25">
      <c r="A3349" s="82" t="s">
        <v>4236</v>
      </c>
      <c r="B3349" s="83" t="s">
        <v>4493</v>
      </c>
      <c r="C3349" s="83"/>
      <c r="D3349" s="83"/>
      <c r="E3349" s="83" t="s">
        <v>4228</v>
      </c>
      <c r="F3349" s="82" t="s">
        <v>78</v>
      </c>
      <c r="G3349" s="82">
        <v>1</v>
      </c>
      <c r="H3349" s="82">
        <v>760</v>
      </c>
      <c r="I3349" s="138">
        <f>H3349*G3349</f>
        <v>760</v>
      </c>
      <c r="J3349" s="82"/>
      <c r="K3349" s="83"/>
    </row>
    <row r="3350" spans="1:11" ht="15" customHeight="1" x14ac:dyDescent="0.25">
      <c r="A3350" s="80" t="s">
        <v>5037</v>
      </c>
      <c r="B3350" s="80" t="s">
        <v>5038</v>
      </c>
      <c r="C3350" s="80"/>
      <c r="D3350" s="80"/>
      <c r="E3350" s="80"/>
      <c r="F3350" s="80"/>
      <c r="G3350" s="81"/>
      <c r="H3350" s="80"/>
      <c r="I3350" s="137"/>
      <c r="J3350" s="80"/>
      <c r="K3350" s="80"/>
    </row>
    <row r="3351" spans="1:11" ht="15" customHeight="1" x14ac:dyDescent="0.25">
      <c r="A3351" s="82" t="s">
        <v>4484</v>
      </c>
      <c r="B3351" s="83" t="s">
        <v>4500</v>
      </c>
      <c r="C3351" s="83"/>
      <c r="D3351" s="83"/>
      <c r="E3351" s="83" t="s">
        <v>110</v>
      </c>
      <c r="F3351" s="82" t="s">
        <v>78</v>
      </c>
      <c r="G3351" s="82">
        <v>10</v>
      </c>
      <c r="H3351" s="82"/>
      <c r="I3351" s="138">
        <f t="shared" ref="I3351:I3356" si="142">H3351*G3351</f>
        <v>0</v>
      </c>
      <c r="J3351" s="82"/>
      <c r="K3351" s="83"/>
    </row>
    <row r="3352" spans="1:11" ht="99" customHeight="1" x14ac:dyDescent="0.25">
      <c r="A3352" s="82" t="s">
        <v>4517</v>
      </c>
      <c r="B3352" s="83" t="s">
        <v>4518</v>
      </c>
      <c r="C3352" s="83"/>
      <c r="D3352" s="83"/>
      <c r="E3352" s="83" t="s">
        <v>4228</v>
      </c>
      <c r="F3352" s="82" t="s">
        <v>78</v>
      </c>
      <c r="G3352" s="82">
        <v>5</v>
      </c>
      <c r="H3352" s="82"/>
      <c r="I3352" s="138">
        <f t="shared" si="142"/>
        <v>0</v>
      </c>
      <c r="J3352" s="82" t="s">
        <v>4519</v>
      </c>
      <c r="K3352" s="83" t="s">
        <v>4520</v>
      </c>
    </row>
    <row r="3353" spans="1:11" ht="39" customHeight="1" x14ac:dyDescent="0.25">
      <c r="A3353" s="82" t="s">
        <v>4486</v>
      </c>
      <c r="B3353" s="83" t="s">
        <v>4487</v>
      </c>
      <c r="C3353" s="83"/>
      <c r="D3353" s="83"/>
      <c r="E3353" s="83" t="s">
        <v>110</v>
      </c>
      <c r="F3353" s="82" t="s">
        <v>78</v>
      </c>
      <c r="G3353" s="82">
        <v>2</v>
      </c>
      <c r="H3353" s="82">
        <v>9600</v>
      </c>
      <c r="I3353" s="138">
        <f t="shared" si="142"/>
        <v>19200</v>
      </c>
      <c r="J3353" s="82"/>
      <c r="K3353" s="83"/>
    </row>
    <row r="3354" spans="1:11" ht="15" customHeight="1" x14ac:dyDescent="0.25">
      <c r="A3354" s="82" t="s">
        <v>4236</v>
      </c>
      <c r="B3354" s="83" t="s">
        <v>4343</v>
      </c>
      <c r="C3354" s="83"/>
      <c r="D3354" s="83"/>
      <c r="E3354" s="83" t="s">
        <v>4228</v>
      </c>
      <c r="F3354" s="82" t="s">
        <v>78</v>
      </c>
      <c r="G3354" s="82">
        <v>4</v>
      </c>
      <c r="H3354" s="82">
        <v>1570</v>
      </c>
      <c r="I3354" s="138">
        <f t="shared" si="142"/>
        <v>6280</v>
      </c>
      <c r="J3354" s="82"/>
      <c r="K3354" s="83"/>
    </row>
    <row r="3355" spans="1:11" ht="15" customHeight="1" x14ac:dyDescent="0.25">
      <c r="A3355" s="82" t="s">
        <v>4236</v>
      </c>
      <c r="B3355" s="83" t="s">
        <v>4334</v>
      </c>
      <c r="C3355" s="83"/>
      <c r="D3355" s="83"/>
      <c r="E3355" s="83" t="s">
        <v>110</v>
      </c>
      <c r="F3355" s="82" t="s">
        <v>78</v>
      </c>
      <c r="G3355" s="82">
        <v>1</v>
      </c>
      <c r="H3355" s="82">
        <v>4500</v>
      </c>
      <c r="I3355" s="138">
        <f t="shared" si="142"/>
        <v>4500</v>
      </c>
      <c r="J3355" s="82"/>
      <c r="K3355" s="83"/>
    </row>
    <row r="3356" spans="1:11" ht="39" customHeight="1" x14ac:dyDescent="0.25">
      <c r="A3356" s="82" t="s">
        <v>4477</v>
      </c>
      <c r="B3356" s="83" t="s">
        <v>4478</v>
      </c>
      <c r="C3356" s="83" t="s">
        <v>4479</v>
      </c>
      <c r="D3356" s="83"/>
      <c r="E3356" s="83" t="s">
        <v>4228</v>
      </c>
      <c r="F3356" s="82" t="s">
        <v>78</v>
      </c>
      <c r="G3356" s="82">
        <v>1</v>
      </c>
      <c r="H3356" s="82">
        <v>33000</v>
      </c>
      <c r="I3356" s="138">
        <f t="shared" si="142"/>
        <v>33000</v>
      </c>
      <c r="J3356" s="82"/>
      <c r="K3356" s="83"/>
    </row>
    <row r="3357" spans="1:11" ht="15" customHeight="1" x14ac:dyDescent="0.25">
      <c r="A3357" s="80" t="s">
        <v>5039</v>
      </c>
      <c r="B3357" s="80" t="s">
        <v>4496</v>
      </c>
      <c r="C3357" s="80"/>
      <c r="D3357" s="80"/>
      <c r="E3357" s="80"/>
      <c r="F3357" s="80"/>
      <c r="G3357" s="81"/>
      <c r="H3357" s="80"/>
      <c r="I3357" s="137"/>
      <c r="J3357" s="80"/>
      <c r="K3357" s="80"/>
    </row>
    <row r="3358" spans="1:11" ht="39" customHeight="1" x14ac:dyDescent="0.25">
      <c r="A3358" s="82" t="s">
        <v>4236</v>
      </c>
      <c r="B3358" s="83" t="s">
        <v>4497</v>
      </c>
      <c r="C3358" s="83"/>
      <c r="D3358" s="83"/>
      <c r="E3358" s="83" t="s">
        <v>4228</v>
      </c>
      <c r="F3358" s="82" t="s">
        <v>47</v>
      </c>
      <c r="G3358" s="82">
        <v>5</v>
      </c>
      <c r="H3358" s="82"/>
      <c r="I3358" s="138">
        <f>H3358*G3358</f>
        <v>0</v>
      </c>
      <c r="J3358" s="82"/>
      <c r="K3358" s="83"/>
    </row>
    <row r="3359" spans="1:11" ht="15" customHeight="1" x14ac:dyDescent="0.25">
      <c r="A3359" s="80" t="s">
        <v>5040</v>
      </c>
      <c r="B3359" s="80" t="s">
        <v>5035</v>
      </c>
      <c r="C3359" s="80"/>
      <c r="D3359" s="80"/>
      <c r="E3359" s="80"/>
      <c r="F3359" s="80"/>
      <c r="G3359" s="81"/>
      <c r="H3359" s="80"/>
      <c r="I3359" s="137"/>
      <c r="J3359" s="80"/>
      <c r="K3359" s="80"/>
    </row>
    <row r="3360" spans="1:11" ht="15" customHeight="1" x14ac:dyDescent="0.25">
      <c r="A3360" s="82" t="s">
        <v>4236</v>
      </c>
      <c r="B3360" s="83" t="s">
        <v>4494</v>
      </c>
      <c r="C3360" s="83"/>
      <c r="D3360" s="83"/>
      <c r="E3360" s="83" t="s">
        <v>4228</v>
      </c>
      <c r="F3360" s="82" t="s">
        <v>78</v>
      </c>
      <c r="G3360" s="82">
        <v>1</v>
      </c>
      <c r="H3360" s="82">
        <v>3270</v>
      </c>
      <c r="I3360" s="138">
        <f>H3360*G3360</f>
        <v>3270</v>
      </c>
      <c r="J3360" s="82"/>
      <c r="K3360" s="83"/>
    </row>
    <row r="3361" spans="1:11" ht="15" customHeight="1" x14ac:dyDescent="0.25">
      <c r="A3361" s="82" t="s">
        <v>4236</v>
      </c>
      <c r="B3361" s="83" t="s">
        <v>4514</v>
      </c>
      <c r="C3361" s="83"/>
      <c r="D3361" s="83"/>
      <c r="E3361" s="83" t="s">
        <v>4228</v>
      </c>
      <c r="F3361" s="82" t="s">
        <v>78</v>
      </c>
      <c r="G3361" s="82">
        <v>1</v>
      </c>
      <c r="H3361" s="82">
        <v>4790</v>
      </c>
      <c r="I3361" s="138">
        <f>H3361*G3361</f>
        <v>4790</v>
      </c>
      <c r="J3361" s="82"/>
      <c r="K3361" s="83"/>
    </row>
    <row r="3362" spans="1:11" ht="15" customHeight="1" x14ac:dyDescent="0.25">
      <c r="A3362" s="80" t="s">
        <v>5041</v>
      </c>
      <c r="B3362" s="80" t="s">
        <v>4490</v>
      </c>
      <c r="C3362" s="80"/>
      <c r="D3362" s="80"/>
      <c r="E3362" s="80"/>
      <c r="F3362" s="80"/>
      <c r="G3362" s="81"/>
      <c r="H3362" s="80"/>
      <c r="I3362" s="137"/>
      <c r="J3362" s="80"/>
      <c r="K3362" s="80"/>
    </row>
    <row r="3363" spans="1:11" ht="27" customHeight="1" x14ac:dyDescent="0.25">
      <c r="A3363" s="82" t="s">
        <v>4236</v>
      </c>
      <c r="B3363" s="83" t="s">
        <v>4491</v>
      </c>
      <c r="C3363" s="83"/>
      <c r="D3363" s="83"/>
      <c r="E3363" s="83" t="s">
        <v>4228</v>
      </c>
      <c r="F3363" s="82" t="s">
        <v>78</v>
      </c>
      <c r="G3363" s="82">
        <v>1</v>
      </c>
      <c r="H3363" s="82">
        <v>16500</v>
      </c>
      <c r="I3363" s="138">
        <f>H3363*G3363</f>
        <v>16500</v>
      </c>
      <c r="J3363" s="82"/>
      <c r="K3363" s="83"/>
    </row>
    <row r="3364" spans="1:11" ht="15" customHeight="1" x14ac:dyDescent="0.25">
      <c r="A3364" s="82" t="s">
        <v>4236</v>
      </c>
      <c r="B3364" s="83" t="s">
        <v>4334</v>
      </c>
      <c r="C3364" s="83"/>
      <c r="D3364" s="83"/>
      <c r="E3364" s="83" t="s">
        <v>4228</v>
      </c>
      <c r="F3364" s="82" t="s">
        <v>78</v>
      </c>
      <c r="G3364" s="82">
        <v>1</v>
      </c>
      <c r="H3364" s="82">
        <v>4500</v>
      </c>
      <c r="I3364" s="138">
        <f>H3364*G3364</f>
        <v>4500</v>
      </c>
      <c r="J3364" s="82"/>
      <c r="K3364" s="83"/>
    </row>
    <row r="3365" spans="1:11" ht="15" customHeight="1" x14ac:dyDescent="0.25">
      <c r="A3365" s="82" t="s">
        <v>4236</v>
      </c>
      <c r="B3365" s="83" t="s">
        <v>4389</v>
      </c>
      <c r="C3365" s="83"/>
      <c r="D3365" s="83"/>
      <c r="E3365" s="83" t="s">
        <v>4228</v>
      </c>
      <c r="F3365" s="82" t="s">
        <v>78</v>
      </c>
      <c r="G3365" s="82">
        <v>1</v>
      </c>
      <c r="H3365" s="82">
        <v>4090</v>
      </c>
      <c r="I3365" s="138">
        <f>H3365*G3365</f>
        <v>4090</v>
      </c>
      <c r="J3365" s="82"/>
      <c r="K3365" s="83"/>
    </row>
    <row r="3366" spans="1:11" ht="15" customHeight="1" x14ac:dyDescent="0.25">
      <c r="A3366" s="82" t="s">
        <v>4236</v>
      </c>
      <c r="B3366" s="83" t="s">
        <v>4492</v>
      </c>
      <c r="C3366" s="83"/>
      <c r="D3366" s="83"/>
      <c r="E3366" s="83" t="s">
        <v>4228</v>
      </c>
      <c r="F3366" s="82" t="s">
        <v>78</v>
      </c>
      <c r="G3366" s="82">
        <v>1</v>
      </c>
      <c r="H3366" s="82">
        <v>4720</v>
      </c>
      <c r="I3366" s="138">
        <f>H3366*G3366</f>
        <v>4720</v>
      </c>
      <c r="J3366" s="82"/>
      <c r="K3366" s="83"/>
    </row>
    <row r="3367" spans="1:11" ht="15" customHeight="1" x14ac:dyDescent="0.25">
      <c r="A3367" s="82" t="s">
        <v>4236</v>
      </c>
      <c r="B3367" s="83" t="s">
        <v>4493</v>
      </c>
      <c r="C3367" s="83"/>
      <c r="D3367" s="83"/>
      <c r="E3367" s="83" t="s">
        <v>4228</v>
      </c>
      <c r="F3367" s="82" t="s">
        <v>78</v>
      </c>
      <c r="G3367" s="82">
        <v>1</v>
      </c>
      <c r="H3367" s="82">
        <v>760</v>
      </c>
      <c r="I3367" s="138">
        <f>H3367*G3367</f>
        <v>760</v>
      </c>
      <c r="J3367" s="82"/>
      <c r="K3367" s="83"/>
    </row>
    <row r="3368" spans="1:11" ht="15" customHeight="1" x14ac:dyDescent="0.25">
      <c r="A3368" s="80" t="s">
        <v>5042</v>
      </c>
      <c r="B3368" s="80" t="s">
        <v>5043</v>
      </c>
      <c r="C3368" s="80"/>
      <c r="D3368" s="80"/>
      <c r="E3368" s="80"/>
      <c r="F3368" s="80"/>
      <c r="G3368" s="81"/>
      <c r="H3368" s="80"/>
      <c r="I3368" s="137"/>
      <c r="J3368" s="80"/>
      <c r="K3368" s="80"/>
    </row>
    <row r="3369" spans="1:11" ht="99" customHeight="1" x14ac:dyDescent="0.25">
      <c r="A3369" s="82" t="s">
        <v>4517</v>
      </c>
      <c r="B3369" s="83" t="s">
        <v>4518</v>
      </c>
      <c r="C3369" s="83"/>
      <c r="D3369" s="83"/>
      <c r="E3369" s="83" t="s">
        <v>4228</v>
      </c>
      <c r="F3369" s="82" t="s">
        <v>78</v>
      </c>
      <c r="G3369" s="82">
        <v>5</v>
      </c>
      <c r="H3369" s="82"/>
      <c r="I3369" s="138">
        <f t="shared" ref="I3369:I3375" si="143">H3369*G3369</f>
        <v>0</v>
      </c>
      <c r="J3369" s="82" t="s">
        <v>4519</v>
      </c>
      <c r="K3369" s="83" t="s">
        <v>4520</v>
      </c>
    </row>
    <row r="3370" spans="1:11" ht="15" customHeight="1" x14ac:dyDescent="0.25">
      <c r="A3370" s="82" t="s">
        <v>4346</v>
      </c>
      <c r="B3370" s="83" t="s">
        <v>4347</v>
      </c>
      <c r="C3370" s="83"/>
      <c r="D3370" s="83"/>
      <c r="E3370" s="83" t="s">
        <v>110</v>
      </c>
      <c r="F3370" s="82" t="s">
        <v>78</v>
      </c>
      <c r="G3370" s="82">
        <v>2</v>
      </c>
      <c r="H3370" s="82"/>
      <c r="I3370" s="138">
        <f t="shared" si="143"/>
        <v>0</v>
      </c>
      <c r="J3370" s="82"/>
      <c r="K3370" s="83"/>
    </row>
    <row r="3371" spans="1:11" ht="15" customHeight="1" x14ac:dyDescent="0.25">
      <c r="A3371" s="82" t="s">
        <v>4484</v>
      </c>
      <c r="B3371" s="83" t="s">
        <v>4500</v>
      </c>
      <c r="C3371" s="83"/>
      <c r="D3371" s="83"/>
      <c r="E3371" s="83" t="s">
        <v>110</v>
      </c>
      <c r="F3371" s="82" t="s">
        <v>78</v>
      </c>
      <c r="G3371" s="82">
        <v>8</v>
      </c>
      <c r="H3371" s="82"/>
      <c r="I3371" s="138">
        <f t="shared" si="143"/>
        <v>0</v>
      </c>
      <c r="J3371" s="82"/>
      <c r="K3371" s="83"/>
    </row>
    <row r="3372" spans="1:11" ht="39" customHeight="1" x14ac:dyDescent="0.25">
      <c r="A3372" s="82" t="s">
        <v>4477</v>
      </c>
      <c r="B3372" s="83" t="s">
        <v>4478</v>
      </c>
      <c r="C3372" s="83" t="s">
        <v>4479</v>
      </c>
      <c r="D3372" s="83"/>
      <c r="E3372" s="83" t="s">
        <v>4228</v>
      </c>
      <c r="F3372" s="82" t="s">
        <v>78</v>
      </c>
      <c r="G3372" s="82">
        <v>1</v>
      </c>
      <c r="H3372" s="82">
        <v>33000</v>
      </c>
      <c r="I3372" s="138">
        <f t="shared" si="143"/>
        <v>33000</v>
      </c>
      <c r="J3372" s="82"/>
      <c r="K3372" s="83"/>
    </row>
    <row r="3373" spans="1:11" ht="39" customHeight="1" x14ac:dyDescent="0.25">
      <c r="A3373" s="82" t="s">
        <v>4486</v>
      </c>
      <c r="B3373" s="83" t="s">
        <v>4487</v>
      </c>
      <c r="C3373" s="83"/>
      <c r="D3373" s="83"/>
      <c r="E3373" s="83" t="s">
        <v>110</v>
      </c>
      <c r="F3373" s="82" t="s">
        <v>78</v>
      </c>
      <c r="G3373" s="82">
        <v>2</v>
      </c>
      <c r="H3373" s="82">
        <v>9600</v>
      </c>
      <c r="I3373" s="138">
        <f t="shared" si="143"/>
        <v>19200</v>
      </c>
      <c r="J3373" s="82"/>
      <c r="K3373" s="83"/>
    </row>
    <row r="3374" spans="1:11" ht="15" customHeight="1" x14ac:dyDescent="0.25">
      <c r="A3374" s="82" t="s">
        <v>4236</v>
      </c>
      <c r="B3374" s="83" t="s">
        <v>4343</v>
      </c>
      <c r="C3374" s="83"/>
      <c r="D3374" s="83"/>
      <c r="E3374" s="83" t="s">
        <v>4228</v>
      </c>
      <c r="F3374" s="82" t="s">
        <v>78</v>
      </c>
      <c r="G3374" s="82">
        <v>4</v>
      </c>
      <c r="H3374" s="82">
        <v>1570</v>
      </c>
      <c r="I3374" s="138">
        <f t="shared" si="143"/>
        <v>6280</v>
      </c>
      <c r="J3374" s="82"/>
      <c r="K3374" s="83"/>
    </row>
    <row r="3375" spans="1:11" ht="15" customHeight="1" x14ac:dyDescent="0.25">
      <c r="A3375" s="82" t="s">
        <v>4236</v>
      </c>
      <c r="B3375" s="83" t="s">
        <v>4334</v>
      </c>
      <c r="C3375" s="83"/>
      <c r="D3375" s="83"/>
      <c r="E3375" s="83" t="s">
        <v>110</v>
      </c>
      <c r="F3375" s="82" t="s">
        <v>78</v>
      </c>
      <c r="G3375" s="82">
        <v>2</v>
      </c>
      <c r="H3375" s="82">
        <v>4500</v>
      </c>
      <c r="I3375" s="138">
        <f t="shared" si="143"/>
        <v>9000</v>
      </c>
      <c r="J3375" s="82"/>
      <c r="K3375" s="83"/>
    </row>
    <row r="3376" spans="1:11" ht="15" customHeight="1" x14ac:dyDescent="0.25">
      <c r="A3376" s="80" t="s">
        <v>5044</v>
      </c>
      <c r="B3376" s="80" t="s">
        <v>4558</v>
      </c>
      <c r="C3376" s="80"/>
      <c r="D3376" s="80"/>
      <c r="E3376" s="80"/>
      <c r="F3376" s="80"/>
      <c r="G3376" s="81"/>
      <c r="H3376" s="80"/>
      <c r="I3376" s="137"/>
      <c r="J3376" s="80"/>
      <c r="K3376" s="80"/>
    </row>
    <row r="3377" spans="1:11" ht="15" customHeight="1" x14ac:dyDescent="0.25">
      <c r="A3377" s="80" t="s">
        <v>5045</v>
      </c>
      <c r="B3377" s="80" t="s">
        <v>4496</v>
      </c>
      <c r="C3377" s="80"/>
      <c r="D3377" s="80"/>
      <c r="E3377" s="80"/>
      <c r="F3377" s="80"/>
      <c r="G3377" s="81"/>
      <c r="H3377" s="80"/>
      <c r="I3377" s="137"/>
      <c r="J3377" s="80"/>
      <c r="K3377" s="80"/>
    </row>
    <row r="3378" spans="1:11" ht="39" customHeight="1" x14ac:dyDescent="0.25">
      <c r="A3378" s="82" t="s">
        <v>4236</v>
      </c>
      <c r="B3378" s="83" t="s">
        <v>4497</v>
      </c>
      <c r="C3378" s="83"/>
      <c r="D3378" s="83"/>
      <c r="E3378" s="83" t="s">
        <v>4228</v>
      </c>
      <c r="F3378" s="82" t="s">
        <v>47</v>
      </c>
      <c r="G3378" s="82">
        <v>4</v>
      </c>
      <c r="H3378" s="82"/>
      <c r="I3378" s="138">
        <f>H3378*G3378</f>
        <v>0</v>
      </c>
      <c r="J3378" s="82"/>
      <c r="K3378" s="83"/>
    </row>
    <row r="3379" spans="1:11" ht="15" customHeight="1" x14ac:dyDescent="0.25">
      <c r="A3379" s="80" t="s">
        <v>5046</v>
      </c>
      <c r="B3379" s="80" t="s">
        <v>4490</v>
      </c>
      <c r="C3379" s="80"/>
      <c r="D3379" s="80"/>
      <c r="E3379" s="80"/>
      <c r="F3379" s="80"/>
      <c r="G3379" s="81"/>
      <c r="H3379" s="80"/>
      <c r="I3379" s="137"/>
      <c r="J3379" s="80"/>
      <c r="K3379" s="80"/>
    </row>
    <row r="3380" spans="1:11" ht="27" customHeight="1" x14ac:dyDescent="0.25">
      <c r="A3380" s="82" t="s">
        <v>4236</v>
      </c>
      <c r="B3380" s="83" t="s">
        <v>4491</v>
      </c>
      <c r="C3380" s="83"/>
      <c r="D3380" s="83"/>
      <c r="E3380" s="83" t="s">
        <v>4228</v>
      </c>
      <c r="F3380" s="82" t="s">
        <v>78</v>
      </c>
      <c r="G3380" s="82">
        <v>1</v>
      </c>
      <c r="H3380" s="82">
        <v>16500</v>
      </c>
      <c r="I3380" s="138">
        <f t="shared" ref="I3380:I3385" si="144">H3380*G3380</f>
        <v>16500</v>
      </c>
      <c r="J3380" s="82"/>
      <c r="K3380" s="83"/>
    </row>
    <row r="3381" spans="1:11" ht="15" customHeight="1" x14ac:dyDescent="0.25">
      <c r="A3381" s="82" t="s">
        <v>4236</v>
      </c>
      <c r="B3381" s="83" t="s">
        <v>4334</v>
      </c>
      <c r="C3381" s="83"/>
      <c r="D3381" s="83"/>
      <c r="E3381" s="83" t="s">
        <v>4228</v>
      </c>
      <c r="F3381" s="82" t="s">
        <v>78</v>
      </c>
      <c r="G3381" s="82">
        <v>1</v>
      </c>
      <c r="H3381" s="82">
        <v>4500</v>
      </c>
      <c r="I3381" s="138">
        <f t="shared" si="144"/>
        <v>4500</v>
      </c>
      <c r="J3381" s="82"/>
      <c r="K3381" s="83"/>
    </row>
    <row r="3382" spans="1:11" ht="15" customHeight="1" x14ac:dyDescent="0.25">
      <c r="A3382" s="82" t="s">
        <v>4236</v>
      </c>
      <c r="B3382" s="83" t="s">
        <v>4389</v>
      </c>
      <c r="C3382" s="83"/>
      <c r="D3382" s="83"/>
      <c r="E3382" s="83" t="s">
        <v>4228</v>
      </c>
      <c r="F3382" s="82" t="s">
        <v>78</v>
      </c>
      <c r="G3382" s="82">
        <v>1</v>
      </c>
      <c r="H3382" s="82">
        <v>4090</v>
      </c>
      <c r="I3382" s="138">
        <f t="shared" si="144"/>
        <v>4090</v>
      </c>
      <c r="J3382" s="82"/>
      <c r="K3382" s="83"/>
    </row>
    <row r="3383" spans="1:11" ht="15" customHeight="1" x14ac:dyDescent="0.25">
      <c r="A3383" s="82" t="s">
        <v>4236</v>
      </c>
      <c r="B3383" s="83" t="s">
        <v>4492</v>
      </c>
      <c r="C3383" s="83"/>
      <c r="D3383" s="83"/>
      <c r="E3383" s="83" t="s">
        <v>4228</v>
      </c>
      <c r="F3383" s="82" t="s">
        <v>78</v>
      </c>
      <c r="G3383" s="82">
        <v>1</v>
      </c>
      <c r="H3383" s="82">
        <v>4720</v>
      </c>
      <c r="I3383" s="138">
        <f t="shared" si="144"/>
        <v>4720</v>
      </c>
      <c r="J3383" s="82"/>
      <c r="K3383" s="83"/>
    </row>
    <row r="3384" spans="1:11" ht="15" customHeight="1" x14ac:dyDescent="0.25">
      <c r="A3384" s="82" t="s">
        <v>4236</v>
      </c>
      <c r="B3384" s="83" t="s">
        <v>4493</v>
      </c>
      <c r="C3384" s="83"/>
      <c r="D3384" s="83"/>
      <c r="E3384" s="83" t="s">
        <v>4228</v>
      </c>
      <c r="F3384" s="82" t="s">
        <v>78</v>
      </c>
      <c r="G3384" s="82">
        <v>1</v>
      </c>
      <c r="H3384" s="82">
        <v>760</v>
      </c>
      <c r="I3384" s="138">
        <f t="shared" si="144"/>
        <v>760</v>
      </c>
      <c r="J3384" s="82"/>
      <c r="K3384" s="83"/>
    </row>
    <row r="3385" spans="1:11" ht="15" customHeight="1" x14ac:dyDescent="0.25">
      <c r="A3385" s="82" t="s">
        <v>4236</v>
      </c>
      <c r="B3385" s="83" t="s">
        <v>4494</v>
      </c>
      <c r="C3385" s="83"/>
      <c r="D3385" s="83"/>
      <c r="E3385" s="83" t="s">
        <v>4228</v>
      </c>
      <c r="F3385" s="82" t="s">
        <v>78</v>
      </c>
      <c r="G3385" s="82">
        <v>1</v>
      </c>
      <c r="H3385" s="82">
        <v>3270</v>
      </c>
      <c r="I3385" s="138">
        <f t="shared" si="144"/>
        <v>3270</v>
      </c>
      <c r="J3385" s="82"/>
      <c r="K3385" s="83"/>
    </row>
    <row r="3386" spans="1:11" ht="15" customHeight="1" x14ac:dyDescent="0.25">
      <c r="A3386" s="80" t="s">
        <v>5047</v>
      </c>
      <c r="B3386" s="80" t="s">
        <v>5048</v>
      </c>
      <c r="C3386" s="80"/>
      <c r="D3386" s="80"/>
      <c r="E3386" s="80"/>
      <c r="F3386" s="80"/>
      <c r="G3386" s="81"/>
      <c r="H3386" s="80"/>
      <c r="I3386" s="137"/>
      <c r="J3386" s="80"/>
      <c r="K3386" s="80"/>
    </row>
    <row r="3387" spans="1:11" ht="99" customHeight="1" x14ac:dyDescent="0.25">
      <c r="A3387" s="82" t="s">
        <v>4517</v>
      </c>
      <c r="B3387" s="83" t="s">
        <v>4518</v>
      </c>
      <c r="C3387" s="83"/>
      <c r="D3387" s="83"/>
      <c r="E3387" s="83" t="s">
        <v>4228</v>
      </c>
      <c r="F3387" s="82" t="s">
        <v>78</v>
      </c>
      <c r="G3387" s="82">
        <v>5</v>
      </c>
      <c r="H3387" s="82"/>
      <c r="I3387" s="138">
        <f t="shared" ref="I3387:I3393" si="145">H3387*G3387</f>
        <v>0</v>
      </c>
      <c r="J3387" s="82" t="s">
        <v>4519</v>
      </c>
      <c r="K3387" s="83" t="s">
        <v>4520</v>
      </c>
    </row>
    <row r="3388" spans="1:11" ht="15" customHeight="1" x14ac:dyDescent="0.25">
      <c r="A3388" s="82" t="s">
        <v>4346</v>
      </c>
      <c r="B3388" s="83" t="s">
        <v>4347</v>
      </c>
      <c r="C3388" s="83"/>
      <c r="D3388" s="83"/>
      <c r="E3388" s="83" t="s">
        <v>110</v>
      </c>
      <c r="F3388" s="82" t="s">
        <v>78</v>
      </c>
      <c r="G3388" s="82">
        <v>1</v>
      </c>
      <c r="H3388" s="82"/>
      <c r="I3388" s="138">
        <f t="shared" si="145"/>
        <v>0</v>
      </c>
      <c r="J3388" s="82"/>
      <c r="K3388" s="83"/>
    </row>
    <row r="3389" spans="1:11" ht="15" customHeight="1" x14ac:dyDescent="0.25">
      <c r="A3389" s="82" t="s">
        <v>4484</v>
      </c>
      <c r="B3389" s="83" t="s">
        <v>4500</v>
      </c>
      <c r="C3389" s="83"/>
      <c r="D3389" s="83"/>
      <c r="E3389" s="83" t="s">
        <v>110</v>
      </c>
      <c r="F3389" s="82" t="s">
        <v>78</v>
      </c>
      <c r="G3389" s="82">
        <v>8</v>
      </c>
      <c r="H3389" s="82"/>
      <c r="I3389" s="138">
        <f t="shared" si="145"/>
        <v>0</v>
      </c>
      <c r="J3389" s="82"/>
      <c r="K3389" s="83"/>
    </row>
    <row r="3390" spans="1:11" ht="39" customHeight="1" x14ac:dyDescent="0.25">
      <c r="A3390" s="82" t="s">
        <v>4477</v>
      </c>
      <c r="B3390" s="83" t="s">
        <v>4478</v>
      </c>
      <c r="C3390" s="83" t="s">
        <v>4479</v>
      </c>
      <c r="D3390" s="83"/>
      <c r="E3390" s="83" t="s">
        <v>4228</v>
      </c>
      <c r="F3390" s="82" t="s">
        <v>78</v>
      </c>
      <c r="G3390" s="82">
        <v>1</v>
      </c>
      <c r="H3390" s="82">
        <v>33000</v>
      </c>
      <c r="I3390" s="138">
        <f t="shared" si="145"/>
        <v>33000</v>
      </c>
      <c r="J3390" s="82"/>
      <c r="K3390" s="83"/>
    </row>
    <row r="3391" spans="1:11" ht="39" customHeight="1" x14ac:dyDescent="0.25">
      <c r="A3391" s="82" t="s">
        <v>4486</v>
      </c>
      <c r="B3391" s="83" t="s">
        <v>4487</v>
      </c>
      <c r="C3391" s="83"/>
      <c r="D3391" s="83"/>
      <c r="E3391" s="83" t="s">
        <v>110</v>
      </c>
      <c r="F3391" s="82" t="s">
        <v>78</v>
      </c>
      <c r="G3391" s="82">
        <v>2</v>
      </c>
      <c r="H3391" s="82">
        <v>9600</v>
      </c>
      <c r="I3391" s="138">
        <f t="shared" si="145"/>
        <v>19200</v>
      </c>
      <c r="J3391" s="82"/>
      <c r="K3391" s="83"/>
    </row>
    <row r="3392" spans="1:11" ht="15" customHeight="1" x14ac:dyDescent="0.25">
      <c r="A3392" s="82" t="s">
        <v>4236</v>
      </c>
      <c r="B3392" s="83" t="s">
        <v>4343</v>
      </c>
      <c r="C3392" s="83"/>
      <c r="D3392" s="83"/>
      <c r="E3392" s="83" t="s">
        <v>4228</v>
      </c>
      <c r="F3392" s="82" t="s">
        <v>78</v>
      </c>
      <c r="G3392" s="82">
        <v>4</v>
      </c>
      <c r="H3392" s="82">
        <v>1570</v>
      </c>
      <c r="I3392" s="138">
        <f t="shared" si="145"/>
        <v>6280</v>
      </c>
      <c r="J3392" s="82"/>
      <c r="K3392" s="83"/>
    </row>
    <row r="3393" spans="1:11" ht="15" customHeight="1" x14ac:dyDescent="0.25">
      <c r="A3393" s="82" t="s">
        <v>4236</v>
      </c>
      <c r="B3393" s="83" t="s">
        <v>4334</v>
      </c>
      <c r="C3393" s="83"/>
      <c r="D3393" s="83"/>
      <c r="E3393" s="83" t="s">
        <v>5049</v>
      </c>
      <c r="F3393" s="82" t="s">
        <v>78</v>
      </c>
      <c r="G3393" s="82">
        <v>2</v>
      </c>
      <c r="H3393" s="82">
        <v>4500</v>
      </c>
      <c r="I3393" s="138">
        <f t="shared" si="145"/>
        <v>9000</v>
      </c>
      <c r="J3393" s="82"/>
      <c r="K3393" s="83"/>
    </row>
    <row r="3394" spans="1:11" ht="15" customHeight="1" x14ac:dyDescent="0.25">
      <c r="A3394" s="80" t="s">
        <v>5050</v>
      </c>
      <c r="B3394" s="80" t="s">
        <v>4558</v>
      </c>
      <c r="C3394" s="80"/>
      <c r="D3394" s="80"/>
      <c r="E3394" s="80"/>
      <c r="F3394" s="80"/>
      <c r="G3394" s="81"/>
      <c r="H3394" s="80"/>
      <c r="I3394" s="137"/>
      <c r="J3394" s="80"/>
      <c r="K3394" s="80"/>
    </row>
    <row r="3395" spans="1:11" ht="15" customHeight="1" x14ac:dyDescent="0.25">
      <c r="A3395" s="80" t="s">
        <v>5051</v>
      </c>
      <c r="B3395" s="80" t="s">
        <v>4496</v>
      </c>
      <c r="C3395" s="80"/>
      <c r="D3395" s="80"/>
      <c r="E3395" s="80"/>
      <c r="F3395" s="80"/>
      <c r="G3395" s="81"/>
      <c r="H3395" s="80"/>
      <c r="I3395" s="137"/>
      <c r="J3395" s="80"/>
      <c r="K3395" s="80"/>
    </row>
    <row r="3396" spans="1:11" ht="39" customHeight="1" x14ac:dyDescent="0.25">
      <c r="A3396" s="82" t="s">
        <v>4236</v>
      </c>
      <c r="B3396" s="83" t="s">
        <v>4497</v>
      </c>
      <c r="C3396" s="83"/>
      <c r="D3396" s="83"/>
      <c r="E3396" s="83" t="s">
        <v>4228</v>
      </c>
      <c r="F3396" s="82" t="s">
        <v>47</v>
      </c>
      <c r="G3396" s="82">
        <v>4</v>
      </c>
      <c r="H3396" s="82"/>
      <c r="I3396" s="138">
        <f>H3396*G3396</f>
        <v>0</v>
      </c>
      <c r="J3396" s="82"/>
      <c r="K3396" s="83"/>
    </row>
    <row r="3397" spans="1:11" ht="15" customHeight="1" x14ac:dyDescent="0.25">
      <c r="A3397" s="80" t="s">
        <v>5052</v>
      </c>
      <c r="B3397" s="80" t="s">
        <v>4490</v>
      </c>
      <c r="C3397" s="80"/>
      <c r="D3397" s="80"/>
      <c r="E3397" s="80"/>
      <c r="F3397" s="80"/>
      <c r="G3397" s="81"/>
      <c r="H3397" s="80"/>
      <c r="I3397" s="137"/>
      <c r="J3397" s="80"/>
      <c r="K3397" s="80"/>
    </row>
    <row r="3398" spans="1:11" ht="27" customHeight="1" x14ac:dyDescent="0.25">
      <c r="A3398" s="82" t="s">
        <v>4236</v>
      </c>
      <c r="B3398" s="83" t="s">
        <v>4491</v>
      </c>
      <c r="C3398" s="83"/>
      <c r="D3398" s="83"/>
      <c r="E3398" s="83" t="s">
        <v>4228</v>
      </c>
      <c r="F3398" s="82" t="s">
        <v>78</v>
      </c>
      <c r="G3398" s="82">
        <v>1</v>
      </c>
      <c r="H3398" s="82">
        <v>16500</v>
      </c>
      <c r="I3398" s="138">
        <f t="shared" ref="I3398:I3403" si="146">H3398*G3398</f>
        <v>16500</v>
      </c>
      <c r="J3398" s="82"/>
      <c r="K3398" s="83"/>
    </row>
    <row r="3399" spans="1:11" ht="15" customHeight="1" x14ac:dyDescent="0.25">
      <c r="A3399" s="82" t="s">
        <v>4236</v>
      </c>
      <c r="B3399" s="83" t="s">
        <v>4334</v>
      </c>
      <c r="C3399" s="83"/>
      <c r="D3399" s="83"/>
      <c r="E3399" s="83" t="s">
        <v>4228</v>
      </c>
      <c r="F3399" s="82" t="s">
        <v>78</v>
      </c>
      <c r="G3399" s="82">
        <v>1</v>
      </c>
      <c r="H3399" s="82">
        <v>4500</v>
      </c>
      <c r="I3399" s="138">
        <f t="shared" si="146"/>
        <v>4500</v>
      </c>
      <c r="J3399" s="82"/>
      <c r="K3399" s="83"/>
    </row>
    <row r="3400" spans="1:11" ht="15" customHeight="1" x14ac:dyDescent="0.25">
      <c r="A3400" s="82" t="s">
        <v>4236</v>
      </c>
      <c r="B3400" s="83" t="s">
        <v>4389</v>
      </c>
      <c r="C3400" s="83"/>
      <c r="D3400" s="83"/>
      <c r="E3400" s="83" t="s">
        <v>4228</v>
      </c>
      <c r="F3400" s="82" t="s">
        <v>78</v>
      </c>
      <c r="G3400" s="82">
        <v>1</v>
      </c>
      <c r="H3400" s="82">
        <v>4090</v>
      </c>
      <c r="I3400" s="138">
        <f t="shared" si="146"/>
        <v>4090</v>
      </c>
      <c r="J3400" s="82"/>
      <c r="K3400" s="83"/>
    </row>
    <row r="3401" spans="1:11" ht="15" customHeight="1" x14ac:dyDescent="0.25">
      <c r="A3401" s="82" t="s">
        <v>4236</v>
      </c>
      <c r="B3401" s="83" t="s">
        <v>4492</v>
      </c>
      <c r="C3401" s="83"/>
      <c r="D3401" s="83"/>
      <c r="E3401" s="83" t="s">
        <v>4228</v>
      </c>
      <c r="F3401" s="82" t="s">
        <v>78</v>
      </c>
      <c r="G3401" s="82">
        <v>1</v>
      </c>
      <c r="H3401" s="82">
        <v>4720</v>
      </c>
      <c r="I3401" s="138">
        <f t="shared" si="146"/>
        <v>4720</v>
      </c>
      <c r="J3401" s="82"/>
      <c r="K3401" s="83"/>
    </row>
    <row r="3402" spans="1:11" ht="15" customHeight="1" x14ac:dyDescent="0.25">
      <c r="A3402" s="82" t="s">
        <v>4236</v>
      </c>
      <c r="B3402" s="83" t="s">
        <v>4493</v>
      </c>
      <c r="C3402" s="83"/>
      <c r="D3402" s="83"/>
      <c r="E3402" s="83" t="s">
        <v>4228</v>
      </c>
      <c r="F3402" s="82" t="s">
        <v>78</v>
      </c>
      <c r="G3402" s="82">
        <v>1</v>
      </c>
      <c r="H3402" s="82">
        <v>760</v>
      </c>
      <c r="I3402" s="138">
        <f t="shared" si="146"/>
        <v>760</v>
      </c>
      <c r="J3402" s="82"/>
      <c r="K3402" s="83"/>
    </row>
    <row r="3403" spans="1:11" ht="15" customHeight="1" x14ac:dyDescent="0.25">
      <c r="A3403" s="82" t="s">
        <v>4236</v>
      </c>
      <c r="B3403" s="83" t="s">
        <v>4494</v>
      </c>
      <c r="C3403" s="83"/>
      <c r="D3403" s="83"/>
      <c r="E3403" s="83" t="s">
        <v>4228</v>
      </c>
      <c r="F3403" s="82" t="s">
        <v>78</v>
      </c>
      <c r="G3403" s="82">
        <v>1</v>
      </c>
      <c r="H3403" s="82">
        <v>3270</v>
      </c>
      <c r="I3403" s="138">
        <f t="shared" si="146"/>
        <v>3270</v>
      </c>
      <c r="J3403" s="82"/>
      <c r="K3403" s="83"/>
    </row>
    <row r="3404" spans="1:11" ht="15" customHeight="1" x14ac:dyDescent="0.25">
      <c r="A3404" s="80" t="s">
        <v>5053</v>
      </c>
      <c r="B3404" s="80" t="s">
        <v>4507</v>
      </c>
      <c r="C3404" s="80"/>
      <c r="D3404" s="80"/>
      <c r="E3404" s="80"/>
      <c r="F3404" s="80"/>
      <c r="G3404" s="81"/>
      <c r="H3404" s="80"/>
      <c r="I3404" s="137"/>
      <c r="J3404" s="80"/>
      <c r="K3404" s="80"/>
    </row>
    <row r="3405" spans="1:11" ht="27" customHeight="1" x14ac:dyDescent="0.25">
      <c r="A3405" s="82" t="s">
        <v>4236</v>
      </c>
      <c r="B3405" s="83" t="s">
        <v>4491</v>
      </c>
      <c r="C3405" s="83"/>
      <c r="D3405" s="83"/>
      <c r="E3405" s="83" t="s">
        <v>4228</v>
      </c>
      <c r="F3405" s="82" t="s">
        <v>78</v>
      </c>
      <c r="G3405" s="82">
        <v>1</v>
      </c>
      <c r="H3405" s="82">
        <v>16500</v>
      </c>
      <c r="I3405" s="138">
        <f t="shared" ref="I3405:I3410" si="147">H3405*G3405</f>
        <v>16500</v>
      </c>
      <c r="J3405" s="82"/>
      <c r="K3405" s="83"/>
    </row>
    <row r="3406" spans="1:11" ht="15" customHeight="1" x14ac:dyDescent="0.25">
      <c r="A3406" s="82" t="s">
        <v>4236</v>
      </c>
      <c r="B3406" s="83" t="s">
        <v>4334</v>
      </c>
      <c r="C3406" s="83"/>
      <c r="D3406" s="83"/>
      <c r="E3406" s="83" t="s">
        <v>4544</v>
      </c>
      <c r="F3406" s="82" t="s">
        <v>78</v>
      </c>
      <c r="G3406" s="82">
        <v>1</v>
      </c>
      <c r="H3406" s="82">
        <v>4500</v>
      </c>
      <c r="I3406" s="138">
        <f t="shared" si="147"/>
        <v>4500</v>
      </c>
      <c r="J3406" s="82"/>
      <c r="K3406" s="83"/>
    </row>
    <row r="3407" spans="1:11" ht="15" customHeight="1" x14ac:dyDescent="0.25">
      <c r="A3407" s="82" t="s">
        <v>4236</v>
      </c>
      <c r="B3407" s="83" t="s">
        <v>4389</v>
      </c>
      <c r="C3407" s="83"/>
      <c r="D3407" s="83"/>
      <c r="E3407" s="83" t="s">
        <v>4228</v>
      </c>
      <c r="F3407" s="82" t="s">
        <v>78</v>
      </c>
      <c r="G3407" s="82">
        <v>1</v>
      </c>
      <c r="H3407" s="82">
        <v>4090</v>
      </c>
      <c r="I3407" s="138">
        <f t="shared" si="147"/>
        <v>4090</v>
      </c>
      <c r="J3407" s="82"/>
      <c r="K3407" s="83"/>
    </row>
    <row r="3408" spans="1:11" ht="15" customHeight="1" x14ac:dyDescent="0.25">
      <c r="A3408" s="82" t="s">
        <v>4236</v>
      </c>
      <c r="B3408" s="83" t="s">
        <v>4492</v>
      </c>
      <c r="C3408" s="83"/>
      <c r="D3408" s="83"/>
      <c r="E3408" s="83" t="s">
        <v>4228</v>
      </c>
      <c r="F3408" s="82" t="s">
        <v>78</v>
      </c>
      <c r="G3408" s="82">
        <v>1</v>
      </c>
      <c r="H3408" s="82">
        <v>4720</v>
      </c>
      <c r="I3408" s="138">
        <f t="shared" si="147"/>
        <v>4720</v>
      </c>
      <c r="J3408" s="82"/>
      <c r="K3408" s="83"/>
    </row>
    <row r="3409" spans="1:11" ht="15" customHeight="1" x14ac:dyDescent="0.25">
      <c r="A3409" s="82" t="s">
        <v>4236</v>
      </c>
      <c r="B3409" s="83" t="s">
        <v>4493</v>
      </c>
      <c r="C3409" s="83"/>
      <c r="D3409" s="83"/>
      <c r="E3409" s="83" t="s">
        <v>4228</v>
      </c>
      <c r="F3409" s="82" t="s">
        <v>78</v>
      </c>
      <c r="G3409" s="82">
        <v>1</v>
      </c>
      <c r="H3409" s="82">
        <v>760</v>
      </c>
      <c r="I3409" s="138">
        <f t="shared" si="147"/>
        <v>760</v>
      </c>
      <c r="J3409" s="82"/>
      <c r="K3409" s="83"/>
    </row>
    <row r="3410" spans="1:11" ht="15" customHeight="1" x14ac:dyDescent="0.25">
      <c r="A3410" s="82" t="s">
        <v>4236</v>
      </c>
      <c r="B3410" s="83" t="s">
        <v>4494</v>
      </c>
      <c r="C3410" s="83"/>
      <c r="D3410" s="83"/>
      <c r="E3410" s="83" t="s">
        <v>4228</v>
      </c>
      <c r="F3410" s="82" t="s">
        <v>78</v>
      </c>
      <c r="G3410" s="82">
        <v>1</v>
      </c>
      <c r="H3410" s="82">
        <v>3270</v>
      </c>
      <c r="I3410" s="138">
        <f t="shared" si="147"/>
        <v>3270</v>
      </c>
      <c r="J3410" s="82"/>
      <c r="K3410" s="83"/>
    </row>
    <row r="3411" spans="1:11" ht="15" customHeight="1" x14ac:dyDescent="0.25">
      <c r="A3411" s="80" t="s">
        <v>5054</v>
      </c>
      <c r="B3411" s="80" t="s">
        <v>4511</v>
      </c>
      <c r="C3411" s="80"/>
      <c r="D3411" s="80"/>
      <c r="E3411" s="80"/>
      <c r="F3411" s="80"/>
      <c r="G3411" s="81"/>
      <c r="H3411" s="80"/>
      <c r="I3411" s="137"/>
      <c r="J3411" s="80"/>
      <c r="K3411" s="80"/>
    </row>
    <row r="3412" spans="1:11" ht="27" customHeight="1" x14ac:dyDescent="0.25">
      <c r="A3412" s="82" t="s">
        <v>4236</v>
      </c>
      <c r="B3412" s="83" t="s">
        <v>4491</v>
      </c>
      <c r="C3412" s="83"/>
      <c r="D3412" s="83"/>
      <c r="E3412" s="83" t="s">
        <v>4228</v>
      </c>
      <c r="F3412" s="82" t="s">
        <v>78</v>
      </c>
      <c r="G3412" s="82">
        <v>1</v>
      </c>
      <c r="H3412" s="82">
        <v>16500</v>
      </c>
      <c r="I3412" s="138">
        <f t="shared" ref="I3412:I3417" si="148">H3412*G3412</f>
        <v>16500</v>
      </c>
      <c r="J3412" s="82"/>
      <c r="K3412" s="83"/>
    </row>
    <row r="3413" spans="1:11" ht="15" customHeight="1" x14ac:dyDescent="0.25">
      <c r="A3413" s="82" t="s">
        <v>4236</v>
      </c>
      <c r="B3413" s="83" t="s">
        <v>4334</v>
      </c>
      <c r="C3413" s="83"/>
      <c r="D3413" s="83"/>
      <c r="E3413" s="83" t="s">
        <v>4228</v>
      </c>
      <c r="F3413" s="82" t="s">
        <v>78</v>
      </c>
      <c r="G3413" s="82">
        <v>1</v>
      </c>
      <c r="H3413" s="82">
        <v>4500</v>
      </c>
      <c r="I3413" s="138">
        <f t="shared" si="148"/>
        <v>4500</v>
      </c>
      <c r="J3413" s="82"/>
      <c r="K3413" s="83"/>
    </row>
    <row r="3414" spans="1:11" ht="15" customHeight="1" x14ac:dyDescent="0.25">
      <c r="A3414" s="82" t="s">
        <v>4236</v>
      </c>
      <c r="B3414" s="83" t="s">
        <v>4389</v>
      </c>
      <c r="C3414" s="83"/>
      <c r="D3414" s="83"/>
      <c r="E3414" s="83" t="s">
        <v>4228</v>
      </c>
      <c r="F3414" s="82" t="s">
        <v>78</v>
      </c>
      <c r="G3414" s="82">
        <v>1</v>
      </c>
      <c r="H3414" s="82">
        <v>4090</v>
      </c>
      <c r="I3414" s="138">
        <f t="shared" si="148"/>
        <v>4090</v>
      </c>
      <c r="J3414" s="82"/>
      <c r="K3414" s="83"/>
    </row>
    <row r="3415" spans="1:11" ht="15" customHeight="1" x14ac:dyDescent="0.25">
      <c r="A3415" s="82" t="s">
        <v>4236</v>
      </c>
      <c r="B3415" s="83" t="s">
        <v>4492</v>
      </c>
      <c r="C3415" s="83"/>
      <c r="D3415" s="83"/>
      <c r="E3415" s="83" t="s">
        <v>4544</v>
      </c>
      <c r="F3415" s="82" t="s">
        <v>78</v>
      </c>
      <c r="G3415" s="82">
        <v>1</v>
      </c>
      <c r="H3415" s="82">
        <v>4720</v>
      </c>
      <c r="I3415" s="138">
        <f t="shared" si="148"/>
        <v>4720</v>
      </c>
      <c r="J3415" s="82"/>
      <c r="K3415" s="83"/>
    </row>
    <row r="3416" spans="1:11" ht="15" customHeight="1" x14ac:dyDescent="0.25">
      <c r="A3416" s="82" t="s">
        <v>4236</v>
      </c>
      <c r="B3416" s="83" t="s">
        <v>4493</v>
      </c>
      <c r="C3416" s="83"/>
      <c r="D3416" s="83"/>
      <c r="E3416" s="83" t="s">
        <v>4228</v>
      </c>
      <c r="F3416" s="82" t="s">
        <v>78</v>
      </c>
      <c r="G3416" s="82">
        <v>1</v>
      </c>
      <c r="H3416" s="82">
        <v>760</v>
      </c>
      <c r="I3416" s="138">
        <f t="shared" si="148"/>
        <v>760</v>
      </c>
      <c r="J3416" s="82"/>
      <c r="K3416" s="83"/>
    </row>
    <row r="3417" spans="1:11" ht="15" customHeight="1" x14ac:dyDescent="0.25">
      <c r="A3417" s="82" t="s">
        <v>4236</v>
      </c>
      <c r="B3417" s="83" t="s">
        <v>4494</v>
      </c>
      <c r="C3417" s="83"/>
      <c r="D3417" s="83"/>
      <c r="E3417" s="83" t="s">
        <v>4228</v>
      </c>
      <c r="F3417" s="82" t="s">
        <v>78</v>
      </c>
      <c r="G3417" s="82">
        <v>1</v>
      </c>
      <c r="H3417" s="82">
        <v>3270</v>
      </c>
      <c r="I3417" s="138">
        <f t="shared" si="148"/>
        <v>3270</v>
      </c>
      <c r="J3417" s="82"/>
      <c r="K3417" s="83"/>
    </row>
    <row r="3418" spans="1:11" ht="15" customHeight="1" x14ac:dyDescent="0.25">
      <c r="A3418" s="80" t="s">
        <v>5055</v>
      </c>
      <c r="B3418" s="80" t="s">
        <v>4378</v>
      </c>
      <c r="C3418" s="80"/>
      <c r="D3418" s="80"/>
      <c r="E3418" s="80"/>
      <c r="F3418" s="80"/>
      <c r="G3418" s="81"/>
      <c r="H3418" s="80"/>
      <c r="I3418" s="137"/>
      <c r="J3418" s="80"/>
      <c r="K3418" s="80"/>
    </row>
    <row r="3419" spans="1:11" ht="51" customHeight="1" x14ac:dyDescent="0.25">
      <c r="A3419" s="82" t="s">
        <v>4383</v>
      </c>
      <c r="B3419" s="83" t="s">
        <v>4384</v>
      </c>
      <c r="C3419" s="83"/>
      <c r="D3419" s="83"/>
      <c r="E3419" s="83" t="s">
        <v>4228</v>
      </c>
      <c r="F3419" s="82" t="s">
        <v>78</v>
      </c>
      <c r="G3419" s="82">
        <v>1</v>
      </c>
      <c r="H3419" s="82">
        <v>16200</v>
      </c>
      <c r="I3419" s="138">
        <f>H3419*G3419</f>
        <v>16200</v>
      </c>
      <c r="J3419" s="82"/>
      <c r="K3419" s="83"/>
    </row>
    <row r="3420" spans="1:11" ht="27" customHeight="1" x14ac:dyDescent="0.25">
      <c r="A3420" s="82" t="s">
        <v>4385</v>
      </c>
      <c r="B3420" s="83" t="s">
        <v>4386</v>
      </c>
      <c r="C3420" s="83" t="s">
        <v>5056</v>
      </c>
      <c r="D3420" s="83"/>
      <c r="E3420" s="83" t="s">
        <v>4228</v>
      </c>
      <c r="F3420" s="82" t="s">
        <v>78</v>
      </c>
      <c r="G3420" s="82">
        <v>1</v>
      </c>
      <c r="H3420" s="82">
        <v>523000</v>
      </c>
      <c r="I3420" s="138">
        <f>H3420*G3420</f>
        <v>523000</v>
      </c>
      <c r="J3420" s="82" t="s">
        <v>4388</v>
      </c>
      <c r="K3420" s="83"/>
    </row>
    <row r="3421" spans="1:11" ht="15" customHeight="1" x14ac:dyDescent="0.25">
      <c r="A3421" s="82" t="s">
        <v>4236</v>
      </c>
      <c r="B3421" s="83" t="s">
        <v>4334</v>
      </c>
      <c r="C3421" s="83"/>
      <c r="D3421" s="83"/>
      <c r="E3421" s="83" t="s">
        <v>4228</v>
      </c>
      <c r="F3421" s="82" t="s">
        <v>78</v>
      </c>
      <c r="G3421" s="82">
        <v>1</v>
      </c>
      <c r="H3421" s="82">
        <v>4500</v>
      </c>
      <c r="I3421" s="138">
        <f>H3421*G3421</f>
        <v>4500</v>
      </c>
      <c r="J3421" s="82"/>
      <c r="K3421" s="83"/>
    </row>
    <row r="3422" spans="1:11" ht="15" customHeight="1" x14ac:dyDescent="0.25">
      <c r="A3422" s="82" t="s">
        <v>4236</v>
      </c>
      <c r="B3422" s="83" t="s">
        <v>4389</v>
      </c>
      <c r="C3422" s="83"/>
      <c r="D3422" s="83"/>
      <c r="E3422" s="83" t="s">
        <v>4228</v>
      </c>
      <c r="F3422" s="82" t="s">
        <v>78</v>
      </c>
      <c r="G3422" s="82">
        <v>1</v>
      </c>
      <c r="H3422" s="82">
        <v>4090</v>
      </c>
      <c r="I3422" s="138">
        <f>H3422*G3422</f>
        <v>4090</v>
      </c>
      <c r="J3422" s="82"/>
      <c r="K3422" s="83"/>
    </row>
    <row r="3423" spans="1:11" ht="15" customHeight="1" x14ac:dyDescent="0.25">
      <c r="A3423" s="82" t="s">
        <v>4236</v>
      </c>
      <c r="B3423" s="83" t="s">
        <v>4390</v>
      </c>
      <c r="C3423" s="83"/>
      <c r="D3423" s="83"/>
      <c r="E3423" s="83" t="s">
        <v>4228</v>
      </c>
      <c r="F3423" s="82" t="s">
        <v>78</v>
      </c>
      <c r="G3423" s="82">
        <v>1</v>
      </c>
      <c r="H3423" s="82"/>
      <c r="I3423" s="138">
        <f>H3423*G3423</f>
        <v>0</v>
      </c>
      <c r="J3423" s="82"/>
      <c r="K3423" s="83"/>
    </row>
    <row r="3424" spans="1:11" ht="15" customHeight="1" x14ac:dyDescent="0.25">
      <c r="A3424" s="80" t="s">
        <v>5057</v>
      </c>
      <c r="B3424" s="80" t="s">
        <v>5058</v>
      </c>
      <c r="C3424" s="80"/>
      <c r="D3424" s="80"/>
      <c r="E3424" s="80"/>
      <c r="F3424" s="80"/>
      <c r="G3424" s="81"/>
      <c r="H3424" s="80"/>
      <c r="I3424" s="137"/>
      <c r="J3424" s="80"/>
      <c r="K3424" s="80"/>
    </row>
    <row r="3425" spans="1:11" ht="15" customHeight="1" x14ac:dyDescent="0.25">
      <c r="A3425" s="80" t="s">
        <v>5059</v>
      </c>
      <c r="B3425" s="80" t="s">
        <v>4824</v>
      </c>
      <c r="C3425" s="80"/>
      <c r="D3425" s="80"/>
      <c r="E3425" s="80"/>
      <c r="F3425" s="80"/>
      <c r="G3425" s="81"/>
      <c r="H3425" s="80"/>
      <c r="I3425" s="137"/>
      <c r="J3425" s="80"/>
      <c r="K3425" s="80"/>
    </row>
    <row r="3426" spans="1:11" ht="27" customHeight="1" x14ac:dyDescent="0.25">
      <c r="A3426" s="82" t="s">
        <v>4236</v>
      </c>
      <c r="B3426" s="83" t="s">
        <v>4491</v>
      </c>
      <c r="C3426" s="83"/>
      <c r="D3426" s="83"/>
      <c r="E3426" s="83" t="s">
        <v>4228</v>
      </c>
      <c r="F3426" s="82" t="s">
        <v>78</v>
      </c>
      <c r="G3426" s="82">
        <v>1</v>
      </c>
      <c r="H3426" s="82">
        <v>16500</v>
      </c>
      <c r="I3426" s="138">
        <f t="shared" ref="I3426:I3431" si="149">H3426*G3426</f>
        <v>16500</v>
      </c>
      <c r="J3426" s="82"/>
      <c r="K3426" s="83"/>
    </row>
    <row r="3427" spans="1:11" ht="15" customHeight="1" x14ac:dyDescent="0.25">
      <c r="A3427" s="82" t="s">
        <v>4236</v>
      </c>
      <c r="B3427" s="83" t="s">
        <v>4334</v>
      </c>
      <c r="C3427" s="83"/>
      <c r="D3427" s="83"/>
      <c r="E3427" s="83" t="s">
        <v>4228</v>
      </c>
      <c r="F3427" s="82" t="s">
        <v>78</v>
      </c>
      <c r="G3427" s="82">
        <v>1</v>
      </c>
      <c r="H3427" s="82">
        <v>4500</v>
      </c>
      <c r="I3427" s="138">
        <f t="shared" si="149"/>
        <v>4500</v>
      </c>
      <c r="J3427" s="82"/>
      <c r="K3427" s="83"/>
    </row>
    <row r="3428" spans="1:11" ht="15" customHeight="1" x14ac:dyDescent="0.25">
      <c r="A3428" s="82" t="s">
        <v>4236</v>
      </c>
      <c r="B3428" s="83" t="s">
        <v>4389</v>
      </c>
      <c r="C3428" s="83"/>
      <c r="D3428" s="83"/>
      <c r="E3428" s="83" t="s">
        <v>4228</v>
      </c>
      <c r="F3428" s="82" t="s">
        <v>78</v>
      </c>
      <c r="G3428" s="82">
        <v>1</v>
      </c>
      <c r="H3428" s="82">
        <v>4090</v>
      </c>
      <c r="I3428" s="138">
        <f t="shared" si="149"/>
        <v>4090</v>
      </c>
      <c r="J3428" s="82"/>
      <c r="K3428" s="83"/>
    </row>
    <row r="3429" spans="1:11" ht="15" customHeight="1" x14ac:dyDescent="0.25">
      <c r="A3429" s="82" t="s">
        <v>4236</v>
      </c>
      <c r="B3429" s="83" t="s">
        <v>4492</v>
      </c>
      <c r="C3429" s="83"/>
      <c r="D3429" s="83"/>
      <c r="E3429" s="83" t="s">
        <v>4544</v>
      </c>
      <c r="F3429" s="82" t="s">
        <v>78</v>
      </c>
      <c r="G3429" s="82">
        <v>1</v>
      </c>
      <c r="H3429" s="82">
        <v>4720</v>
      </c>
      <c r="I3429" s="138">
        <f t="shared" si="149"/>
        <v>4720</v>
      </c>
      <c r="J3429" s="82"/>
      <c r="K3429" s="83"/>
    </row>
    <row r="3430" spans="1:11" ht="15" customHeight="1" x14ac:dyDescent="0.25">
      <c r="A3430" s="82" t="s">
        <v>4236</v>
      </c>
      <c r="B3430" s="83" t="s">
        <v>4493</v>
      </c>
      <c r="C3430" s="83"/>
      <c r="D3430" s="83"/>
      <c r="E3430" s="83" t="s">
        <v>4228</v>
      </c>
      <c r="F3430" s="82" t="s">
        <v>78</v>
      </c>
      <c r="G3430" s="82">
        <v>1</v>
      </c>
      <c r="H3430" s="82">
        <v>760</v>
      </c>
      <c r="I3430" s="138">
        <f t="shared" si="149"/>
        <v>760</v>
      </c>
      <c r="J3430" s="82"/>
      <c r="K3430" s="83"/>
    </row>
    <row r="3431" spans="1:11" ht="15" customHeight="1" x14ac:dyDescent="0.25">
      <c r="A3431" s="82" t="s">
        <v>4236</v>
      </c>
      <c r="B3431" s="83" t="s">
        <v>4494</v>
      </c>
      <c r="C3431" s="83"/>
      <c r="D3431" s="83"/>
      <c r="E3431" s="83" t="s">
        <v>4228</v>
      </c>
      <c r="F3431" s="82" t="s">
        <v>78</v>
      </c>
      <c r="G3431" s="82">
        <v>1</v>
      </c>
      <c r="H3431" s="82">
        <v>3270</v>
      </c>
      <c r="I3431" s="138">
        <f t="shared" si="149"/>
        <v>3270</v>
      </c>
      <c r="J3431" s="82"/>
      <c r="K3431" s="83"/>
    </row>
    <row r="3432" spans="1:11" ht="15" customHeight="1" x14ac:dyDescent="0.25">
      <c r="A3432" s="80" t="s">
        <v>5060</v>
      </c>
      <c r="B3432" s="80" t="s">
        <v>5061</v>
      </c>
      <c r="C3432" s="80"/>
      <c r="D3432" s="80"/>
      <c r="E3432" s="80"/>
      <c r="F3432" s="80"/>
      <c r="G3432" s="81"/>
      <c r="H3432" s="80"/>
      <c r="I3432" s="137"/>
      <c r="J3432" s="80"/>
      <c r="K3432" s="80"/>
    </row>
    <row r="3433" spans="1:11" ht="27" customHeight="1" x14ac:dyDescent="0.25">
      <c r="A3433" s="82" t="s">
        <v>432</v>
      </c>
      <c r="B3433" s="83" t="s">
        <v>4231</v>
      </c>
      <c r="C3433" s="83" t="s">
        <v>5062</v>
      </c>
      <c r="D3433" s="83"/>
      <c r="E3433" s="83" t="s">
        <v>6885</v>
      </c>
      <c r="F3433" s="82" t="s">
        <v>78</v>
      </c>
      <c r="G3433" s="82">
        <v>1</v>
      </c>
      <c r="H3433" s="82">
        <v>12000</v>
      </c>
      <c r="I3433" s="138">
        <f t="shared" ref="I3433:I3444" si="150">H3433*G3433</f>
        <v>12000</v>
      </c>
      <c r="J3433" s="82"/>
      <c r="K3433" s="83"/>
    </row>
    <row r="3434" spans="1:11" ht="27" customHeight="1" x14ac:dyDescent="0.25">
      <c r="A3434" s="82" t="s">
        <v>4310</v>
      </c>
      <c r="B3434" s="83" t="s">
        <v>4311</v>
      </c>
      <c r="C3434" s="83" t="s">
        <v>4312</v>
      </c>
      <c r="D3434" s="83"/>
      <c r="E3434" s="83" t="s">
        <v>6885</v>
      </c>
      <c r="F3434" s="82" t="s">
        <v>78</v>
      </c>
      <c r="G3434" s="82">
        <v>1</v>
      </c>
      <c r="H3434" s="82"/>
      <c r="I3434" s="138">
        <f t="shared" si="150"/>
        <v>0</v>
      </c>
      <c r="J3434" s="82"/>
      <c r="K3434" s="83"/>
    </row>
    <row r="3435" spans="1:11" ht="27" customHeight="1" x14ac:dyDescent="0.25">
      <c r="A3435" s="82" t="s">
        <v>4242</v>
      </c>
      <c r="B3435" s="83" t="s">
        <v>4313</v>
      </c>
      <c r="C3435" s="83" t="s">
        <v>4282</v>
      </c>
      <c r="D3435" s="83"/>
      <c r="E3435" s="83" t="s">
        <v>6885</v>
      </c>
      <c r="F3435" s="82" t="s">
        <v>78</v>
      </c>
      <c r="G3435" s="82">
        <v>4</v>
      </c>
      <c r="H3435" s="82">
        <v>1950</v>
      </c>
      <c r="I3435" s="138">
        <f t="shared" si="150"/>
        <v>7800</v>
      </c>
      <c r="J3435" s="82"/>
      <c r="K3435" s="83" t="s">
        <v>4246</v>
      </c>
    </row>
    <row r="3436" spans="1:11" ht="27" customHeight="1" x14ac:dyDescent="0.25">
      <c r="A3436" s="82" t="s">
        <v>4267</v>
      </c>
      <c r="B3436" s="83" t="s">
        <v>4268</v>
      </c>
      <c r="C3436" s="83" t="s">
        <v>4269</v>
      </c>
      <c r="D3436" s="83"/>
      <c r="E3436" s="83" t="s">
        <v>6885</v>
      </c>
      <c r="F3436" s="82" t="s">
        <v>78</v>
      </c>
      <c r="G3436" s="82">
        <v>1</v>
      </c>
      <c r="H3436" s="82"/>
      <c r="I3436" s="138">
        <f t="shared" si="150"/>
        <v>0</v>
      </c>
      <c r="J3436" s="82"/>
      <c r="K3436" s="83"/>
    </row>
    <row r="3437" spans="1:11" ht="39" customHeight="1" x14ac:dyDescent="0.25">
      <c r="A3437" s="82" t="s">
        <v>4264</v>
      </c>
      <c r="B3437" s="83" t="s">
        <v>4265</v>
      </c>
      <c r="C3437" s="83" t="s">
        <v>4266</v>
      </c>
      <c r="D3437" s="83"/>
      <c r="E3437" s="83" t="s">
        <v>6885</v>
      </c>
      <c r="F3437" s="82" t="s">
        <v>78</v>
      </c>
      <c r="G3437" s="82">
        <v>1</v>
      </c>
      <c r="H3437" s="82"/>
      <c r="I3437" s="138">
        <f t="shared" si="150"/>
        <v>0</v>
      </c>
      <c r="J3437" s="82"/>
      <c r="K3437" s="83"/>
    </row>
    <row r="3438" spans="1:11" ht="27" customHeight="1" x14ac:dyDescent="0.25">
      <c r="A3438" s="82" t="s">
        <v>5063</v>
      </c>
      <c r="B3438" s="83" t="s">
        <v>5064</v>
      </c>
      <c r="C3438" s="83" t="s">
        <v>5065</v>
      </c>
      <c r="D3438" s="83"/>
      <c r="E3438" s="83" t="s">
        <v>6885</v>
      </c>
      <c r="F3438" s="82" t="s">
        <v>78</v>
      </c>
      <c r="G3438" s="82">
        <v>1</v>
      </c>
      <c r="H3438" s="82"/>
      <c r="I3438" s="138">
        <f t="shared" si="150"/>
        <v>0</v>
      </c>
      <c r="J3438" s="82"/>
      <c r="K3438" s="83"/>
    </row>
    <row r="3439" spans="1:11" ht="27" customHeight="1" x14ac:dyDescent="0.25">
      <c r="A3439" s="82" t="s">
        <v>5066</v>
      </c>
      <c r="B3439" s="83" t="s">
        <v>5067</v>
      </c>
      <c r="C3439" s="83" t="s">
        <v>5068</v>
      </c>
      <c r="D3439" s="83"/>
      <c r="E3439" s="83" t="s">
        <v>6885</v>
      </c>
      <c r="F3439" s="82" t="s">
        <v>78</v>
      </c>
      <c r="G3439" s="82">
        <v>1</v>
      </c>
      <c r="H3439" s="82"/>
      <c r="I3439" s="138">
        <f t="shared" si="150"/>
        <v>0</v>
      </c>
      <c r="J3439" s="82"/>
      <c r="K3439" s="83"/>
    </row>
    <row r="3440" spans="1:11" ht="15" customHeight="1" x14ac:dyDescent="0.25">
      <c r="A3440" s="82" t="s">
        <v>2131</v>
      </c>
      <c r="B3440" s="83" t="s">
        <v>4682</v>
      </c>
      <c r="C3440" s="83"/>
      <c r="D3440" s="83"/>
      <c r="E3440" s="83" t="s">
        <v>4228</v>
      </c>
      <c r="F3440" s="82" t="s">
        <v>78</v>
      </c>
      <c r="G3440" s="82">
        <v>1</v>
      </c>
      <c r="H3440" s="82"/>
      <c r="I3440" s="138">
        <f t="shared" si="150"/>
        <v>0</v>
      </c>
      <c r="J3440" s="82"/>
      <c r="K3440" s="83"/>
    </row>
    <row r="3441" spans="1:11" ht="27" customHeight="1" x14ac:dyDescent="0.25">
      <c r="A3441" s="82" t="s">
        <v>4233</v>
      </c>
      <c r="B3441" s="83" t="s">
        <v>4234</v>
      </c>
      <c r="C3441" s="83"/>
      <c r="D3441" s="83"/>
      <c r="E3441" s="83" t="s">
        <v>4228</v>
      </c>
      <c r="F3441" s="82" t="s">
        <v>78</v>
      </c>
      <c r="G3441" s="82">
        <v>1</v>
      </c>
      <c r="H3441" s="82"/>
      <c r="I3441" s="138">
        <f t="shared" si="150"/>
        <v>0</v>
      </c>
      <c r="J3441" s="82"/>
      <c r="K3441" s="83"/>
    </row>
    <row r="3442" spans="1:11" ht="39" customHeight="1" x14ac:dyDescent="0.25">
      <c r="A3442" s="82" t="s">
        <v>459</v>
      </c>
      <c r="B3442" s="83" t="s">
        <v>4232</v>
      </c>
      <c r="C3442" s="83"/>
      <c r="D3442" s="83"/>
      <c r="E3442" s="83" t="s">
        <v>4228</v>
      </c>
      <c r="F3442" s="82" t="s">
        <v>78</v>
      </c>
      <c r="G3442" s="82">
        <v>1</v>
      </c>
      <c r="H3442" s="82"/>
      <c r="I3442" s="138">
        <f t="shared" si="150"/>
        <v>0</v>
      </c>
      <c r="J3442" s="82"/>
      <c r="K3442" s="83"/>
    </row>
    <row r="3443" spans="1:11" ht="15" customHeight="1" x14ac:dyDescent="0.25">
      <c r="A3443" s="82" t="s">
        <v>5069</v>
      </c>
      <c r="B3443" s="83" t="s">
        <v>5070</v>
      </c>
      <c r="C3443" s="83"/>
      <c r="D3443" s="83"/>
      <c r="E3443" s="83" t="s">
        <v>110</v>
      </c>
      <c r="F3443" s="82" t="s">
        <v>78</v>
      </c>
      <c r="G3443" s="82">
        <v>1</v>
      </c>
      <c r="H3443" s="82"/>
      <c r="I3443" s="138">
        <f t="shared" si="150"/>
        <v>0</v>
      </c>
      <c r="J3443" s="82"/>
      <c r="K3443" s="83"/>
    </row>
    <row r="3444" spans="1:11" ht="15" customHeight="1" x14ac:dyDescent="0.25">
      <c r="A3444" s="82" t="s">
        <v>4236</v>
      </c>
      <c r="B3444" s="83" t="s">
        <v>4237</v>
      </c>
      <c r="C3444" s="83"/>
      <c r="D3444" s="83"/>
      <c r="E3444" s="83" t="s">
        <v>110</v>
      </c>
      <c r="F3444" s="82" t="s">
        <v>78</v>
      </c>
      <c r="G3444" s="82">
        <v>1</v>
      </c>
      <c r="H3444" s="82">
        <v>700</v>
      </c>
      <c r="I3444" s="138">
        <f t="shared" si="150"/>
        <v>700</v>
      </c>
      <c r="J3444" s="82"/>
      <c r="K3444" s="83"/>
    </row>
    <row r="3445" spans="1:11" ht="15" customHeight="1" x14ac:dyDescent="0.25">
      <c r="A3445" s="80" t="s">
        <v>5071</v>
      </c>
      <c r="B3445" s="80" t="s">
        <v>5072</v>
      </c>
      <c r="C3445" s="80"/>
      <c r="D3445" s="80"/>
      <c r="E3445" s="80"/>
      <c r="F3445" s="80"/>
      <c r="G3445" s="81"/>
      <c r="H3445" s="80"/>
      <c r="I3445" s="137"/>
      <c r="J3445" s="80"/>
      <c r="K3445" s="80"/>
    </row>
    <row r="3446" spans="1:11" ht="27" customHeight="1" x14ac:dyDescent="0.25">
      <c r="A3446" s="82" t="s">
        <v>432</v>
      </c>
      <c r="B3446" s="83" t="s">
        <v>4231</v>
      </c>
      <c r="C3446" s="83" t="s">
        <v>5062</v>
      </c>
      <c r="D3446" s="83"/>
      <c r="E3446" s="83" t="s">
        <v>4228</v>
      </c>
      <c r="F3446" s="82" t="s">
        <v>78</v>
      </c>
      <c r="G3446" s="82">
        <v>1</v>
      </c>
      <c r="H3446" s="82">
        <v>12000</v>
      </c>
      <c r="I3446" s="138">
        <f t="shared" ref="I3446:I3458" si="151">H3446*G3446</f>
        <v>12000</v>
      </c>
      <c r="J3446" s="82"/>
      <c r="K3446" s="83"/>
    </row>
    <row r="3447" spans="1:11" ht="27" customHeight="1" x14ac:dyDescent="0.25">
      <c r="A3447" s="82" t="s">
        <v>4310</v>
      </c>
      <c r="B3447" s="83" t="s">
        <v>4311</v>
      </c>
      <c r="C3447" s="83" t="s">
        <v>4312</v>
      </c>
      <c r="D3447" s="83"/>
      <c r="E3447" s="83" t="s">
        <v>4228</v>
      </c>
      <c r="F3447" s="82" t="s">
        <v>78</v>
      </c>
      <c r="G3447" s="82">
        <v>1</v>
      </c>
      <c r="H3447" s="82"/>
      <c r="I3447" s="138">
        <f t="shared" si="151"/>
        <v>0</v>
      </c>
      <c r="J3447" s="82"/>
      <c r="K3447" s="83"/>
    </row>
    <row r="3448" spans="1:11" ht="27" customHeight="1" x14ac:dyDescent="0.25">
      <c r="A3448" s="82" t="s">
        <v>4267</v>
      </c>
      <c r="B3448" s="83" t="s">
        <v>4268</v>
      </c>
      <c r="C3448" s="83" t="s">
        <v>4269</v>
      </c>
      <c r="D3448" s="83"/>
      <c r="E3448" s="83" t="s">
        <v>4228</v>
      </c>
      <c r="F3448" s="82" t="s">
        <v>78</v>
      </c>
      <c r="G3448" s="82">
        <v>1</v>
      </c>
      <c r="H3448" s="82"/>
      <c r="I3448" s="138">
        <f t="shared" si="151"/>
        <v>0</v>
      </c>
      <c r="J3448" s="82"/>
      <c r="K3448" s="83"/>
    </row>
    <row r="3449" spans="1:11" ht="39" customHeight="1" x14ac:dyDescent="0.25">
      <c r="A3449" s="82" t="s">
        <v>4264</v>
      </c>
      <c r="B3449" s="83" t="s">
        <v>4265</v>
      </c>
      <c r="C3449" s="83" t="s">
        <v>4266</v>
      </c>
      <c r="D3449" s="83"/>
      <c r="E3449" s="83" t="s">
        <v>4228</v>
      </c>
      <c r="F3449" s="82" t="s">
        <v>78</v>
      </c>
      <c r="G3449" s="82">
        <v>1</v>
      </c>
      <c r="H3449" s="82"/>
      <c r="I3449" s="138">
        <f t="shared" si="151"/>
        <v>0</v>
      </c>
      <c r="J3449" s="82"/>
      <c r="K3449" s="83"/>
    </row>
    <row r="3450" spans="1:11" ht="27" customHeight="1" x14ac:dyDescent="0.25">
      <c r="A3450" s="82" t="s">
        <v>5063</v>
      </c>
      <c r="B3450" s="83" t="s">
        <v>5064</v>
      </c>
      <c r="C3450" s="83" t="s">
        <v>5065</v>
      </c>
      <c r="D3450" s="83"/>
      <c r="E3450" s="83" t="s">
        <v>4228</v>
      </c>
      <c r="F3450" s="82" t="s">
        <v>78</v>
      </c>
      <c r="G3450" s="82">
        <v>1</v>
      </c>
      <c r="H3450" s="82"/>
      <c r="I3450" s="138">
        <f t="shared" si="151"/>
        <v>0</v>
      </c>
      <c r="J3450" s="82"/>
      <c r="K3450" s="83"/>
    </row>
    <row r="3451" spans="1:11" ht="27" customHeight="1" x14ac:dyDescent="0.25">
      <c r="A3451" s="82" t="s">
        <v>5066</v>
      </c>
      <c r="B3451" s="83" t="s">
        <v>5067</v>
      </c>
      <c r="C3451" s="83" t="s">
        <v>5068</v>
      </c>
      <c r="D3451" s="83"/>
      <c r="E3451" s="83" t="s">
        <v>4228</v>
      </c>
      <c r="F3451" s="82" t="s">
        <v>78</v>
      </c>
      <c r="G3451" s="82">
        <v>1</v>
      </c>
      <c r="H3451" s="82"/>
      <c r="I3451" s="138">
        <f t="shared" si="151"/>
        <v>0</v>
      </c>
      <c r="J3451" s="82"/>
      <c r="K3451" s="83"/>
    </row>
    <row r="3452" spans="1:11" ht="15" customHeight="1" x14ac:dyDescent="0.25">
      <c r="A3452" s="82" t="s">
        <v>5069</v>
      </c>
      <c r="B3452" s="83" t="s">
        <v>5070</v>
      </c>
      <c r="C3452" s="83"/>
      <c r="D3452" s="83"/>
      <c r="E3452" s="83" t="s">
        <v>4228</v>
      </c>
      <c r="F3452" s="82" t="s">
        <v>78</v>
      </c>
      <c r="G3452" s="82">
        <v>1</v>
      </c>
      <c r="H3452" s="82"/>
      <c r="I3452" s="138">
        <f t="shared" si="151"/>
        <v>0</v>
      </c>
      <c r="J3452" s="82"/>
      <c r="K3452" s="83"/>
    </row>
    <row r="3453" spans="1:11" ht="15" customHeight="1" x14ac:dyDescent="0.25">
      <c r="A3453" s="82" t="s">
        <v>2131</v>
      </c>
      <c r="B3453" s="83" t="s">
        <v>4682</v>
      </c>
      <c r="C3453" s="83"/>
      <c r="D3453" s="83"/>
      <c r="E3453" s="83" t="s">
        <v>4228</v>
      </c>
      <c r="F3453" s="82" t="s">
        <v>78</v>
      </c>
      <c r="G3453" s="82">
        <v>1</v>
      </c>
      <c r="H3453" s="82"/>
      <c r="I3453" s="138">
        <f t="shared" si="151"/>
        <v>0</v>
      </c>
      <c r="J3453" s="82"/>
      <c r="K3453" s="83"/>
    </row>
    <row r="3454" spans="1:11" ht="27" customHeight="1" x14ac:dyDescent="0.25">
      <c r="A3454" s="82" t="s">
        <v>4233</v>
      </c>
      <c r="B3454" s="83" t="s">
        <v>4234</v>
      </c>
      <c r="C3454" s="83"/>
      <c r="D3454" s="83"/>
      <c r="E3454" s="83" t="s">
        <v>4228</v>
      </c>
      <c r="F3454" s="82" t="s">
        <v>78</v>
      </c>
      <c r="G3454" s="82">
        <v>1</v>
      </c>
      <c r="H3454" s="82"/>
      <c r="I3454" s="138">
        <f t="shared" si="151"/>
        <v>0</v>
      </c>
      <c r="J3454" s="82"/>
      <c r="K3454" s="83"/>
    </row>
    <row r="3455" spans="1:11" ht="39" customHeight="1" x14ac:dyDescent="0.25">
      <c r="A3455" s="82" t="s">
        <v>459</v>
      </c>
      <c r="B3455" s="83" t="s">
        <v>4232</v>
      </c>
      <c r="C3455" s="83"/>
      <c r="D3455" s="83"/>
      <c r="E3455" s="83" t="s">
        <v>4228</v>
      </c>
      <c r="F3455" s="82" t="s">
        <v>78</v>
      </c>
      <c r="G3455" s="82">
        <v>1</v>
      </c>
      <c r="H3455" s="82"/>
      <c r="I3455" s="138">
        <f t="shared" si="151"/>
        <v>0</v>
      </c>
      <c r="J3455" s="82"/>
      <c r="K3455" s="83"/>
    </row>
    <row r="3456" spans="1:11" ht="15" customHeight="1" x14ac:dyDescent="0.25">
      <c r="A3456" s="82" t="s">
        <v>4262</v>
      </c>
      <c r="B3456" s="83" t="s">
        <v>5073</v>
      </c>
      <c r="C3456" s="83"/>
      <c r="D3456" s="83"/>
      <c r="E3456" s="83" t="s">
        <v>4228</v>
      </c>
      <c r="F3456" s="82" t="s">
        <v>78</v>
      </c>
      <c r="G3456" s="82">
        <v>1</v>
      </c>
      <c r="H3456" s="82">
        <v>2800</v>
      </c>
      <c r="I3456" s="138">
        <f t="shared" si="151"/>
        <v>2800</v>
      </c>
      <c r="J3456" s="82"/>
      <c r="K3456" s="83"/>
    </row>
    <row r="3457" spans="1:11" ht="15" customHeight="1" x14ac:dyDescent="0.25">
      <c r="A3457" s="82" t="s">
        <v>4236</v>
      </c>
      <c r="B3457" s="83" t="s">
        <v>4237</v>
      </c>
      <c r="C3457" s="83"/>
      <c r="D3457" s="83"/>
      <c r="E3457" s="83" t="s">
        <v>4228</v>
      </c>
      <c r="F3457" s="82" t="s">
        <v>78</v>
      </c>
      <c r="G3457" s="82">
        <v>1</v>
      </c>
      <c r="H3457" s="82">
        <v>700</v>
      </c>
      <c r="I3457" s="138">
        <f t="shared" si="151"/>
        <v>700</v>
      </c>
      <c r="J3457" s="82"/>
      <c r="K3457" s="83"/>
    </row>
    <row r="3458" spans="1:11" ht="27" customHeight="1" x14ac:dyDescent="0.25">
      <c r="A3458" s="82" t="s">
        <v>4280</v>
      </c>
      <c r="B3458" s="83" t="s">
        <v>4281</v>
      </c>
      <c r="C3458" s="83"/>
      <c r="D3458" s="83"/>
      <c r="E3458" s="83" t="s">
        <v>4228</v>
      </c>
      <c r="F3458" s="82" t="s">
        <v>78</v>
      </c>
      <c r="G3458" s="82">
        <v>1</v>
      </c>
      <c r="H3458" s="82">
        <v>32200</v>
      </c>
      <c r="I3458" s="138">
        <f t="shared" si="151"/>
        <v>32200</v>
      </c>
      <c r="J3458" s="82"/>
      <c r="K3458" s="83"/>
    </row>
    <row r="3459" spans="1:11" ht="15" customHeight="1" x14ac:dyDescent="0.25">
      <c r="A3459" s="80" t="s">
        <v>4323</v>
      </c>
      <c r="B3459" s="80" t="s">
        <v>5074</v>
      </c>
      <c r="C3459" s="80"/>
      <c r="D3459" s="80"/>
      <c r="E3459" s="80"/>
      <c r="F3459" s="80"/>
      <c r="G3459" s="81"/>
      <c r="H3459" s="80"/>
      <c r="I3459" s="137"/>
      <c r="J3459" s="80"/>
      <c r="K3459" s="80"/>
    </row>
    <row r="3460" spans="1:11" ht="27" customHeight="1" x14ac:dyDescent="0.25">
      <c r="A3460" s="82" t="s">
        <v>432</v>
      </c>
      <c r="B3460" s="83" t="s">
        <v>4231</v>
      </c>
      <c r="C3460" s="83" t="s">
        <v>5062</v>
      </c>
      <c r="D3460" s="83"/>
      <c r="E3460" s="83" t="s">
        <v>4228</v>
      </c>
      <c r="F3460" s="82" t="s">
        <v>78</v>
      </c>
      <c r="G3460" s="82">
        <v>1</v>
      </c>
      <c r="H3460" s="82">
        <v>12000</v>
      </c>
      <c r="I3460" s="138">
        <f t="shared" ref="I3460:I3473" si="152">H3460*G3460</f>
        <v>12000</v>
      </c>
      <c r="J3460" s="82"/>
      <c r="K3460" s="83"/>
    </row>
    <row r="3461" spans="1:11" ht="27" customHeight="1" x14ac:dyDescent="0.25">
      <c r="A3461" s="82" t="s">
        <v>4310</v>
      </c>
      <c r="B3461" s="83" t="s">
        <v>4311</v>
      </c>
      <c r="C3461" s="83" t="s">
        <v>4312</v>
      </c>
      <c r="D3461" s="83"/>
      <c r="E3461" s="83" t="s">
        <v>4228</v>
      </c>
      <c r="F3461" s="82" t="s">
        <v>78</v>
      </c>
      <c r="G3461" s="82">
        <v>1</v>
      </c>
      <c r="H3461" s="82"/>
      <c r="I3461" s="138">
        <f t="shared" si="152"/>
        <v>0</v>
      </c>
      <c r="J3461" s="82"/>
      <c r="K3461" s="83"/>
    </row>
    <row r="3462" spans="1:11" ht="15" customHeight="1" x14ac:dyDescent="0.25">
      <c r="A3462" s="82" t="s">
        <v>5075</v>
      </c>
      <c r="B3462" s="83" t="s">
        <v>5076</v>
      </c>
      <c r="C3462" s="83"/>
      <c r="D3462" s="83"/>
      <c r="E3462" s="83" t="s">
        <v>4228</v>
      </c>
      <c r="F3462" s="82" t="s">
        <v>78</v>
      </c>
      <c r="G3462" s="82">
        <v>1</v>
      </c>
      <c r="H3462" s="82"/>
      <c r="I3462" s="138">
        <f t="shared" si="152"/>
        <v>0</v>
      </c>
      <c r="J3462" s="82"/>
      <c r="K3462" s="83"/>
    </row>
    <row r="3463" spans="1:11" ht="27" customHeight="1" x14ac:dyDescent="0.25">
      <c r="A3463" s="82" t="s">
        <v>4242</v>
      </c>
      <c r="B3463" s="83" t="s">
        <v>4313</v>
      </c>
      <c r="C3463" s="83" t="s">
        <v>4282</v>
      </c>
      <c r="D3463" s="83"/>
      <c r="E3463" s="83" t="s">
        <v>4228</v>
      </c>
      <c r="F3463" s="82" t="s">
        <v>78</v>
      </c>
      <c r="G3463" s="82">
        <v>10</v>
      </c>
      <c r="H3463" s="82">
        <v>1950</v>
      </c>
      <c r="I3463" s="138">
        <f t="shared" si="152"/>
        <v>19500</v>
      </c>
      <c r="J3463" s="82"/>
      <c r="K3463" s="83" t="s">
        <v>4246</v>
      </c>
    </row>
    <row r="3464" spans="1:11" ht="27" customHeight="1" x14ac:dyDescent="0.25">
      <c r="A3464" s="82" t="s">
        <v>4267</v>
      </c>
      <c r="B3464" s="83" t="s">
        <v>4268</v>
      </c>
      <c r="C3464" s="83" t="s">
        <v>4269</v>
      </c>
      <c r="D3464" s="83"/>
      <c r="E3464" s="83" t="s">
        <v>4228</v>
      </c>
      <c r="F3464" s="82" t="s">
        <v>78</v>
      </c>
      <c r="G3464" s="82">
        <v>1</v>
      </c>
      <c r="H3464" s="82"/>
      <c r="I3464" s="138">
        <f t="shared" si="152"/>
        <v>0</v>
      </c>
      <c r="J3464" s="82"/>
      <c r="K3464" s="83"/>
    </row>
    <row r="3465" spans="1:11" ht="39" customHeight="1" x14ac:dyDescent="0.25">
      <c r="A3465" s="82" t="s">
        <v>4264</v>
      </c>
      <c r="B3465" s="83" t="s">
        <v>4265</v>
      </c>
      <c r="C3465" s="83" t="s">
        <v>4266</v>
      </c>
      <c r="D3465" s="83"/>
      <c r="E3465" s="83" t="s">
        <v>4228</v>
      </c>
      <c r="F3465" s="82" t="s">
        <v>78</v>
      </c>
      <c r="G3465" s="82">
        <v>3</v>
      </c>
      <c r="H3465" s="82"/>
      <c r="I3465" s="138">
        <f t="shared" si="152"/>
        <v>0</v>
      </c>
      <c r="J3465" s="82"/>
      <c r="K3465" s="83"/>
    </row>
    <row r="3466" spans="1:11" ht="27" customHeight="1" x14ac:dyDescent="0.25">
      <c r="A3466" s="82" t="s">
        <v>5063</v>
      </c>
      <c r="B3466" s="83" t="s">
        <v>5064</v>
      </c>
      <c r="C3466" s="83" t="s">
        <v>5065</v>
      </c>
      <c r="D3466" s="83"/>
      <c r="E3466" s="83" t="s">
        <v>4228</v>
      </c>
      <c r="F3466" s="82" t="s">
        <v>78</v>
      </c>
      <c r="G3466" s="82">
        <v>1</v>
      </c>
      <c r="H3466" s="82"/>
      <c r="I3466" s="138">
        <f t="shared" si="152"/>
        <v>0</v>
      </c>
      <c r="J3466" s="82"/>
      <c r="K3466" s="83"/>
    </row>
    <row r="3467" spans="1:11" ht="27" customHeight="1" x14ac:dyDescent="0.25">
      <c r="A3467" s="82" t="s">
        <v>5066</v>
      </c>
      <c r="B3467" s="83" t="s">
        <v>5067</v>
      </c>
      <c r="C3467" s="83" t="s">
        <v>5068</v>
      </c>
      <c r="D3467" s="83"/>
      <c r="E3467" s="83" t="s">
        <v>4228</v>
      </c>
      <c r="F3467" s="82" t="s">
        <v>78</v>
      </c>
      <c r="G3467" s="82">
        <v>1</v>
      </c>
      <c r="H3467" s="82"/>
      <c r="I3467" s="138">
        <f t="shared" si="152"/>
        <v>0</v>
      </c>
      <c r="J3467" s="82"/>
      <c r="K3467" s="83"/>
    </row>
    <row r="3468" spans="1:11" ht="27" customHeight="1" x14ac:dyDescent="0.25">
      <c r="A3468" s="82" t="s">
        <v>5077</v>
      </c>
      <c r="B3468" s="83" t="s">
        <v>5078</v>
      </c>
      <c r="C3468" s="83" t="s">
        <v>5079</v>
      </c>
      <c r="D3468" s="83"/>
      <c r="E3468" s="83" t="s">
        <v>4228</v>
      </c>
      <c r="F3468" s="82" t="s">
        <v>78</v>
      </c>
      <c r="G3468" s="82">
        <v>1</v>
      </c>
      <c r="H3468" s="82"/>
      <c r="I3468" s="138">
        <f t="shared" si="152"/>
        <v>0</v>
      </c>
      <c r="J3468" s="82"/>
      <c r="K3468" s="83"/>
    </row>
    <row r="3469" spans="1:11" ht="15" customHeight="1" x14ac:dyDescent="0.25">
      <c r="A3469" s="82" t="s">
        <v>5069</v>
      </c>
      <c r="B3469" s="83" t="s">
        <v>5070</v>
      </c>
      <c r="C3469" s="83"/>
      <c r="D3469" s="83"/>
      <c r="E3469" s="83" t="s">
        <v>4228</v>
      </c>
      <c r="F3469" s="82" t="s">
        <v>78</v>
      </c>
      <c r="G3469" s="82">
        <v>1</v>
      </c>
      <c r="H3469" s="82"/>
      <c r="I3469" s="138">
        <f t="shared" si="152"/>
        <v>0</v>
      </c>
      <c r="J3469" s="82"/>
      <c r="K3469" s="83"/>
    </row>
    <row r="3470" spans="1:11" ht="15" customHeight="1" x14ac:dyDescent="0.25">
      <c r="A3470" s="82" t="s">
        <v>2131</v>
      </c>
      <c r="B3470" s="83" t="s">
        <v>4682</v>
      </c>
      <c r="C3470" s="83"/>
      <c r="D3470" s="83"/>
      <c r="E3470" s="83" t="s">
        <v>4228</v>
      </c>
      <c r="F3470" s="82" t="s">
        <v>78</v>
      </c>
      <c r="G3470" s="82">
        <v>1</v>
      </c>
      <c r="H3470" s="82"/>
      <c r="I3470" s="138">
        <f t="shared" si="152"/>
        <v>0</v>
      </c>
      <c r="J3470" s="82"/>
      <c r="K3470" s="83"/>
    </row>
    <row r="3471" spans="1:11" ht="27" customHeight="1" x14ac:dyDescent="0.25">
      <c r="A3471" s="82" t="s">
        <v>4233</v>
      </c>
      <c r="B3471" s="83" t="s">
        <v>4234</v>
      </c>
      <c r="C3471" s="83"/>
      <c r="D3471" s="83"/>
      <c r="E3471" s="83" t="s">
        <v>4228</v>
      </c>
      <c r="F3471" s="82" t="s">
        <v>78</v>
      </c>
      <c r="G3471" s="82">
        <v>1</v>
      </c>
      <c r="H3471" s="82"/>
      <c r="I3471" s="138">
        <f t="shared" si="152"/>
        <v>0</v>
      </c>
      <c r="J3471" s="82"/>
      <c r="K3471" s="83"/>
    </row>
    <row r="3472" spans="1:11" ht="39" customHeight="1" x14ac:dyDescent="0.25">
      <c r="A3472" s="82" t="s">
        <v>459</v>
      </c>
      <c r="B3472" s="83" t="s">
        <v>4232</v>
      </c>
      <c r="C3472" s="83"/>
      <c r="D3472" s="83"/>
      <c r="E3472" s="83" t="s">
        <v>4228</v>
      </c>
      <c r="F3472" s="82" t="s">
        <v>78</v>
      </c>
      <c r="G3472" s="82">
        <v>1</v>
      </c>
      <c r="H3472" s="82"/>
      <c r="I3472" s="138">
        <f t="shared" si="152"/>
        <v>0</v>
      </c>
      <c r="J3472" s="82"/>
      <c r="K3472" s="83"/>
    </row>
    <row r="3473" spans="1:11" ht="15" customHeight="1" x14ac:dyDescent="0.25">
      <c r="A3473" s="82" t="s">
        <v>4236</v>
      </c>
      <c r="B3473" s="83" t="s">
        <v>4237</v>
      </c>
      <c r="C3473" s="83"/>
      <c r="D3473" s="83"/>
      <c r="E3473" s="83" t="s">
        <v>4228</v>
      </c>
      <c r="F3473" s="82" t="s">
        <v>78</v>
      </c>
      <c r="G3473" s="82">
        <v>1</v>
      </c>
      <c r="H3473" s="82">
        <v>700</v>
      </c>
      <c r="I3473" s="138">
        <f t="shared" si="152"/>
        <v>700</v>
      </c>
      <c r="J3473" s="82"/>
      <c r="K3473" s="83"/>
    </row>
    <row r="3474" spans="1:11" ht="15" customHeight="1" x14ac:dyDescent="0.25">
      <c r="A3474" s="80" t="s">
        <v>5080</v>
      </c>
      <c r="B3474" s="80" t="s">
        <v>5081</v>
      </c>
      <c r="C3474" s="80"/>
      <c r="D3474" s="80"/>
      <c r="E3474" s="80"/>
      <c r="F3474" s="80"/>
      <c r="G3474" s="81"/>
      <c r="H3474" s="80"/>
      <c r="I3474" s="137"/>
      <c r="J3474" s="80"/>
      <c r="K3474" s="80"/>
    </row>
    <row r="3475" spans="1:11" ht="27" customHeight="1" x14ac:dyDescent="0.25">
      <c r="A3475" s="82" t="s">
        <v>432</v>
      </c>
      <c r="B3475" s="83" t="s">
        <v>4231</v>
      </c>
      <c r="C3475" s="83" t="s">
        <v>5062</v>
      </c>
      <c r="D3475" s="83"/>
      <c r="E3475" s="83" t="s">
        <v>4228</v>
      </c>
      <c r="F3475" s="82" t="s">
        <v>78</v>
      </c>
      <c r="G3475" s="82">
        <v>1</v>
      </c>
      <c r="H3475" s="82">
        <v>12000</v>
      </c>
      <c r="I3475" s="138">
        <f t="shared" ref="I3475:I3487" si="153">H3475*G3475</f>
        <v>12000</v>
      </c>
      <c r="J3475" s="82"/>
      <c r="K3475" s="83"/>
    </row>
    <row r="3476" spans="1:11" ht="27" customHeight="1" x14ac:dyDescent="0.25">
      <c r="A3476" s="82" t="s">
        <v>4310</v>
      </c>
      <c r="B3476" s="83" t="s">
        <v>4311</v>
      </c>
      <c r="C3476" s="83" t="s">
        <v>4312</v>
      </c>
      <c r="D3476" s="83"/>
      <c r="E3476" s="83" t="s">
        <v>4228</v>
      </c>
      <c r="F3476" s="82" t="s">
        <v>78</v>
      </c>
      <c r="G3476" s="82">
        <v>1</v>
      </c>
      <c r="H3476" s="82"/>
      <c r="I3476" s="138">
        <f t="shared" si="153"/>
        <v>0</v>
      </c>
      <c r="J3476" s="82"/>
      <c r="K3476" s="83"/>
    </row>
    <row r="3477" spans="1:11" ht="27" customHeight="1" x14ac:dyDescent="0.25">
      <c r="A3477" s="82" t="s">
        <v>4242</v>
      </c>
      <c r="B3477" s="83" t="s">
        <v>4313</v>
      </c>
      <c r="C3477" s="83" t="s">
        <v>4282</v>
      </c>
      <c r="D3477" s="83"/>
      <c r="E3477" s="83" t="s">
        <v>4228</v>
      </c>
      <c r="F3477" s="82" t="s">
        <v>78</v>
      </c>
      <c r="G3477" s="82">
        <v>2</v>
      </c>
      <c r="H3477" s="82">
        <v>1950</v>
      </c>
      <c r="I3477" s="138">
        <f t="shared" si="153"/>
        <v>3900</v>
      </c>
      <c r="J3477" s="82"/>
      <c r="K3477" s="83" t="s">
        <v>4246</v>
      </c>
    </row>
    <row r="3478" spans="1:11" ht="27" customHeight="1" x14ac:dyDescent="0.25">
      <c r="A3478" s="82" t="s">
        <v>4267</v>
      </c>
      <c r="B3478" s="83" t="s">
        <v>4268</v>
      </c>
      <c r="C3478" s="83" t="s">
        <v>4269</v>
      </c>
      <c r="D3478" s="83"/>
      <c r="E3478" s="83" t="s">
        <v>4228</v>
      </c>
      <c r="F3478" s="82" t="s">
        <v>78</v>
      </c>
      <c r="G3478" s="82">
        <v>1</v>
      </c>
      <c r="H3478" s="82"/>
      <c r="I3478" s="138">
        <f t="shared" si="153"/>
        <v>0</v>
      </c>
      <c r="J3478" s="82"/>
      <c r="K3478" s="83"/>
    </row>
    <row r="3479" spans="1:11" ht="39" customHeight="1" x14ac:dyDescent="0.25">
      <c r="A3479" s="82" t="s">
        <v>4264</v>
      </c>
      <c r="B3479" s="83" t="s">
        <v>4265</v>
      </c>
      <c r="C3479" s="83" t="s">
        <v>4266</v>
      </c>
      <c r="D3479" s="83"/>
      <c r="E3479" s="83" t="s">
        <v>4228</v>
      </c>
      <c r="F3479" s="82" t="s">
        <v>78</v>
      </c>
      <c r="G3479" s="82">
        <v>3</v>
      </c>
      <c r="H3479" s="82"/>
      <c r="I3479" s="138">
        <f t="shared" si="153"/>
        <v>0</v>
      </c>
      <c r="J3479" s="82"/>
      <c r="K3479" s="83"/>
    </row>
    <row r="3480" spans="1:11" ht="27" customHeight="1" x14ac:dyDescent="0.25">
      <c r="A3480" s="82" t="s">
        <v>5063</v>
      </c>
      <c r="B3480" s="83" t="s">
        <v>5064</v>
      </c>
      <c r="C3480" s="83" t="s">
        <v>5065</v>
      </c>
      <c r="D3480" s="83"/>
      <c r="E3480" s="83" t="s">
        <v>4228</v>
      </c>
      <c r="F3480" s="82" t="s">
        <v>78</v>
      </c>
      <c r="G3480" s="82">
        <v>1</v>
      </c>
      <c r="H3480" s="82"/>
      <c r="I3480" s="138">
        <f t="shared" si="153"/>
        <v>0</v>
      </c>
      <c r="J3480" s="82"/>
      <c r="K3480" s="83"/>
    </row>
    <row r="3481" spans="1:11" ht="27" customHeight="1" x14ac:dyDescent="0.25">
      <c r="A3481" s="82" t="s">
        <v>5066</v>
      </c>
      <c r="B3481" s="83" t="s">
        <v>5067</v>
      </c>
      <c r="C3481" s="83" t="s">
        <v>5068</v>
      </c>
      <c r="D3481" s="83"/>
      <c r="E3481" s="83" t="s">
        <v>4228</v>
      </c>
      <c r="F3481" s="82" t="s">
        <v>78</v>
      </c>
      <c r="G3481" s="82">
        <v>1</v>
      </c>
      <c r="H3481" s="82"/>
      <c r="I3481" s="138">
        <f t="shared" si="153"/>
        <v>0</v>
      </c>
      <c r="J3481" s="82"/>
      <c r="K3481" s="83"/>
    </row>
    <row r="3482" spans="1:11" ht="15" customHeight="1" x14ac:dyDescent="0.25">
      <c r="A3482" s="82" t="s">
        <v>2131</v>
      </c>
      <c r="B3482" s="83" t="s">
        <v>4682</v>
      </c>
      <c r="C3482" s="83"/>
      <c r="D3482" s="83"/>
      <c r="E3482" s="83" t="s">
        <v>4228</v>
      </c>
      <c r="F3482" s="82" t="s">
        <v>78</v>
      </c>
      <c r="G3482" s="82">
        <v>1</v>
      </c>
      <c r="H3482" s="82"/>
      <c r="I3482" s="138">
        <f t="shared" si="153"/>
        <v>0</v>
      </c>
      <c r="J3482" s="82"/>
      <c r="K3482" s="83"/>
    </row>
    <row r="3483" spans="1:11" ht="15" customHeight="1" x14ac:dyDescent="0.25">
      <c r="A3483" s="82" t="s">
        <v>5069</v>
      </c>
      <c r="B3483" s="83" t="s">
        <v>5070</v>
      </c>
      <c r="C3483" s="83"/>
      <c r="D3483" s="83"/>
      <c r="E3483" s="83" t="s">
        <v>4228</v>
      </c>
      <c r="F3483" s="82" t="s">
        <v>78</v>
      </c>
      <c r="G3483" s="82">
        <v>1</v>
      </c>
      <c r="H3483" s="82"/>
      <c r="I3483" s="138">
        <f t="shared" si="153"/>
        <v>0</v>
      </c>
      <c r="J3483" s="82"/>
      <c r="K3483" s="83"/>
    </row>
    <row r="3484" spans="1:11" ht="27" customHeight="1" x14ac:dyDescent="0.25">
      <c r="A3484" s="82" t="s">
        <v>4233</v>
      </c>
      <c r="B3484" s="83" t="s">
        <v>4234</v>
      </c>
      <c r="C3484" s="83"/>
      <c r="D3484" s="83"/>
      <c r="E3484" s="83" t="s">
        <v>4228</v>
      </c>
      <c r="F3484" s="82" t="s">
        <v>78</v>
      </c>
      <c r="G3484" s="82">
        <v>1</v>
      </c>
      <c r="H3484" s="82"/>
      <c r="I3484" s="138">
        <f t="shared" si="153"/>
        <v>0</v>
      </c>
      <c r="J3484" s="82"/>
      <c r="K3484" s="83"/>
    </row>
    <row r="3485" spans="1:11" ht="39" customHeight="1" x14ac:dyDescent="0.25">
      <c r="A3485" s="82" t="s">
        <v>459</v>
      </c>
      <c r="B3485" s="83" t="s">
        <v>4232</v>
      </c>
      <c r="C3485" s="83"/>
      <c r="D3485" s="83"/>
      <c r="E3485" s="83" t="s">
        <v>4228</v>
      </c>
      <c r="F3485" s="82" t="s">
        <v>78</v>
      </c>
      <c r="G3485" s="82">
        <v>1</v>
      </c>
      <c r="H3485" s="82"/>
      <c r="I3485" s="138">
        <f t="shared" si="153"/>
        <v>0</v>
      </c>
      <c r="J3485" s="82"/>
      <c r="K3485" s="83"/>
    </row>
    <row r="3486" spans="1:11" ht="15" customHeight="1" x14ac:dyDescent="0.25">
      <c r="A3486" s="82" t="s">
        <v>4262</v>
      </c>
      <c r="B3486" s="83" t="s">
        <v>5073</v>
      </c>
      <c r="C3486" s="83"/>
      <c r="D3486" s="83"/>
      <c r="E3486" s="83" t="s">
        <v>4228</v>
      </c>
      <c r="F3486" s="82" t="s">
        <v>78</v>
      </c>
      <c r="G3486" s="82">
        <v>1</v>
      </c>
      <c r="H3486" s="82">
        <v>2800</v>
      </c>
      <c r="I3486" s="138">
        <f t="shared" si="153"/>
        <v>2800</v>
      </c>
      <c r="J3486" s="82"/>
      <c r="K3486" s="83"/>
    </row>
    <row r="3487" spans="1:11" ht="15" customHeight="1" x14ac:dyDescent="0.25">
      <c r="A3487" s="82" t="s">
        <v>4236</v>
      </c>
      <c r="B3487" s="83" t="s">
        <v>4237</v>
      </c>
      <c r="C3487" s="83"/>
      <c r="D3487" s="83"/>
      <c r="E3487" s="83" t="s">
        <v>4228</v>
      </c>
      <c r="F3487" s="82" t="s">
        <v>78</v>
      </c>
      <c r="G3487" s="82">
        <v>1</v>
      </c>
      <c r="H3487" s="82">
        <v>700</v>
      </c>
      <c r="I3487" s="138">
        <f t="shared" si="153"/>
        <v>700</v>
      </c>
      <c r="J3487" s="82"/>
      <c r="K3487" s="83"/>
    </row>
    <row r="3488" spans="1:11" ht="15" customHeight="1" x14ac:dyDescent="0.25">
      <c r="A3488" s="80" t="s">
        <v>5082</v>
      </c>
      <c r="B3488" s="80" t="s">
        <v>5083</v>
      </c>
      <c r="C3488" s="80"/>
      <c r="D3488" s="80"/>
      <c r="E3488" s="80"/>
      <c r="F3488" s="80"/>
      <c r="G3488" s="81"/>
      <c r="H3488" s="80"/>
      <c r="I3488" s="137"/>
      <c r="J3488" s="80"/>
      <c r="K3488" s="80"/>
    </row>
    <row r="3489" spans="1:11" ht="27" customHeight="1" x14ac:dyDescent="0.25">
      <c r="A3489" s="82" t="s">
        <v>432</v>
      </c>
      <c r="B3489" s="83" t="s">
        <v>4231</v>
      </c>
      <c r="C3489" s="83" t="s">
        <v>5062</v>
      </c>
      <c r="D3489" s="83"/>
      <c r="E3489" s="83" t="s">
        <v>4228</v>
      </c>
      <c r="F3489" s="82" t="s">
        <v>78</v>
      </c>
      <c r="G3489" s="82">
        <v>1</v>
      </c>
      <c r="H3489" s="82">
        <v>12000</v>
      </c>
      <c r="I3489" s="138">
        <f t="shared" ref="I3489:I3501" si="154">H3489*G3489</f>
        <v>12000</v>
      </c>
      <c r="J3489" s="82"/>
      <c r="K3489" s="83"/>
    </row>
    <row r="3490" spans="1:11" ht="27" customHeight="1" x14ac:dyDescent="0.25">
      <c r="A3490" s="82" t="s">
        <v>4310</v>
      </c>
      <c r="B3490" s="83" t="s">
        <v>4311</v>
      </c>
      <c r="C3490" s="83" t="s">
        <v>4312</v>
      </c>
      <c r="D3490" s="83"/>
      <c r="E3490" s="83" t="s">
        <v>4228</v>
      </c>
      <c r="F3490" s="82" t="s">
        <v>78</v>
      </c>
      <c r="G3490" s="82">
        <v>1</v>
      </c>
      <c r="H3490" s="82"/>
      <c r="I3490" s="138">
        <f t="shared" si="154"/>
        <v>0</v>
      </c>
      <c r="J3490" s="82"/>
      <c r="K3490" s="83"/>
    </row>
    <row r="3491" spans="1:11" ht="27" customHeight="1" x14ac:dyDescent="0.25">
      <c r="A3491" s="82" t="s">
        <v>4242</v>
      </c>
      <c r="B3491" s="83" t="s">
        <v>4313</v>
      </c>
      <c r="C3491" s="83" t="s">
        <v>4282</v>
      </c>
      <c r="D3491" s="83"/>
      <c r="E3491" s="83" t="s">
        <v>4228</v>
      </c>
      <c r="F3491" s="82" t="s">
        <v>78</v>
      </c>
      <c r="G3491" s="82">
        <v>2</v>
      </c>
      <c r="H3491" s="82">
        <v>1950</v>
      </c>
      <c r="I3491" s="138">
        <f t="shared" si="154"/>
        <v>3900</v>
      </c>
      <c r="J3491" s="82"/>
      <c r="K3491" s="83" t="s">
        <v>4246</v>
      </c>
    </row>
    <row r="3492" spans="1:11" ht="27" customHeight="1" x14ac:dyDescent="0.25">
      <c r="A3492" s="82" t="s">
        <v>4267</v>
      </c>
      <c r="B3492" s="83" t="s">
        <v>4268</v>
      </c>
      <c r="C3492" s="83" t="s">
        <v>4269</v>
      </c>
      <c r="D3492" s="83"/>
      <c r="E3492" s="83" t="s">
        <v>4228</v>
      </c>
      <c r="F3492" s="82" t="s">
        <v>78</v>
      </c>
      <c r="G3492" s="82">
        <v>1</v>
      </c>
      <c r="H3492" s="82"/>
      <c r="I3492" s="138">
        <f t="shared" si="154"/>
        <v>0</v>
      </c>
      <c r="J3492" s="82"/>
      <c r="K3492" s="83"/>
    </row>
    <row r="3493" spans="1:11" ht="39" customHeight="1" x14ac:dyDescent="0.25">
      <c r="A3493" s="82" t="s">
        <v>4264</v>
      </c>
      <c r="B3493" s="83" t="s">
        <v>4265</v>
      </c>
      <c r="C3493" s="83" t="s">
        <v>4266</v>
      </c>
      <c r="D3493" s="83"/>
      <c r="E3493" s="83" t="s">
        <v>4228</v>
      </c>
      <c r="F3493" s="82" t="s">
        <v>78</v>
      </c>
      <c r="G3493" s="82">
        <v>3</v>
      </c>
      <c r="H3493" s="82"/>
      <c r="I3493" s="138">
        <f t="shared" si="154"/>
        <v>0</v>
      </c>
      <c r="J3493" s="82"/>
      <c r="K3493" s="83"/>
    </row>
    <row r="3494" spans="1:11" ht="27" customHeight="1" x14ac:dyDescent="0.25">
      <c r="A3494" s="82" t="s">
        <v>5063</v>
      </c>
      <c r="B3494" s="83" t="s">
        <v>5064</v>
      </c>
      <c r="C3494" s="83" t="s">
        <v>5065</v>
      </c>
      <c r="D3494" s="83"/>
      <c r="E3494" s="83" t="s">
        <v>4228</v>
      </c>
      <c r="F3494" s="82" t="s">
        <v>78</v>
      </c>
      <c r="G3494" s="82">
        <v>1</v>
      </c>
      <c r="H3494" s="82"/>
      <c r="I3494" s="138">
        <f t="shared" si="154"/>
        <v>0</v>
      </c>
      <c r="J3494" s="82"/>
      <c r="K3494" s="83"/>
    </row>
    <row r="3495" spans="1:11" ht="27" customHeight="1" x14ac:dyDescent="0.25">
      <c r="A3495" s="82" t="s">
        <v>5066</v>
      </c>
      <c r="B3495" s="83" t="s">
        <v>5067</v>
      </c>
      <c r="C3495" s="83" t="s">
        <v>5068</v>
      </c>
      <c r="D3495" s="83"/>
      <c r="E3495" s="83" t="s">
        <v>4228</v>
      </c>
      <c r="F3495" s="82" t="s">
        <v>78</v>
      </c>
      <c r="G3495" s="82">
        <v>1</v>
      </c>
      <c r="H3495" s="82"/>
      <c r="I3495" s="138">
        <f t="shared" si="154"/>
        <v>0</v>
      </c>
      <c r="J3495" s="82"/>
      <c r="K3495" s="83"/>
    </row>
    <row r="3496" spans="1:11" ht="15" customHeight="1" x14ac:dyDescent="0.25">
      <c r="A3496" s="82" t="s">
        <v>2131</v>
      </c>
      <c r="B3496" s="83" t="s">
        <v>4682</v>
      </c>
      <c r="C3496" s="83"/>
      <c r="D3496" s="83"/>
      <c r="E3496" s="83" t="s">
        <v>4228</v>
      </c>
      <c r="F3496" s="82" t="s">
        <v>78</v>
      </c>
      <c r="G3496" s="82">
        <v>1</v>
      </c>
      <c r="H3496" s="82"/>
      <c r="I3496" s="138">
        <f t="shared" si="154"/>
        <v>0</v>
      </c>
      <c r="J3496" s="82"/>
      <c r="K3496" s="83"/>
    </row>
    <row r="3497" spans="1:11" ht="15" customHeight="1" x14ac:dyDescent="0.25">
      <c r="A3497" s="82" t="s">
        <v>5069</v>
      </c>
      <c r="B3497" s="83" t="s">
        <v>5070</v>
      </c>
      <c r="C3497" s="83"/>
      <c r="D3497" s="83"/>
      <c r="E3497" s="83" t="s">
        <v>4228</v>
      </c>
      <c r="F3497" s="82" t="s">
        <v>78</v>
      </c>
      <c r="G3497" s="82">
        <v>1</v>
      </c>
      <c r="H3497" s="82"/>
      <c r="I3497" s="138">
        <f t="shared" si="154"/>
        <v>0</v>
      </c>
      <c r="J3497" s="82"/>
      <c r="K3497" s="83"/>
    </row>
    <row r="3498" spans="1:11" ht="27" customHeight="1" x14ac:dyDescent="0.25">
      <c r="A3498" s="82" t="s">
        <v>4233</v>
      </c>
      <c r="B3498" s="83" t="s">
        <v>4234</v>
      </c>
      <c r="C3498" s="83"/>
      <c r="D3498" s="83"/>
      <c r="E3498" s="83" t="s">
        <v>4228</v>
      </c>
      <c r="F3498" s="82" t="s">
        <v>78</v>
      </c>
      <c r="G3498" s="82">
        <v>1</v>
      </c>
      <c r="H3498" s="82"/>
      <c r="I3498" s="138">
        <f t="shared" si="154"/>
        <v>0</v>
      </c>
      <c r="J3498" s="82"/>
      <c r="K3498" s="83"/>
    </row>
    <row r="3499" spans="1:11" ht="39" customHeight="1" x14ac:dyDescent="0.25">
      <c r="A3499" s="82" t="s">
        <v>459</v>
      </c>
      <c r="B3499" s="83" t="s">
        <v>4232</v>
      </c>
      <c r="C3499" s="83"/>
      <c r="D3499" s="83"/>
      <c r="E3499" s="83" t="s">
        <v>4228</v>
      </c>
      <c r="F3499" s="82" t="s">
        <v>78</v>
      </c>
      <c r="G3499" s="82">
        <v>1</v>
      </c>
      <c r="H3499" s="82"/>
      <c r="I3499" s="138">
        <f t="shared" si="154"/>
        <v>0</v>
      </c>
      <c r="J3499" s="82"/>
      <c r="K3499" s="83"/>
    </row>
    <row r="3500" spans="1:11" ht="15" customHeight="1" x14ac:dyDescent="0.25">
      <c r="A3500" s="82" t="s">
        <v>4262</v>
      </c>
      <c r="B3500" s="83" t="s">
        <v>5073</v>
      </c>
      <c r="C3500" s="83"/>
      <c r="D3500" s="83"/>
      <c r="E3500" s="83" t="s">
        <v>4228</v>
      </c>
      <c r="F3500" s="82" t="s">
        <v>78</v>
      </c>
      <c r="G3500" s="82">
        <v>1</v>
      </c>
      <c r="H3500" s="82">
        <v>2800</v>
      </c>
      <c r="I3500" s="138">
        <f t="shared" si="154"/>
        <v>2800</v>
      </c>
      <c r="J3500" s="82"/>
      <c r="K3500" s="83"/>
    </row>
    <row r="3501" spans="1:11" ht="15" customHeight="1" x14ac:dyDescent="0.25">
      <c r="A3501" s="82" t="s">
        <v>4236</v>
      </c>
      <c r="B3501" s="83" t="s">
        <v>4237</v>
      </c>
      <c r="C3501" s="83"/>
      <c r="D3501" s="83"/>
      <c r="E3501" s="83" t="s">
        <v>4228</v>
      </c>
      <c r="F3501" s="82" t="s">
        <v>78</v>
      </c>
      <c r="G3501" s="82">
        <v>1</v>
      </c>
      <c r="H3501" s="82">
        <v>700</v>
      </c>
      <c r="I3501" s="138">
        <f t="shared" si="154"/>
        <v>700</v>
      </c>
      <c r="J3501" s="82"/>
      <c r="K3501" s="83"/>
    </row>
    <row r="3502" spans="1:11" ht="15" customHeight="1" x14ac:dyDescent="0.25">
      <c r="A3502" s="80" t="s">
        <v>5084</v>
      </c>
      <c r="B3502" s="80" t="s">
        <v>5085</v>
      </c>
      <c r="C3502" s="80"/>
      <c r="D3502" s="80"/>
      <c r="E3502" s="80"/>
      <c r="F3502" s="80"/>
      <c r="G3502" s="81"/>
      <c r="H3502" s="80"/>
      <c r="I3502" s="137"/>
      <c r="J3502" s="80"/>
      <c r="K3502" s="80"/>
    </row>
    <row r="3503" spans="1:11" ht="27" customHeight="1" x14ac:dyDescent="0.25">
      <c r="A3503" s="82" t="s">
        <v>432</v>
      </c>
      <c r="B3503" s="83" t="s">
        <v>4231</v>
      </c>
      <c r="C3503" s="83" t="s">
        <v>5062</v>
      </c>
      <c r="D3503" s="83"/>
      <c r="E3503" s="83" t="s">
        <v>4228</v>
      </c>
      <c r="F3503" s="82" t="s">
        <v>78</v>
      </c>
      <c r="G3503" s="82">
        <v>3</v>
      </c>
      <c r="H3503" s="82">
        <v>12000</v>
      </c>
      <c r="I3503" s="138">
        <f t="shared" ref="I3503:I3515" si="155">H3503*G3503</f>
        <v>36000</v>
      </c>
      <c r="J3503" s="82"/>
      <c r="K3503" s="83"/>
    </row>
    <row r="3504" spans="1:11" ht="27" customHeight="1" x14ac:dyDescent="0.25">
      <c r="A3504" s="82" t="s">
        <v>4310</v>
      </c>
      <c r="B3504" s="83" t="s">
        <v>4311</v>
      </c>
      <c r="C3504" s="83" t="s">
        <v>4312</v>
      </c>
      <c r="D3504" s="83"/>
      <c r="E3504" s="83" t="s">
        <v>4228</v>
      </c>
      <c r="F3504" s="82" t="s">
        <v>78</v>
      </c>
      <c r="G3504" s="82">
        <v>3</v>
      </c>
      <c r="H3504" s="82"/>
      <c r="I3504" s="138">
        <f t="shared" si="155"/>
        <v>0</v>
      </c>
      <c r="J3504" s="82"/>
      <c r="K3504" s="83"/>
    </row>
    <row r="3505" spans="1:11" ht="27" customHeight="1" x14ac:dyDescent="0.25">
      <c r="A3505" s="82" t="s">
        <v>4242</v>
      </c>
      <c r="B3505" s="83" t="s">
        <v>4313</v>
      </c>
      <c r="C3505" s="83" t="s">
        <v>4282</v>
      </c>
      <c r="D3505" s="83"/>
      <c r="E3505" s="83" t="s">
        <v>4228</v>
      </c>
      <c r="F3505" s="82" t="s">
        <v>78</v>
      </c>
      <c r="G3505" s="82">
        <v>3</v>
      </c>
      <c r="H3505" s="82">
        <v>1950</v>
      </c>
      <c r="I3505" s="138">
        <f t="shared" si="155"/>
        <v>5850</v>
      </c>
      <c r="J3505" s="82"/>
      <c r="K3505" s="83" t="s">
        <v>4246</v>
      </c>
    </row>
    <row r="3506" spans="1:11" ht="27" customHeight="1" x14ac:dyDescent="0.25">
      <c r="A3506" s="82" t="s">
        <v>4267</v>
      </c>
      <c r="B3506" s="83" t="s">
        <v>4268</v>
      </c>
      <c r="C3506" s="83" t="s">
        <v>4269</v>
      </c>
      <c r="D3506" s="83"/>
      <c r="E3506" s="83" t="s">
        <v>4228</v>
      </c>
      <c r="F3506" s="82" t="s">
        <v>78</v>
      </c>
      <c r="G3506" s="82">
        <v>1</v>
      </c>
      <c r="H3506" s="82"/>
      <c r="I3506" s="138">
        <f t="shared" si="155"/>
        <v>0</v>
      </c>
      <c r="J3506" s="82"/>
      <c r="K3506" s="83"/>
    </row>
    <row r="3507" spans="1:11" ht="39" customHeight="1" x14ac:dyDescent="0.25">
      <c r="A3507" s="82" t="s">
        <v>4264</v>
      </c>
      <c r="B3507" s="83" t="s">
        <v>4265</v>
      </c>
      <c r="C3507" s="83" t="s">
        <v>4266</v>
      </c>
      <c r="D3507" s="83"/>
      <c r="E3507" s="83" t="s">
        <v>4228</v>
      </c>
      <c r="F3507" s="82" t="s">
        <v>78</v>
      </c>
      <c r="G3507" s="82">
        <v>3</v>
      </c>
      <c r="H3507" s="82"/>
      <c r="I3507" s="138">
        <f t="shared" si="155"/>
        <v>0</v>
      </c>
      <c r="J3507" s="82"/>
      <c r="K3507" s="83"/>
    </row>
    <row r="3508" spans="1:11" ht="27" customHeight="1" x14ac:dyDescent="0.25">
      <c r="A3508" s="82" t="s">
        <v>5063</v>
      </c>
      <c r="B3508" s="83" t="s">
        <v>5064</v>
      </c>
      <c r="C3508" s="83" t="s">
        <v>5065</v>
      </c>
      <c r="D3508" s="83"/>
      <c r="E3508" s="83" t="s">
        <v>4228</v>
      </c>
      <c r="F3508" s="82" t="s">
        <v>78</v>
      </c>
      <c r="G3508" s="82">
        <v>1</v>
      </c>
      <c r="H3508" s="82"/>
      <c r="I3508" s="138">
        <f t="shared" si="155"/>
        <v>0</v>
      </c>
      <c r="J3508" s="82"/>
      <c r="K3508" s="83"/>
    </row>
    <row r="3509" spans="1:11" ht="27" customHeight="1" x14ac:dyDescent="0.25">
      <c r="A3509" s="82" t="s">
        <v>5066</v>
      </c>
      <c r="B3509" s="83" t="s">
        <v>5067</v>
      </c>
      <c r="C3509" s="83" t="s">
        <v>5068</v>
      </c>
      <c r="D3509" s="83"/>
      <c r="E3509" s="83" t="s">
        <v>4228</v>
      </c>
      <c r="F3509" s="82" t="s">
        <v>78</v>
      </c>
      <c r="G3509" s="82">
        <v>3</v>
      </c>
      <c r="H3509" s="82"/>
      <c r="I3509" s="138">
        <f t="shared" si="155"/>
        <v>0</v>
      </c>
      <c r="J3509" s="82"/>
      <c r="K3509" s="83"/>
    </row>
    <row r="3510" spans="1:11" ht="15" customHeight="1" x14ac:dyDescent="0.25">
      <c r="A3510" s="82" t="s">
        <v>2131</v>
      </c>
      <c r="B3510" s="83" t="s">
        <v>4682</v>
      </c>
      <c r="C3510" s="83"/>
      <c r="D3510" s="83"/>
      <c r="E3510" s="83" t="s">
        <v>4228</v>
      </c>
      <c r="F3510" s="82" t="s">
        <v>78</v>
      </c>
      <c r="G3510" s="82">
        <v>3</v>
      </c>
      <c r="H3510" s="82"/>
      <c r="I3510" s="138">
        <f t="shared" si="155"/>
        <v>0</v>
      </c>
      <c r="J3510" s="82"/>
      <c r="K3510" s="83"/>
    </row>
    <row r="3511" spans="1:11" ht="15" customHeight="1" x14ac:dyDescent="0.25">
      <c r="A3511" s="82" t="s">
        <v>5069</v>
      </c>
      <c r="B3511" s="83" t="s">
        <v>5070</v>
      </c>
      <c r="C3511" s="83"/>
      <c r="D3511" s="83"/>
      <c r="E3511" s="83" t="s">
        <v>4228</v>
      </c>
      <c r="F3511" s="82" t="s">
        <v>78</v>
      </c>
      <c r="G3511" s="82">
        <v>1</v>
      </c>
      <c r="H3511" s="82"/>
      <c r="I3511" s="138">
        <f t="shared" si="155"/>
        <v>0</v>
      </c>
      <c r="J3511" s="82"/>
      <c r="K3511" s="83"/>
    </row>
    <row r="3512" spans="1:11" ht="27" customHeight="1" x14ac:dyDescent="0.25">
      <c r="A3512" s="82" t="s">
        <v>4233</v>
      </c>
      <c r="B3512" s="83" t="s">
        <v>4234</v>
      </c>
      <c r="C3512" s="83"/>
      <c r="D3512" s="83"/>
      <c r="E3512" s="83" t="s">
        <v>4228</v>
      </c>
      <c r="F3512" s="82" t="s">
        <v>78</v>
      </c>
      <c r="G3512" s="82">
        <v>1</v>
      </c>
      <c r="H3512" s="82"/>
      <c r="I3512" s="138">
        <f t="shared" si="155"/>
        <v>0</v>
      </c>
      <c r="J3512" s="82"/>
      <c r="K3512" s="83"/>
    </row>
    <row r="3513" spans="1:11" ht="39" customHeight="1" x14ac:dyDescent="0.25">
      <c r="A3513" s="82" t="s">
        <v>459</v>
      </c>
      <c r="B3513" s="83" t="s">
        <v>4232</v>
      </c>
      <c r="C3513" s="83"/>
      <c r="D3513" s="83"/>
      <c r="E3513" s="83" t="s">
        <v>4228</v>
      </c>
      <c r="F3513" s="82" t="s">
        <v>78</v>
      </c>
      <c r="G3513" s="82">
        <v>3</v>
      </c>
      <c r="H3513" s="82"/>
      <c r="I3513" s="138">
        <f t="shared" si="155"/>
        <v>0</v>
      </c>
      <c r="J3513" s="82"/>
      <c r="K3513" s="83"/>
    </row>
    <row r="3514" spans="1:11" ht="15" customHeight="1" x14ac:dyDescent="0.25">
      <c r="A3514" s="82" t="s">
        <v>4262</v>
      </c>
      <c r="B3514" s="83" t="s">
        <v>5073</v>
      </c>
      <c r="C3514" s="83"/>
      <c r="D3514" s="83"/>
      <c r="E3514" s="83" t="s">
        <v>4228</v>
      </c>
      <c r="F3514" s="82" t="s">
        <v>78</v>
      </c>
      <c r="G3514" s="82">
        <v>1</v>
      </c>
      <c r="H3514" s="82">
        <v>2800</v>
      </c>
      <c r="I3514" s="138">
        <f t="shared" si="155"/>
        <v>2800</v>
      </c>
      <c r="J3514" s="82"/>
      <c r="K3514" s="83"/>
    </row>
    <row r="3515" spans="1:11" ht="15" customHeight="1" x14ac:dyDescent="0.25">
      <c r="A3515" s="82" t="s">
        <v>4236</v>
      </c>
      <c r="B3515" s="83" t="s">
        <v>4237</v>
      </c>
      <c r="C3515" s="83"/>
      <c r="D3515" s="83"/>
      <c r="E3515" s="83" t="s">
        <v>4228</v>
      </c>
      <c r="F3515" s="82" t="s">
        <v>78</v>
      </c>
      <c r="G3515" s="82">
        <v>1</v>
      </c>
      <c r="H3515" s="82">
        <v>700</v>
      </c>
      <c r="I3515" s="138">
        <f t="shared" si="155"/>
        <v>700</v>
      </c>
      <c r="J3515" s="82"/>
      <c r="K3515" s="83"/>
    </row>
    <row r="3516" spans="1:11" ht="15" customHeight="1" x14ac:dyDescent="0.25">
      <c r="A3516" s="80" t="s">
        <v>5086</v>
      </c>
      <c r="B3516" s="80" t="s">
        <v>5087</v>
      </c>
      <c r="C3516" s="80"/>
      <c r="D3516" s="80"/>
      <c r="E3516" s="80"/>
      <c r="F3516" s="80"/>
      <c r="G3516" s="81"/>
      <c r="H3516" s="80"/>
      <c r="I3516" s="137"/>
      <c r="J3516" s="80"/>
      <c r="K3516" s="80"/>
    </row>
    <row r="3517" spans="1:11" ht="27" customHeight="1" x14ac:dyDescent="0.25">
      <c r="A3517" s="82" t="s">
        <v>4310</v>
      </c>
      <c r="B3517" s="83" t="s">
        <v>4311</v>
      </c>
      <c r="C3517" s="83" t="s">
        <v>4312</v>
      </c>
      <c r="D3517" s="83"/>
      <c r="E3517" s="83" t="s">
        <v>6885</v>
      </c>
      <c r="F3517" s="82" t="s">
        <v>78</v>
      </c>
      <c r="G3517" s="82">
        <v>4</v>
      </c>
      <c r="H3517" s="82"/>
      <c r="I3517" s="138">
        <f t="shared" ref="I3517:I3523" si="156">H3517*G3517</f>
        <v>0</v>
      </c>
      <c r="J3517" s="82"/>
      <c r="K3517" s="83"/>
    </row>
    <row r="3518" spans="1:11" ht="27" customHeight="1" x14ac:dyDescent="0.25">
      <c r="A3518" s="82" t="s">
        <v>4242</v>
      </c>
      <c r="B3518" s="83" t="s">
        <v>4313</v>
      </c>
      <c r="C3518" s="83" t="s">
        <v>4282</v>
      </c>
      <c r="D3518" s="83"/>
      <c r="E3518" s="83" t="s">
        <v>6885</v>
      </c>
      <c r="F3518" s="82" t="s">
        <v>78</v>
      </c>
      <c r="G3518" s="82">
        <v>2</v>
      </c>
      <c r="H3518" s="82">
        <v>1950</v>
      </c>
      <c r="I3518" s="138">
        <f t="shared" si="156"/>
        <v>3900</v>
      </c>
      <c r="J3518" s="82"/>
      <c r="K3518" s="83" t="s">
        <v>4246</v>
      </c>
    </row>
    <row r="3519" spans="1:11" ht="15" customHeight="1" x14ac:dyDescent="0.25">
      <c r="A3519" s="82" t="s">
        <v>5069</v>
      </c>
      <c r="B3519" s="83" t="s">
        <v>5070</v>
      </c>
      <c r="C3519" s="83"/>
      <c r="D3519" s="83"/>
      <c r="E3519" s="83" t="s">
        <v>4228</v>
      </c>
      <c r="F3519" s="82" t="s">
        <v>78</v>
      </c>
      <c r="G3519" s="82">
        <v>1</v>
      </c>
      <c r="H3519" s="82"/>
      <c r="I3519" s="138">
        <f t="shared" si="156"/>
        <v>0</v>
      </c>
      <c r="J3519" s="82"/>
      <c r="K3519" s="83"/>
    </row>
    <row r="3520" spans="1:11" ht="39" customHeight="1" x14ac:dyDescent="0.25">
      <c r="A3520" s="82" t="s">
        <v>459</v>
      </c>
      <c r="B3520" s="83" t="s">
        <v>4232</v>
      </c>
      <c r="C3520" s="83"/>
      <c r="D3520" s="83"/>
      <c r="E3520" s="83" t="s">
        <v>4228</v>
      </c>
      <c r="F3520" s="82" t="s">
        <v>78</v>
      </c>
      <c r="G3520" s="82">
        <v>4</v>
      </c>
      <c r="H3520" s="82"/>
      <c r="I3520" s="138">
        <f t="shared" si="156"/>
        <v>0</v>
      </c>
      <c r="J3520" s="82"/>
      <c r="K3520" s="83"/>
    </row>
    <row r="3521" spans="1:11" ht="27" customHeight="1" x14ac:dyDescent="0.25">
      <c r="A3521" s="82" t="s">
        <v>432</v>
      </c>
      <c r="B3521" s="83" t="s">
        <v>4231</v>
      </c>
      <c r="C3521" s="83"/>
      <c r="D3521" s="83"/>
      <c r="E3521" s="83" t="s">
        <v>4228</v>
      </c>
      <c r="F3521" s="82" t="s">
        <v>78</v>
      </c>
      <c r="G3521" s="82">
        <v>4</v>
      </c>
      <c r="H3521" s="82">
        <v>12000</v>
      </c>
      <c r="I3521" s="138">
        <f t="shared" si="156"/>
        <v>48000</v>
      </c>
      <c r="J3521" s="82"/>
      <c r="K3521" s="83"/>
    </row>
    <row r="3522" spans="1:11" ht="27" customHeight="1" x14ac:dyDescent="0.25">
      <c r="A3522" s="82" t="s">
        <v>5066</v>
      </c>
      <c r="B3522" s="83" t="s">
        <v>5067</v>
      </c>
      <c r="C3522" s="83" t="s">
        <v>5068</v>
      </c>
      <c r="D3522" s="83"/>
      <c r="E3522" s="83" t="s">
        <v>6885</v>
      </c>
      <c r="F3522" s="82" t="s">
        <v>78</v>
      </c>
      <c r="G3522" s="82">
        <v>4</v>
      </c>
      <c r="H3522" s="82"/>
      <c r="I3522" s="138">
        <f t="shared" si="156"/>
        <v>0</v>
      </c>
      <c r="J3522" s="82"/>
      <c r="K3522" s="83"/>
    </row>
    <row r="3523" spans="1:11" ht="39" customHeight="1" x14ac:dyDescent="0.25">
      <c r="A3523" s="82" t="s">
        <v>4264</v>
      </c>
      <c r="B3523" s="83" t="s">
        <v>4265</v>
      </c>
      <c r="C3523" s="83" t="s">
        <v>4266</v>
      </c>
      <c r="D3523" s="83"/>
      <c r="E3523" s="83" t="s">
        <v>4228</v>
      </c>
      <c r="F3523" s="82" t="s">
        <v>78</v>
      </c>
      <c r="G3523" s="82">
        <v>4</v>
      </c>
      <c r="H3523" s="82"/>
      <c r="I3523" s="138">
        <f t="shared" si="156"/>
        <v>0</v>
      </c>
      <c r="J3523" s="82"/>
      <c r="K3523" s="83"/>
    </row>
    <row r="3524" spans="1:11" ht="15" customHeight="1" x14ac:dyDescent="0.25">
      <c r="A3524" s="84"/>
      <c r="B3524" s="84" t="s">
        <v>5088</v>
      </c>
      <c r="C3524" s="84"/>
      <c r="D3524" s="84"/>
      <c r="E3524" s="84"/>
      <c r="F3524" s="84"/>
      <c r="G3524" s="85"/>
      <c r="H3524" s="84"/>
      <c r="I3524" s="139"/>
      <c r="J3524" s="84"/>
      <c r="K3524" s="84"/>
    </row>
    <row r="3525" spans="1:11" ht="15" customHeight="1" x14ac:dyDescent="0.25">
      <c r="A3525" s="80" t="s">
        <v>5089</v>
      </c>
      <c r="B3525" s="80" t="s">
        <v>4790</v>
      </c>
      <c r="C3525" s="80"/>
      <c r="D3525" s="80"/>
      <c r="E3525" s="80"/>
      <c r="F3525" s="80"/>
      <c r="G3525" s="81"/>
      <c r="H3525" s="80"/>
      <c r="I3525" s="137"/>
      <c r="J3525" s="80"/>
      <c r="K3525" s="80"/>
    </row>
    <row r="3526" spans="1:11" ht="27" customHeight="1" x14ac:dyDescent="0.25">
      <c r="A3526" s="82" t="s">
        <v>4804</v>
      </c>
      <c r="B3526" s="83" t="s">
        <v>4805</v>
      </c>
      <c r="C3526" s="83"/>
      <c r="D3526" s="83" t="s">
        <v>4806</v>
      </c>
      <c r="E3526" s="83"/>
      <c r="F3526" s="82" t="s">
        <v>78</v>
      </c>
      <c r="G3526" s="82">
        <v>1</v>
      </c>
      <c r="H3526" s="82"/>
      <c r="I3526" s="138">
        <f>H3526*G3526</f>
        <v>0</v>
      </c>
      <c r="J3526" s="82"/>
      <c r="K3526" s="83"/>
    </row>
    <row r="3527" spans="1:11" ht="27" customHeight="1" x14ac:dyDescent="0.25">
      <c r="A3527" s="82" t="s">
        <v>4236</v>
      </c>
      <c r="B3527" s="83" t="s">
        <v>5090</v>
      </c>
      <c r="C3527" s="83" t="s">
        <v>5091</v>
      </c>
      <c r="D3527" s="83"/>
      <c r="E3527" s="83"/>
      <c r="F3527" s="82" t="s">
        <v>78</v>
      </c>
      <c r="G3527" s="82">
        <v>1</v>
      </c>
      <c r="H3527" s="82"/>
      <c r="I3527" s="138">
        <f>H3527*G3527</f>
        <v>0</v>
      </c>
      <c r="J3527" s="82"/>
      <c r="K3527" s="83"/>
    </row>
    <row r="3528" spans="1:11" ht="15" customHeight="1" x14ac:dyDescent="0.25">
      <c r="A3528" s="80" t="s">
        <v>5092</v>
      </c>
      <c r="B3528" s="80" t="s">
        <v>5093</v>
      </c>
      <c r="C3528" s="80"/>
      <c r="D3528" s="80"/>
      <c r="E3528" s="80"/>
      <c r="F3528" s="80"/>
      <c r="G3528" s="81"/>
      <c r="H3528" s="80"/>
      <c r="I3528" s="137"/>
      <c r="J3528" s="80"/>
      <c r="K3528" s="80"/>
    </row>
    <row r="3529" spans="1:11" ht="39" customHeight="1" x14ac:dyDescent="0.25">
      <c r="A3529" s="82" t="s">
        <v>4812</v>
      </c>
      <c r="B3529" s="83" t="s">
        <v>4813</v>
      </c>
      <c r="C3529" s="83"/>
      <c r="D3529" s="83" t="s">
        <v>4814</v>
      </c>
      <c r="E3529" s="83"/>
      <c r="F3529" s="82" t="s">
        <v>78</v>
      </c>
      <c r="G3529" s="82">
        <v>2</v>
      </c>
      <c r="H3529" s="82">
        <v>22830</v>
      </c>
      <c r="I3529" s="138">
        <f>H3529*G3529</f>
        <v>45660</v>
      </c>
      <c r="J3529" s="82" t="s">
        <v>4486</v>
      </c>
      <c r="K3529" s="83"/>
    </row>
    <row r="3530" spans="1:11" ht="15" customHeight="1" x14ac:dyDescent="0.25">
      <c r="A3530" s="80" t="s">
        <v>5094</v>
      </c>
      <c r="B3530" s="80" t="s">
        <v>5095</v>
      </c>
      <c r="C3530" s="80"/>
      <c r="D3530" s="80"/>
      <c r="E3530" s="80"/>
      <c r="F3530" s="80"/>
      <c r="G3530" s="81"/>
      <c r="H3530" s="80"/>
      <c r="I3530" s="137"/>
      <c r="J3530" s="80"/>
      <c r="K3530" s="80"/>
    </row>
    <row r="3531" spans="1:11" ht="27" customHeight="1" x14ac:dyDescent="0.25">
      <c r="A3531" s="82" t="s">
        <v>5096</v>
      </c>
      <c r="B3531" s="83" t="s">
        <v>5097</v>
      </c>
      <c r="C3531" s="83"/>
      <c r="D3531" s="83"/>
      <c r="E3531" s="83"/>
      <c r="F3531" s="82" t="s">
        <v>78</v>
      </c>
      <c r="G3531" s="82">
        <v>1</v>
      </c>
      <c r="H3531" s="82">
        <v>3000</v>
      </c>
      <c r="I3531" s="138">
        <f>H3531*G3531</f>
        <v>3000</v>
      </c>
      <c r="J3531" s="82"/>
      <c r="K3531" s="83" t="s">
        <v>5098</v>
      </c>
    </row>
    <row r="3532" spans="1:11" ht="39" customHeight="1" x14ac:dyDescent="0.25">
      <c r="A3532" s="82" t="s">
        <v>4812</v>
      </c>
      <c r="B3532" s="83" t="s">
        <v>4813</v>
      </c>
      <c r="C3532" s="83"/>
      <c r="D3532" s="83" t="s">
        <v>4814</v>
      </c>
      <c r="E3532" s="83"/>
      <c r="F3532" s="82" t="s">
        <v>78</v>
      </c>
      <c r="G3532" s="82">
        <v>1</v>
      </c>
      <c r="H3532" s="82">
        <v>22830</v>
      </c>
      <c r="I3532" s="138">
        <f>H3532*G3532</f>
        <v>22830</v>
      </c>
      <c r="J3532" s="82" t="s">
        <v>4486</v>
      </c>
      <c r="K3532" s="83"/>
    </row>
    <row r="3533" spans="1:11" ht="15" customHeight="1" x14ac:dyDescent="0.25">
      <c r="A3533" s="80" t="s">
        <v>5099</v>
      </c>
      <c r="B3533" s="80" t="s">
        <v>5100</v>
      </c>
      <c r="C3533" s="80"/>
      <c r="D3533" s="80"/>
      <c r="E3533" s="80"/>
      <c r="F3533" s="80"/>
      <c r="G3533" s="81"/>
      <c r="H3533" s="80"/>
      <c r="I3533" s="137"/>
      <c r="J3533" s="80"/>
      <c r="K3533" s="80"/>
    </row>
    <row r="3534" spans="1:11" ht="39" customHeight="1" x14ac:dyDescent="0.25">
      <c r="A3534" s="82" t="s">
        <v>4812</v>
      </c>
      <c r="B3534" s="83" t="s">
        <v>4813</v>
      </c>
      <c r="C3534" s="83"/>
      <c r="D3534" s="83" t="s">
        <v>4814</v>
      </c>
      <c r="E3534" s="83"/>
      <c r="F3534" s="82" t="s">
        <v>78</v>
      </c>
      <c r="G3534" s="82">
        <v>1</v>
      </c>
      <c r="H3534" s="82">
        <v>22830</v>
      </c>
      <c r="I3534" s="138">
        <f t="shared" ref="I3534:I3542" si="157">H3534*G3534</f>
        <v>22830</v>
      </c>
      <c r="J3534" s="82" t="s">
        <v>4486</v>
      </c>
      <c r="K3534" s="83"/>
    </row>
    <row r="3535" spans="1:11" ht="27" customHeight="1" x14ac:dyDescent="0.25">
      <c r="A3535" s="82" t="s">
        <v>5101</v>
      </c>
      <c r="B3535" s="83" t="s">
        <v>5102</v>
      </c>
      <c r="C3535" s="83"/>
      <c r="D3535" s="83" t="s">
        <v>5103</v>
      </c>
      <c r="E3535" s="83"/>
      <c r="F3535" s="82" t="s">
        <v>78</v>
      </c>
      <c r="G3535" s="82">
        <v>1</v>
      </c>
      <c r="H3535" s="82"/>
      <c r="I3535" s="138">
        <f t="shared" si="157"/>
        <v>0</v>
      </c>
      <c r="J3535" s="82"/>
      <c r="K3535" s="83"/>
    </row>
    <row r="3536" spans="1:11" ht="27" customHeight="1" x14ac:dyDescent="0.25">
      <c r="A3536" s="82" t="s">
        <v>4296</v>
      </c>
      <c r="B3536" s="83" t="s">
        <v>5104</v>
      </c>
      <c r="C3536" s="83"/>
      <c r="D3536" s="83" t="s">
        <v>5105</v>
      </c>
      <c r="E3536" s="83"/>
      <c r="F3536" s="82" t="s">
        <v>78</v>
      </c>
      <c r="G3536" s="82">
        <v>1</v>
      </c>
      <c r="H3536" s="82"/>
      <c r="I3536" s="138">
        <f t="shared" si="157"/>
        <v>0</v>
      </c>
      <c r="J3536" s="82"/>
      <c r="K3536" s="83"/>
    </row>
    <row r="3537" spans="1:11" ht="51" customHeight="1" x14ac:dyDescent="0.25">
      <c r="A3537" s="82" t="s">
        <v>5106</v>
      </c>
      <c r="B3537" s="83" t="s">
        <v>5107</v>
      </c>
      <c r="C3537" s="83"/>
      <c r="D3537" s="83" t="s">
        <v>5108</v>
      </c>
      <c r="E3537" s="83"/>
      <c r="F3537" s="82" t="s">
        <v>78</v>
      </c>
      <c r="G3537" s="82">
        <v>1</v>
      </c>
      <c r="H3537" s="82"/>
      <c r="I3537" s="138">
        <f t="shared" si="157"/>
        <v>0</v>
      </c>
      <c r="J3537" s="82"/>
      <c r="K3537" s="83"/>
    </row>
    <row r="3538" spans="1:11" ht="63" customHeight="1" x14ac:dyDescent="0.25">
      <c r="A3538" s="82" t="s">
        <v>4236</v>
      </c>
      <c r="B3538" s="83" t="s">
        <v>5109</v>
      </c>
      <c r="C3538" s="83"/>
      <c r="D3538" s="83" t="s">
        <v>5110</v>
      </c>
      <c r="E3538" s="83"/>
      <c r="F3538" s="82" t="s">
        <v>78</v>
      </c>
      <c r="G3538" s="82">
        <v>1</v>
      </c>
      <c r="H3538" s="82"/>
      <c r="I3538" s="138">
        <f t="shared" si="157"/>
        <v>0</v>
      </c>
      <c r="J3538" s="82"/>
      <c r="K3538" s="83"/>
    </row>
    <row r="3539" spans="1:11" ht="75" customHeight="1" x14ac:dyDescent="0.25">
      <c r="A3539" s="82" t="s">
        <v>4236</v>
      </c>
      <c r="B3539" s="83" t="s">
        <v>4815</v>
      </c>
      <c r="C3539" s="83"/>
      <c r="D3539" s="83"/>
      <c r="E3539" s="83"/>
      <c r="F3539" s="82" t="s">
        <v>78</v>
      </c>
      <c r="G3539" s="82">
        <v>1</v>
      </c>
      <c r="H3539" s="82"/>
      <c r="I3539" s="138">
        <f t="shared" si="157"/>
        <v>0</v>
      </c>
      <c r="J3539" s="82"/>
      <c r="K3539" s="83"/>
    </row>
    <row r="3540" spans="1:11" ht="15" customHeight="1" x14ac:dyDescent="0.25">
      <c r="A3540" s="82" t="s">
        <v>4236</v>
      </c>
      <c r="B3540" s="83" t="s">
        <v>4816</v>
      </c>
      <c r="C3540" s="83"/>
      <c r="D3540" s="83"/>
      <c r="E3540" s="83"/>
      <c r="F3540" s="82" t="s">
        <v>78</v>
      </c>
      <c r="G3540" s="82">
        <v>1</v>
      </c>
      <c r="H3540" s="82">
        <v>2415</v>
      </c>
      <c r="I3540" s="138">
        <f t="shared" si="157"/>
        <v>2415</v>
      </c>
      <c r="J3540" s="82"/>
      <c r="K3540" s="83"/>
    </row>
    <row r="3541" spans="1:11" ht="15" customHeight="1" x14ac:dyDescent="0.25">
      <c r="A3541" s="82" t="s">
        <v>4236</v>
      </c>
      <c r="B3541" s="83" t="s">
        <v>4389</v>
      </c>
      <c r="C3541" s="83"/>
      <c r="D3541" s="83"/>
      <c r="E3541" s="83"/>
      <c r="F3541" s="82" t="s">
        <v>78</v>
      </c>
      <c r="G3541" s="82">
        <v>1</v>
      </c>
      <c r="H3541" s="82">
        <v>4090</v>
      </c>
      <c r="I3541" s="138">
        <f t="shared" si="157"/>
        <v>4090</v>
      </c>
      <c r="J3541" s="82"/>
      <c r="K3541" s="83"/>
    </row>
    <row r="3542" spans="1:11" ht="15" customHeight="1" x14ac:dyDescent="0.25">
      <c r="A3542" s="82" t="s">
        <v>4236</v>
      </c>
      <c r="B3542" s="83" t="s">
        <v>4390</v>
      </c>
      <c r="C3542" s="83"/>
      <c r="D3542" s="83"/>
      <c r="E3542" s="83"/>
      <c r="F3542" s="82" t="s">
        <v>78</v>
      </c>
      <c r="G3542" s="82">
        <v>1</v>
      </c>
      <c r="H3542" s="82"/>
      <c r="I3542" s="138">
        <f t="shared" si="157"/>
        <v>0</v>
      </c>
      <c r="J3542" s="82"/>
      <c r="K3542" s="83"/>
    </row>
    <row r="3543" spans="1:11" ht="15" customHeight="1" x14ac:dyDescent="0.25">
      <c r="A3543" s="80" t="s">
        <v>5111</v>
      </c>
      <c r="B3543" s="80" t="s">
        <v>5112</v>
      </c>
      <c r="C3543" s="80"/>
      <c r="D3543" s="80"/>
      <c r="E3543" s="80"/>
      <c r="F3543" s="80"/>
      <c r="G3543" s="81"/>
      <c r="H3543" s="80"/>
      <c r="I3543" s="137"/>
      <c r="J3543" s="80"/>
      <c r="K3543" s="80"/>
    </row>
    <row r="3544" spans="1:11" ht="27" customHeight="1" x14ac:dyDescent="0.25">
      <c r="A3544" s="82" t="s">
        <v>5113</v>
      </c>
      <c r="B3544" s="83" t="s">
        <v>4805</v>
      </c>
      <c r="C3544" s="83"/>
      <c r="D3544" s="83" t="s">
        <v>4806</v>
      </c>
      <c r="E3544" s="83" t="s">
        <v>4228</v>
      </c>
      <c r="F3544" s="82" t="s">
        <v>78</v>
      </c>
      <c r="G3544" s="82">
        <v>1</v>
      </c>
      <c r="H3544" s="82"/>
      <c r="I3544" s="138">
        <f>H3544*G3544</f>
        <v>0</v>
      </c>
      <c r="J3544" s="82"/>
      <c r="K3544" s="83"/>
    </row>
    <row r="3545" spans="1:11" ht="15" customHeight="1" x14ac:dyDescent="0.25">
      <c r="A3545" s="82" t="s">
        <v>4801</v>
      </c>
      <c r="B3545" s="83" t="s">
        <v>4802</v>
      </c>
      <c r="C3545" s="83"/>
      <c r="D3545" s="83" t="s">
        <v>4803</v>
      </c>
      <c r="E3545" s="83"/>
      <c r="F3545" s="82" t="s">
        <v>78</v>
      </c>
      <c r="G3545" s="82">
        <v>1</v>
      </c>
      <c r="H3545" s="82"/>
      <c r="I3545" s="138">
        <f>H3545*G3545</f>
        <v>0</v>
      </c>
      <c r="J3545" s="82"/>
      <c r="K3545" s="83"/>
    </row>
    <row r="3546" spans="1:11" ht="15" customHeight="1" x14ac:dyDescent="0.25">
      <c r="A3546" s="80" t="s">
        <v>5114</v>
      </c>
      <c r="B3546" s="80" t="s">
        <v>5115</v>
      </c>
      <c r="C3546" s="80"/>
      <c r="D3546" s="80"/>
      <c r="E3546" s="80"/>
      <c r="F3546" s="80"/>
      <c r="G3546" s="81"/>
      <c r="H3546" s="80"/>
      <c r="I3546" s="137"/>
      <c r="J3546" s="80"/>
      <c r="K3546" s="80"/>
    </row>
    <row r="3547" spans="1:11" ht="87" customHeight="1" x14ac:dyDescent="0.25">
      <c r="A3547" s="82" t="s">
        <v>5116</v>
      </c>
      <c r="B3547" s="83" t="s">
        <v>5117</v>
      </c>
      <c r="C3547" s="83"/>
      <c r="D3547" s="83" t="s">
        <v>5118</v>
      </c>
      <c r="E3547" s="83"/>
      <c r="F3547" s="82" t="s">
        <v>78</v>
      </c>
      <c r="G3547" s="82">
        <v>1</v>
      </c>
      <c r="H3547" s="82"/>
      <c r="I3547" s="138">
        <f t="shared" ref="I3547:I3555" si="158">H3547*G3547</f>
        <v>0</v>
      </c>
      <c r="J3547" s="82" t="s">
        <v>5119</v>
      </c>
      <c r="K3547" s="83"/>
    </row>
    <row r="3548" spans="1:11" ht="51" customHeight="1" x14ac:dyDescent="0.25">
      <c r="A3548" s="82" t="s">
        <v>5120</v>
      </c>
      <c r="B3548" s="83" t="s">
        <v>5121</v>
      </c>
      <c r="C3548" s="83"/>
      <c r="D3548" s="83" t="s">
        <v>5122</v>
      </c>
      <c r="E3548" s="83"/>
      <c r="F3548" s="82" t="s">
        <v>78</v>
      </c>
      <c r="G3548" s="82">
        <v>1</v>
      </c>
      <c r="H3548" s="82"/>
      <c r="I3548" s="138">
        <f t="shared" si="158"/>
        <v>0</v>
      </c>
      <c r="J3548" s="82"/>
      <c r="K3548" s="83"/>
    </row>
    <row r="3549" spans="1:11" ht="27" customHeight="1" x14ac:dyDescent="0.25">
      <c r="A3549" s="82" t="s">
        <v>4296</v>
      </c>
      <c r="B3549" s="83" t="s">
        <v>5104</v>
      </c>
      <c r="C3549" s="83"/>
      <c r="D3549" s="83" t="s">
        <v>5105</v>
      </c>
      <c r="E3549" s="83"/>
      <c r="F3549" s="82" t="s">
        <v>78</v>
      </c>
      <c r="G3549" s="82">
        <v>3</v>
      </c>
      <c r="H3549" s="82"/>
      <c r="I3549" s="138">
        <f t="shared" si="158"/>
        <v>0</v>
      </c>
      <c r="J3549" s="82"/>
      <c r="K3549" s="83"/>
    </row>
    <row r="3550" spans="1:11" ht="27" customHeight="1" x14ac:dyDescent="0.25">
      <c r="A3550" s="82" t="s">
        <v>5123</v>
      </c>
      <c r="B3550" s="83" t="s">
        <v>5124</v>
      </c>
      <c r="C3550" s="83"/>
      <c r="D3550" s="83" t="s">
        <v>5125</v>
      </c>
      <c r="E3550" s="83"/>
      <c r="F3550" s="82" t="s">
        <v>78</v>
      </c>
      <c r="G3550" s="82">
        <v>1</v>
      </c>
      <c r="H3550" s="82"/>
      <c r="I3550" s="138">
        <f t="shared" si="158"/>
        <v>0</v>
      </c>
      <c r="J3550" s="82"/>
      <c r="K3550" s="83"/>
    </row>
    <row r="3551" spans="1:11" ht="27" customHeight="1" x14ac:dyDescent="0.25">
      <c r="A3551" s="82" t="s">
        <v>5126</v>
      </c>
      <c r="B3551" s="83" t="s">
        <v>5127</v>
      </c>
      <c r="C3551" s="83"/>
      <c r="D3551" s="83"/>
      <c r="E3551" s="83"/>
      <c r="F3551" s="82" t="s">
        <v>78</v>
      </c>
      <c r="G3551" s="82">
        <v>1</v>
      </c>
      <c r="H3551" s="82"/>
      <c r="I3551" s="138">
        <f t="shared" si="158"/>
        <v>0</v>
      </c>
      <c r="J3551" s="82"/>
      <c r="K3551" s="83"/>
    </row>
    <row r="3552" spans="1:11" ht="39" customHeight="1" x14ac:dyDescent="0.25">
      <c r="A3552" s="82" t="s">
        <v>4733</v>
      </c>
      <c r="B3552" s="83" t="s">
        <v>4734</v>
      </c>
      <c r="C3552" s="83" t="s">
        <v>4735</v>
      </c>
      <c r="D3552" s="83"/>
      <c r="E3552" s="83"/>
      <c r="F3552" s="82" t="s">
        <v>78</v>
      </c>
      <c r="G3552" s="82">
        <v>1</v>
      </c>
      <c r="H3552" s="82"/>
      <c r="I3552" s="138">
        <f t="shared" si="158"/>
        <v>0</v>
      </c>
      <c r="J3552" s="82"/>
      <c r="K3552" s="83"/>
    </row>
    <row r="3553" spans="1:11" ht="15" customHeight="1" x14ac:dyDescent="0.25">
      <c r="A3553" s="82" t="s">
        <v>4236</v>
      </c>
      <c r="B3553" s="83" t="s">
        <v>4816</v>
      </c>
      <c r="C3553" s="83"/>
      <c r="D3553" s="83"/>
      <c r="E3553" s="83"/>
      <c r="F3553" s="82" t="s">
        <v>78</v>
      </c>
      <c r="G3553" s="82">
        <v>1</v>
      </c>
      <c r="H3553" s="82">
        <v>2415</v>
      </c>
      <c r="I3553" s="138">
        <f t="shared" si="158"/>
        <v>2415</v>
      </c>
      <c r="J3553" s="82"/>
      <c r="K3553" s="83"/>
    </row>
    <row r="3554" spans="1:11" ht="15" customHeight="1" x14ac:dyDescent="0.25">
      <c r="A3554" s="82" t="s">
        <v>4236</v>
      </c>
      <c r="B3554" s="83" t="s">
        <v>4389</v>
      </c>
      <c r="C3554" s="83"/>
      <c r="D3554" s="83"/>
      <c r="E3554" s="83"/>
      <c r="F3554" s="82" t="s">
        <v>78</v>
      </c>
      <c r="G3554" s="82">
        <v>1</v>
      </c>
      <c r="H3554" s="82">
        <v>4090</v>
      </c>
      <c r="I3554" s="138">
        <f t="shared" si="158"/>
        <v>4090</v>
      </c>
      <c r="J3554" s="82"/>
      <c r="K3554" s="83"/>
    </row>
    <row r="3555" spans="1:11" ht="15" customHeight="1" x14ac:dyDescent="0.25">
      <c r="A3555" s="82" t="s">
        <v>4236</v>
      </c>
      <c r="B3555" s="83" t="s">
        <v>4390</v>
      </c>
      <c r="C3555" s="83"/>
      <c r="D3555" s="83"/>
      <c r="E3555" s="83"/>
      <c r="F3555" s="82" t="s">
        <v>78</v>
      </c>
      <c r="G3555" s="82">
        <v>1</v>
      </c>
      <c r="H3555" s="82"/>
      <c r="I3555" s="138">
        <f t="shared" si="158"/>
        <v>0</v>
      </c>
      <c r="J3555" s="82"/>
      <c r="K3555" s="83"/>
    </row>
    <row r="3556" spans="1:11" ht="15" customHeight="1" x14ac:dyDescent="0.25">
      <c r="A3556" s="80" t="s">
        <v>5128</v>
      </c>
      <c r="B3556" s="80" t="s">
        <v>5129</v>
      </c>
      <c r="C3556" s="80"/>
      <c r="D3556" s="80"/>
      <c r="E3556" s="80"/>
      <c r="F3556" s="80"/>
      <c r="G3556" s="81"/>
      <c r="H3556" s="80"/>
      <c r="I3556" s="137"/>
      <c r="J3556" s="80"/>
      <c r="K3556" s="80"/>
    </row>
    <row r="3557" spans="1:11" ht="51" customHeight="1" x14ac:dyDescent="0.25">
      <c r="A3557" s="82" t="s">
        <v>5130</v>
      </c>
      <c r="B3557" s="83" t="s">
        <v>5131</v>
      </c>
      <c r="C3557" s="83"/>
      <c r="D3557" s="83" t="s">
        <v>5132</v>
      </c>
      <c r="E3557" s="83"/>
      <c r="F3557" s="82" t="s">
        <v>78</v>
      </c>
      <c r="G3557" s="82">
        <v>1</v>
      </c>
      <c r="H3557" s="82"/>
      <c r="I3557" s="138">
        <f t="shared" ref="I3557:I3571" si="159">H3557*G3557</f>
        <v>0</v>
      </c>
      <c r="J3557" s="82" t="s">
        <v>5101</v>
      </c>
      <c r="K3557" s="83"/>
    </row>
    <row r="3558" spans="1:11" ht="27" customHeight="1" x14ac:dyDescent="0.25">
      <c r="A3558" s="82" t="s">
        <v>5133</v>
      </c>
      <c r="B3558" s="83" t="s">
        <v>5134</v>
      </c>
      <c r="C3558" s="83"/>
      <c r="D3558" s="83" t="s">
        <v>5135</v>
      </c>
      <c r="E3558" s="83"/>
      <c r="F3558" s="82" t="s">
        <v>78</v>
      </c>
      <c r="G3558" s="82">
        <v>1</v>
      </c>
      <c r="H3558" s="82"/>
      <c r="I3558" s="138">
        <f t="shared" si="159"/>
        <v>0</v>
      </c>
      <c r="J3558" s="82" t="s">
        <v>5136</v>
      </c>
      <c r="K3558" s="83"/>
    </row>
    <row r="3559" spans="1:11" ht="51" customHeight="1" x14ac:dyDescent="0.25">
      <c r="A3559" s="82" t="s">
        <v>5137</v>
      </c>
      <c r="B3559" s="83" t="s">
        <v>5138</v>
      </c>
      <c r="C3559" s="83"/>
      <c r="D3559" s="83" t="s">
        <v>5139</v>
      </c>
      <c r="E3559" s="83"/>
      <c r="F3559" s="82" t="s">
        <v>78</v>
      </c>
      <c r="G3559" s="82">
        <v>1</v>
      </c>
      <c r="H3559" s="82"/>
      <c r="I3559" s="138">
        <f t="shared" si="159"/>
        <v>0</v>
      </c>
      <c r="J3559" s="82" t="s">
        <v>5140</v>
      </c>
      <c r="K3559" s="83"/>
    </row>
    <row r="3560" spans="1:11" ht="135" customHeight="1" x14ac:dyDescent="0.25">
      <c r="A3560" s="82" t="s">
        <v>5141</v>
      </c>
      <c r="B3560" s="83" t="s">
        <v>5142</v>
      </c>
      <c r="C3560" s="83"/>
      <c r="D3560" s="83"/>
      <c r="E3560" s="83"/>
      <c r="F3560" s="82" t="s">
        <v>78</v>
      </c>
      <c r="G3560" s="82">
        <v>1</v>
      </c>
      <c r="H3560" s="82"/>
      <c r="I3560" s="138">
        <f t="shared" si="159"/>
        <v>0</v>
      </c>
      <c r="J3560" s="82"/>
      <c r="K3560" s="83"/>
    </row>
    <row r="3561" spans="1:11" ht="15" customHeight="1" x14ac:dyDescent="0.25">
      <c r="A3561" s="82" t="s">
        <v>4723</v>
      </c>
      <c r="B3561" s="83" t="s">
        <v>5143</v>
      </c>
      <c r="C3561" s="83"/>
      <c r="D3561" s="83" t="s">
        <v>5144</v>
      </c>
      <c r="E3561" s="83"/>
      <c r="F3561" s="82" t="s">
        <v>78</v>
      </c>
      <c r="G3561" s="82">
        <v>1</v>
      </c>
      <c r="H3561" s="82"/>
      <c r="I3561" s="138">
        <f t="shared" si="159"/>
        <v>0</v>
      </c>
      <c r="J3561" s="82"/>
      <c r="K3561" s="83"/>
    </row>
    <row r="3562" spans="1:11" ht="27" customHeight="1" x14ac:dyDescent="0.25">
      <c r="A3562" s="82" t="s">
        <v>4296</v>
      </c>
      <c r="B3562" s="83" t="s">
        <v>5104</v>
      </c>
      <c r="C3562" s="83"/>
      <c r="D3562" s="83" t="s">
        <v>5105</v>
      </c>
      <c r="E3562" s="83"/>
      <c r="F3562" s="82" t="s">
        <v>78</v>
      </c>
      <c r="G3562" s="82">
        <v>2</v>
      </c>
      <c r="H3562" s="82"/>
      <c r="I3562" s="138">
        <f t="shared" si="159"/>
        <v>0</v>
      </c>
      <c r="J3562" s="82"/>
      <c r="K3562" s="83"/>
    </row>
    <row r="3563" spans="1:11" ht="27" customHeight="1" x14ac:dyDescent="0.25">
      <c r="A3563" s="82" t="s">
        <v>5126</v>
      </c>
      <c r="B3563" s="83" t="s">
        <v>5127</v>
      </c>
      <c r="C3563" s="83"/>
      <c r="D3563" s="83"/>
      <c r="E3563" s="83"/>
      <c r="F3563" s="82" t="s">
        <v>78</v>
      </c>
      <c r="G3563" s="82">
        <v>1</v>
      </c>
      <c r="H3563" s="82"/>
      <c r="I3563" s="138">
        <f t="shared" si="159"/>
        <v>0</v>
      </c>
      <c r="J3563" s="82"/>
      <c r="K3563" s="83"/>
    </row>
    <row r="3564" spans="1:11" ht="51" customHeight="1" x14ac:dyDescent="0.25">
      <c r="A3564" s="82" t="s">
        <v>4383</v>
      </c>
      <c r="B3564" s="83" t="s">
        <v>4384</v>
      </c>
      <c r="C3564" s="83"/>
      <c r="D3564" s="83"/>
      <c r="E3564" s="83"/>
      <c r="F3564" s="82" t="s">
        <v>78</v>
      </c>
      <c r="G3564" s="82">
        <v>1</v>
      </c>
      <c r="H3564" s="82">
        <v>16200</v>
      </c>
      <c r="I3564" s="138">
        <f t="shared" si="159"/>
        <v>16200</v>
      </c>
      <c r="J3564" s="82"/>
      <c r="K3564" s="83"/>
    </row>
    <row r="3565" spans="1:11" ht="27" customHeight="1" x14ac:dyDescent="0.25">
      <c r="A3565" s="82" t="s">
        <v>5145</v>
      </c>
      <c r="B3565" s="83" t="s">
        <v>5146</v>
      </c>
      <c r="C3565" s="83"/>
      <c r="D3565" s="83" t="s">
        <v>5147</v>
      </c>
      <c r="E3565" s="83"/>
      <c r="F3565" s="82" t="s">
        <v>78</v>
      </c>
      <c r="G3565" s="82">
        <v>1</v>
      </c>
      <c r="H3565" s="82"/>
      <c r="I3565" s="138">
        <f t="shared" si="159"/>
        <v>0</v>
      </c>
      <c r="J3565" s="82" t="s">
        <v>4460</v>
      </c>
      <c r="K3565" s="83"/>
    </row>
    <row r="3566" spans="1:11" ht="75" customHeight="1" x14ac:dyDescent="0.25">
      <c r="A3566" s="82" t="s">
        <v>4236</v>
      </c>
      <c r="B3566" s="83" t="s">
        <v>5148</v>
      </c>
      <c r="C3566" s="83"/>
      <c r="D3566" s="83"/>
      <c r="E3566" s="83"/>
      <c r="F3566" s="82" t="s">
        <v>78</v>
      </c>
      <c r="G3566" s="82">
        <v>2</v>
      </c>
      <c r="H3566" s="82">
        <v>1800</v>
      </c>
      <c r="I3566" s="138">
        <f t="shared" si="159"/>
        <v>3600</v>
      </c>
      <c r="J3566" s="82"/>
      <c r="K3566" s="83"/>
    </row>
    <row r="3567" spans="1:11" ht="39" customHeight="1" x14ac:dyDescent="0.25">
      <c r="A3567" s="82" t="s">
        <v>4733</v>
      </c>
      <c r="B3567" s="83" t="s">
        <v>4734</v>
      </c>
      <c r="C3567" s="83" t="s">
        <v>4735</v>
      </c>
      <c r="D3567" s="83"/>
      <c r="E3567" s="83"/>
      <c r="F3567" s="82" t="s">
        <v>78</v>
      </c>
      <c r="G3567" s="82">
        <v>1</v>
      </c>
      <c r="H3567" s="82"/>
      <c r="I3567" s="138">
        <f t="shared" si="159"/>
        <v>0</v>
      </c>
      <c r="J3567" s="82"/>
      <c r="K3567" s="83"/>
    </row>
    <row r="3568" spans="1:11" ht="27" customHeight="1" x14ac:dyDescent="0.25">
      <c r="A3568" s="82" t="s">
        <v>4236</v>
      </c>
      <c r="B3568" s="83" t="s">
        <v>5149</v>
      </c>
      <c r="C3568" s="83"/>
      <c r="D3568" s="83"/>
      <c r="E3568" s="83"/>
      <c r="F3568" s="82" t="s">
        <v>78</v>
      </c>
      <c r="G3568" s="82">
        <v>5</v>
      </c>
      <c r="H3568" s="82"/>
      <c r="I3568" s="138">
        <f t="shared" si="159"/>
        <v>0</v>
      </c>
      <c r="J3568" s="82"/>
      <c r="K3568" s="83"/>
    </row>
    <row r="3569" spans="1:11" ht="15" customHeight="1" x14ac:dyDescent="0.25">
      <c r="A3569" s="82" t="s">
        <v>4236</v>
      </c>
      <c r="B3569" s="83" t="s">
        <v>5150</v>
      </c>
      <c r="C3569" s="83"/>
      <c r="D3569" s="83"/>
      <c r="E3569" s="83"/>
      <c r="F3569" s="82" t="s">
        <v>78</v>
      </c>
      <c r="G3569" s="82">
        <v>10</v>
      </c>
      <c r="H3569" s="82"/>
      <c r="I3569" s="138">
        <f t="shared" si="159"/>
        <v>0</v>
      </c>
      <c r="J3569" s="82"/>
      <c r="K3569" s="83"/>
    </row>
    <row r="3570" spans="1:11" ht="15" customHeight="1" x14ac:dyDescent="0.25">
      <c r="A3570" s="82" t="s">
        <v>4236</v>
      </c>
      <c r="B3570" s="83" t="s">
        <v>4390</v>
      </c>
      <c r="C3570" s="83"/>
      <c r="D3570" s="83"/>
      <c r="E3570" s="83"/>
      <c r="F3570" s="82" t="s">
        <v>78</v>
      </c>
      <c r="G3570" s="82">
        <v>1</v>
      </c>
      <c r="H3570" s="82"/>
      <c r="I3570" s="138">
        <f t="shared" si="159"/>
        <v>0</v>
      </c>
      <c r="J3570" s="82"/>
      <c r="K3570" s="83"/>
    </row>
    <row r="3571" spans="1:11" ht="15" customHeight="1" x14ac:dyDescent="0.25">
      <c r="A3571" s="82" t="s">
        <v>4236</v>
      </c>
      <c r="B3571" s="83" t="s">
        <v>4816</v>
      </c>
      <c r="C3571" s="83"/>
      <c r="D3571" s="83"/>
      <c r="E3571" s="83"/>
      <c r="F3571" s="82" t="s">
        <v>78</v>
      </c>
      <c r="G3571" s="82">
        <v>1</v>
      </c>
      <c r="H3571" s="82">
        <v>2415</v>
      </c>
      <c r="I3571" s="138">
        <f t="shared" si="159"/>
        <v>2415</v>
      </c>
      <c r="J3571" s="82"/>
      <c r="K3571" s="83"/>
    </row>
    <row r="3572" spans="1:11" ht="15" customHeight="1" x14ac:dyDescent="0.25">
      <c r="A3572" s="80" t="s">
        <v>5151</v>
      </c>
      <c r="B3572" s="80" t="s">
        <v>5152</v>
      </c>
      <c r="C3572" s="80"/>
      <c r="D3572" s="80"/>
      <c r="E3572" s="80"/>
      <c r="F3572" s="80"/>
      <c r="G3572" s="81"/>
      <c r="H3572" s="80"/>
      <c r="I3572" s="137"/>
      <c r="J3572" s="80"/>
      <c r="K3572" s="80"/>
    </row>
    <row r="3573" spans="1:11" ht="51" customHeight="1" x14ac:dyDescent="0.25">
      <c r="A3573" s="82" t="s">
        <v>5153</v>
      </c>
      <c r="B3573" s="83" t="s">
        <v>5154</v>
      </c>
      <c r="C3573" s="83" t="s">
        <v>5155</v>
      </c>
      <c r="D3573" s="83"/>
      <c r="E3573" s="83"/>
      <c r="F3573" s="82" t="s">
        <v>78</v>
      </c>
      <c r="G3573" s="82">
        <v>1</v>
      </c>
      <c r="H3573" s="82"/>
      <c r="I3573" s="138">
        <f t="shared" ref="I3573:I3581" si="160">H3573*G3573</f>
        <v>0</v>
      </c>
      <c r="J3573" s="82" t="s">
        <v>4342</v>
      </c>
      <c r="K3573" s="83"/>
    </row>
    <row r="3574" spans="1:11" ht="51" customHeight="1" x14ac:dyDescent="0.25">
      <c r="A3574" s="82" t="s">
        <v>5156</v>
      </c>
      <c r="B3574" s="83" t="s">
        <v>5157</v>
      </c>
      <c r="C3574" s="83" t="s">
        <v>5158</v>
      </c>
      <c r="D3574" s="83"/>
      <c r="E3574" s="83"/>
      <c r="F3574" s="82" t="s">
        <v>78</v>
      </c>
      <c r="G3574" s="82">
        <v>2</v>
      </c>
      <c r="H3574" s="82"/>
      <c r="I3574" s="138">
        <f t="shared" si="160"/>
        <v>0</v>
      </c>
      <c r="J3574" s="82" t="s">
        <v>5159</v>
      </c>
      <c r="K3574" s="83"/>
    </row>
    <row r="3575" spans="1:11" ht="75" customHeight="1" x14ac:dyDescent="0.25">
      <c r="A3575" s="82" t="s">
        <v>4445</v>
      </c>
      <c r="B3575" s="83" t="s">
        <v>5160</v>
      </c>
      <c r="C3575" s="83"/>
      <c r="D3575" s="83" t="s">
        <v>5161</v>
      </c>
      <c r="E3575" s="83"/>
      <c r="F3575" s="82" t="s">
        <v>78</v>
      </c>
      <c r="G3575" s="82">
        <v>1</v>
      </c>
      <c r="H3575" s="82"/>
      <c r="I3575" s="138">
        <f t="shared" si="160"/>
        <v>0</v>
      </c>
      <c r="J3575" s="82" t="s">
        <v>4523</v>
      </c>
      <c r="K3575" s="83"/>
    </row>
    <row r="3576" spans="1:11" ht="63" customHeight="1" x14ac:dyDescent="0.25">
      <c r="A3576" s="82" t="s">
        <v>5162</v>
      </c>
      <c r="B3576" s="83" t="s">
        <v>5163</v>
      </c>
      <c r="C3576" s="83"/>
      <c r="D3576" s="83" t="s">
        <v>5164</v>
      </c>
      <c r="E3576" s="83"/>
      <c r="F3576" s="82" t="s">
        <v>78</v>
      </c>
      <c r="G3576" s="82">
        <v>1</v>
      </c>
      <c r="H3576" s="82"/>
      <c r="I3576" s="138">
        <f t="shared" si="160"/>
        <v>0</v>
      </c>
      <c r="J3576" s="82" t="s">
        <v>5165</v>
      </c>
      <c r="K3576" s="83"/>
    </row>
    <row r="3577" spans="1:11" ht="51" customHeight="1" x14ac:dyDescent="0.25">
      <c r="A3577" s="82" t="s">
        <v>5166</v>
      </c>
      <c r="B3577" s="83" t="s">
        <v>5167</v>
      </c>
      <c r="C3577" s="83"/>
      <c r="D3577" s="83" t="s">
        <v>5168</v>
      </c>
      <c r="E3577" s="83"/>
      <c r="F3577" s="82" t="s">
        <v>78</v>
      </c>
      <c r="G3577" s="82">
        <v>1</v>
      </c>
      <c r="H3577" s="82"/>
      <c r="I3577" s="138">
        <f t="shared" si="160"/>
        <v>0</v>
      </c>
      <c r="J3577" s="82" t="s">
        <v>5169</v>
      </c>
      <c r="K3577" s="83"/>
    </row>
    <row r="3578" spans="1:11" ht="63" customHeight="1" x14ac:dyDescent="0.25">
      <c r="A3578" s="82" t="s">
        <v>4436</v>
      </c>
      <c r="B3578" s="83" t="s">
        <v>5170</v>
      </c>
      <c r="C3578" s="83"/>
      <c r="D3578" s="83" t="s">
        <v>5171</v>
      </c>
      <c r="E3578" s="83"/>
      <c r="F3578" s="82" t="s">
        <v>78</v>
      </c>
      <c r="G3578" s="82">
        <v>1</v>
      </c>
      <c r="H3578" s="82"/>
      <c r="I3578" s="138">
        <f t="shared" si="160"/>
        <v>0</v>
      </c>
      <c r="J3578" s="82"/>
      <c r="K3578" s="83"/>
    </row>
    <row r="3579" spans="1:11" ht="27" customHeight="1" x14ac:dyDescent="0.25">
      <c r="A3579" s="82" t="s">
        <v>432</v>
      </c>
      <c r="B3579" s="83" t="s">
        <v>4231</v>
      </c>
      <c r="C3579" s="83"/>
      <c r="D3579" s="83"/>
      <c r="E3579" s="83"/>
      <c r="F3579" s="82" t="s">
        <v>78</v>
      </c>
      <c r="G3579" s="82">
        <v>1</v>
      </c>
      <c r="H3579" s="82">
        <v>12000</v>
      </c>
      <c r="I3579" s="138">
        <f t="shared" si="160"/>
        <v>12000</v>
      </c>
      <c r="J3579" s="82"/>
      <c r="K3579" s="83"/>
    </row>
    <row r="3580" spans="1:11" ht="63" customHeight="1" x14ac:dyDescent="0.25">
      <c r="A3580" s="82" t="s">
        <v>5172</v>
      </c>
      <c r="B3580" s="83" t="s">
        <v>5173</v>
      </c>
      <c r="C3580" s="83"/>
      <c r="D3580" s="83"/>
      <c r="E3580" s="83"/>
      <c r="F3580" s="82" t="s">
        <v>78</v>
      </c>
      <c r="G3580" s="82">
        <v>2</v>
      </c>
      <c r="H3580" s="82"/>
      <c r="I3580" s="138">
        <f t="shared" si="160"/>
        <v>0</v>
      </c>
      <c r="J3580" s="82" t="s">
        <v>5174</v>
      </c>
      <c r="K3580" s="83"/>
    </row>
    <row r="3581" spans="1:11" ht="123" customHeight="1" x14ac:dyDescent="0.25">
      <c r="A3581" s="82" t="s">
        <v>4236</v>
      </c>
      <c r="B3581" s="83" t="s">
        <v>5175</v>
      </c>
      <c r="C3581" s="83"/>
      <c r="D3581" s="83"/>
      <c r="E3581" s="83"/>
      <c r="F3581" s="82" t="s">
        <v>78</v>
      </c>
      <c r="G3581" s="82">
        <v>1</v>
      </c>
      <c r="H3581" s="82"/>
      <c r="I3581" s="138">
        <f t="shared" si="160"/>
        <v>0</v>
      </c>
      <c r="J3581" s="82"/>
      <c r="K3581" s="83"/>
    </row>
    <row r="3582" spans="1:11" ht="15" customHeight="1" x14ac:dyDescent="0.25">
      <c r="A3582" s="80" t="s">
        <v>5176</v>
      </c>
      <c r="B3582" s="80" t="s">
        <v>5177</v>
      </c>
      <c r="C3582" s="80"/>
      <c r="D3582" s="80"/>
      <c r="E3582" s="80"/>
      <c r="F3582" s="80"/>
      <c r="G3582" s="81"/>
      <c r="H3582" s="80"/>
      <c r="I3582" s="137"/>
      <c r="J3582" s="80"/>
      <c r="K3582" s="80"/>
    </row>
    <row r="3583" spans="1:11" ht="15" customHeight="1" x14ac:dyDescent="0.25">
      <c r="A3583" s="82" t="s">
        <v>4723</v>
      </c>
      <c r="B3583" s="83" t="s">
        <v>5143</v>
      </c>
      <c r="C3583" s="83"/>
      <c r="D3583" s="83" t="s">
        <v>5144</v>
      </c>
      <c r="E3583" s="83"/>
      <c r="F3583" s="82" t="s">
        <v>78</v>
      </c>
      <c r="G3583" s="82">
        <v>1</v>
      </c>
      <c r="H3583" s="82"/>
      <c r="I3583" s="138">
        <f t="shared" ref="I3583:I3598" si="161">H3583*G3583</f>
        <v>0</v>
      </c>
      <c r="J3583" s="82"/>
      <c r="K3583" s="83"/>
    </row>
    <row r="3584" spans="1:11" ht="63" customHeight="1" x14ac:dyDescent="0.25">
      <c r="A3584" s="82" t="s">
        <v>4436</v>
      </c>
      <c r="B3584" s="83" t="s">
        <v>5170</v>
      </c>
      <c r="C3584" s="83"/>
      <c r="D3584" s="83" t="s">
        <v>5171</v>
      </c>
      <c r="E3584" s="83"/>
      <c r="F3584" s="82" t="s">
        <v>78</v>
      </c>
      <c r="G3584" s="82">
        <v>1</v>
      </c>
      <c r="H3584" s="82"/>
      <c r="I3584" s="138">
        <f t="shared" si="161"/>
        <v>0</v>
      </c>
      <c r="J3584" s="82"/>
      <c r="K3584" s="83"/>
    </row>
    <row r="3585" spans="1:11" ht="27" customHeight="1" x14ac:dyDescent="0.25">
      <c r="A3585" s="82" t="s">
        <v>4296</v>
      </c>
      <c r="B3585" s="83" t="s">
        <v>5104</v>
      </c>
      <c r="C3585" s="83"/>
      <c r="D3585" s="83" t="s">
        <v>5105</v>
      </c>
      <c r="E3585" s="83"/>
      <c r="F3585" s="82" t="s">
        <v>78</v>
      </c>
      <c r="G3585" s="82">
        <v>3</v>
      </c>
      <c r="H3585" s="82"/>
      <c r="I3585" s="138">
        <f t="shared" si="161"/>
        <v>0</v>
      </c>
      <c r="J3585" s="82"/>
      <c r="K3585" s="83"/>
    </row>
    <row r="3586" spans="1:11" ht="51" customHeight="1" x14ac:dyDescent="0.25">
      <c r="A3586" s="82" t="s">
        <v>5178</v>
      </c>
      <c r="B3586" s="83" t="s">
        <v>5179</v>
      </c>
      <c r="C3586" s="83"/>
      <c r="D3586" s="83" t="s">
        <v>5180</v>
      </c>
      <c r="E3586" s="83"/>
      <c r="F3586" s="82" t="s">
        <v>78</v>
      </c>
      <c r="G3586" s="82">
        <v>1</v>
      </c>
      <c r="H3586" s="82"/>
      <c r="I3586" s="138">
        <f t="shared" si="161"/>
        <v>0</v>
      </c>
      <c r="J3586" s="82" t="s">
        <v>5119</v>
      </c>
      <c r="K3586" s="83"/>
    </row>
    <row r="3587" spans="1:11" ht="63" customHeight="1" x14ac:dyDescent="0.25">
      <c r="A3587" s="82" t="s">
        <v>5181</v>
      </c>
      <c r="B3587" s="83" t="s">
        <v>5182</v>
      </c>
      <c r="C3587" s="83"/>
      <c r="D3587" s="83" t="s">
        <v>5183</v>
      </c>
      <c r="E3587" s="83"/>
      <c r="F3587" s="82" t="s">
        <v>78</v>
      </c>
      <c r="G3587" s="82">
        <v>1</v>
      </c>
      <c r="H3587" s="82"/>
      <c r="I3587" s="138">
        <f t="shared" si="161"/>
        <v>0</v>
      </c>
      <c r="J3587" s="82" t="s">
        <v>4519</v>
      </c>
      <c r="K3587" s="83"/>
    </row>
    <row r="3588" spans="1:11" ht="15" customHeight="1" x14ac:dyDescent="0.25">
      <c r="A3588" s="82" t="s">
        <v>5184</v>
      </c>
      <c r="B3588" s="83" t="s">
        <v>5185</v>
      </c>
      <c r="C3588" s="83"/>
      <c r="D3588" s="83" t="s">
        <v>5186</v>
      </c>
      <c r="E3588" s="83"/>
      <c r="F3588" s="82" t="s">
        <v>78</v>
      </c>
      <c r="G3588" s="82">
        <v>2</v>
      </c>
      <c r="H3588" s="82"/>
      <c r="I3588" s="138">
        <f t="shared" si="161"/>
        <v>0</v>
      </c>
      <c r="J3588" s="82"/>
      <c r="K3588" s="83"/>
    </row>
    <row r="3589" spans="1:11" ht="63" customHeight="1" x14ac:dyDescent="0.25">
      <c r="A3589" s="82" t="s">
        <v>5187</v>
      </c>
      <c r="B3589" s="83" t="s">
        <v>5188</v>
      </c>
      <c r="C3589" s="83"/>
      <c r="D3589" s="83" t="s">
        <v>5189</v>
      </c>
      <c r="E3589" s="83"/>
      <c r="F3589" s="82" t="s">
        <v>78</v>
      </c>
      <c r="G3589" s="82">
        <v>1</v>
      </c>
      <c r="H3589" s="82"/>
      <c r="I3589" s="138">
        <f t="shared" si="161"/>
        <v>0</v>
      </c>
      <c r="J3589" s="82" t="s">
        <v>5190</v>
      </c>
      <c r="K3589" s="83"/>
    </row>
    <row r="3590" spans="1:11" ht="87" customHeight="1" x14ac:dyDescent="0.25">
      <c r="A3590" s="82" t="s">
        <v>5191</v>
      </c>
      <c r="B3590" s="83" t="s">
        <v>5192</v>
      </c>
      <c r="C3590" s="83"/>
      <c r="D3590" s="83" t="s">
        <v>5193</v>
      </c>
      <c r="E3590" s="83"/>
      <c r="F3590" s="82" t="s">
        <v>78</v>
      </c>
      <c r="G3590" s="82">
        <v>1</v>
      </c>
      <c r="H3590" s="82"/>
      <c r="I3590" s="138">
        <f t="shared" si="161"/>
        <v>0</v>
      </c>
      <c r="J3590" s="82" t="s">
        <v>5190</v>
      </c>
      <c r="K3590" s="83"/>
    </row>
    <row r="3591" spans="1:11" ht="27" customHeight="1" x14ac:dyDescent="0.25">
      <c r="A3591" s="82" t="s">
        <v>5126</v>
      </c>
      <c r="B3591" s="83" t="s">
        <v>5127</v>
      </c>
      <c r="C3591" s="83"/>
      <c r="D3591" s="83"/>
      <c r="E3591" s="83"/>
      <c r="F3591" s="82" t="s">
        <v>78</v>
      </c>
      <c r="G3591" s="82">
        <v>1</v>
      </c>
      <c r="H3591" s="82"/>
      <c r="I3591" s="138">
        <f t="shared" si="161"/>
        <v>0</v>
      </c>
      <c r="J3591" s="82"/>
      <c r="K3591" s="83"/>
    </row>
    <row r="3592" spans="1:11" ht="51" customHeight="1" x14ac:dyDescent="0.25">
      <c r="A3592" s="82" t="s">
        <v>5120</v>
      </c>
      <c r="B3592" s="83" t="s">
        <v>5194</v>
      </c>
      <c r="C3592" s="83"/>
      <c r="D3592" s="83" t="s">
        <v>5122</v>
      </c>
      <c r="E3592" s="83"/>
      <c r="F3592" s="82" t="s">
        <v>78</v>
      </c>
      <c r="G3592" s="82">
        <v>1</v>
      </c>
      <c r="H3592" s="82"/>
      <c r="I3592" s="138">
        <f t="shared" si="161"/>
        <v>0</v>
      </c>
      <c r="J3592" s="82"/>
      <c r="K3592" s="83"/>
    </row>
    <row r="3593" spans="1:11" ht="147" customHeight="1" x14ac:dyDescent="0.25">
      <c r="A3593" s="82" t="s">
        <v>5141</v>
      </c>
      <c r="B3593" s="83" t="s">
        <v>5195</v>
      </c>
      <c r="C3593" s="83"/>
      <c r="D3593" s="83"/>
      <c r="E3593" s="83"/>
      <c r="F3593" s="82" t="s">
        <v>78</v>
      </c>
      <c r="G3593" s="82">
        <v>1</v>
      </c>
      <c r="H3593" s="82"/>
      <c r="I3593" s="138">
        <f t="shared" si="161"/>
        <v>0</v>
      </c>
      <c r="J3593" s="82"/>
      <c r="K3593" s="83"/>
    </row>
    <row r="3594" spans="1:11" ht="75" customHeight="1" x14ac:dyDescent="0.25">
      <c r="A3594" s="82" t="s">
        <v>5196</v>
      </c>
      <c r="B3594" s="83" t="s">
        <v>5197</v>
      </c>
      <c r="C3594" s="83"/>
      <c r="D3594" s="83"/>
      <c r="E3594" s="83"/>
      <c r="F3594" s="82" t="s">
        <v>78</v>
      </c>
      <c r="G3594" s="82">
        <v>3</v>
      </c>
      <c r="H3594" s="82"/>
      <c r="I3594" s="138">
        <f t="shared" si="161"/>
        <v>0</v>
      </c>
      <c r="J3594" s="82" t="s">
        <v>5119</v>
      </c>
      <c r="K3594" s="83"/>
    </row>
    <row r="3595" spans="1:11" ht="27" customHeight="1" x14ac:dyDescent="0.25">
      <c r="A3595" s="82" t="s">
        <v>4236</v>
      </c>
      <c r="B3595" s="83" t="s">
        <v>5198</v>
      </c>
      <c r="C3595" s="83"/>
      <c r="D3595" s="83" t="s">
        <v>5199</v>
      </c>
      <c r="E3595" s="83"/>
      <c r="F3595" s="82" t="s">
        <v>78</v>
      </c>
      <c r="G3595" s="82">
        <v>1</v>
      </c>
      <c r="H3595" s="82"/>
      <c r="I3595" s="138">
        <f t="shared" si="161"/>
        <v>0</v>
      </c>
      <c r="J3595" s="82"/>
      <c r="K3595" s="83"/>
    </row>
    <row r="3596" spans="1:11" ht="15" customHeight="1" x14ac:dyDescent="0.25">
      <c r="A3596" s="82" t="s">
        <v>4236</v>
      </c>
      <c r="B3596" s="83" t="s">
        <v>4816</v>
      </c>
      <c r="C3596" s="83"/>
      <c r="D3596" s="83"/>
      <c r="E3596" s="83"/>
      <c r="F3596" s="82" t="s">
        <v>78</v>
      </c>
      <c r="G3596" s="82">
        <v>1</v>
      </c>
      <c r="H3596" s="82">
        <v>2415</v>
      </c>
      <c r="I3596" s="138">
        <f t="shared" si="161"/>
        <v>2415</v>
      </c>
      <c r="J3596" s="82"/>
      <c r="K3596" s="83"/>
    </row>
    <row r="3597" spans="1:11" ht="15" customHeight="1" x14ac:dyDescent="0.25">
      <c r="A3597" s="82" t="s">
        <v>4236</v>
      </c>
      <c r="B3597" s="83" t="s">
        <v>4389</v>
      </c>
      <c r="C3597" s="83"/>
      <c r="D3597" s="83"/>
      <c r="E3597" s="83"/>
      <c r="F3597" s="82" t="s">
        <v>78</v>
      </c>
      <c r="G3597" s="82">
        <v>1</v>
      </c>
      <c r="H3597" s="82">
        <v>4090</v>
      </c>
      <c r="I3597" s="138">
        <f t="shared" si="161"/>
        <v>4090</v>
      </c>
      <c r="J3597" s="82"/>
      <c r="K3597" s="83"/>
    </row>
    <row r="3598" spans="1:11" ht="15" customHeight="1" x14ac:dyDescent="0.25">
      <c r="A3598" s="82" t="s">
        <v>4236</v>
      </c>
      <c r="B3598" s="83" t="s">
        <v>4390</v>
      </c>
      <c r="C3598" s="83"/>
      <c r="D3598" s="83"/>
      <c r="E3598" s="83"/>
      <c r="F3598" s="82" t="s">
        <v>78</v>
      </c>
      <c r="G3598" s="82">
        <v>1</v>
      </c>
      <c r="H3598" s="82"/>
      <c r="I3598" s="138">
        <f t="shared" si="161"/>
        <v>0</v>
      </c>
      <c r="J3598" s="82"/>
      <c r="K3598" s="83"/>
    </row>
    <row r="3599" spans="1:11" ht="15" customHeight="1" x14ac:dyDescent="0.25">
      <c r="A3599" s="80" t="s">
        <v>5200</v>
      </c>
      <c r="B3599" s="80" t="s">
        <v>5201</v>
      </c>
      <c r="C3599" s="80"/>
      <c r="D3599" s="80"/>
      <c r="E3599" s="80"/>
      <c r="F3599" s="80"/>
      <c r="G3599" s="81"/>
      <c r="H3599" s="80"/>
      <c r="I3599" s="137"/>
      <c r="J3599" s="80"/>
      <c r="K3599" s="80"/>
    </row>
    <row r="3600" spans="1:11" ht="27" customHeight="1" x14ac:dyDescent="0.25">
      <c r="A3600" s="82" t="s">
        <v>4296</v>
      </c>
      <c r="B3600" s="83" t="s">
        <v>5104</v>
      </c>
      <c r="C3600" s="83"/>
      <c r="D3600" s="83" t="s">
        <v>5105</v>
      </c>
      <c r="E3600" s="83"/>
      <c r="F3600" s="82" t="s">
        <v>78</v>
      </c>
      <c r="G3600" s="82">
        <v>1</v>
      </c>
      <c r="H3600" s="82"/>
      <c r="I3600" s="138">
        <f t="shared" ref="I3600:I3608" si="162">H3600*G3600</f>
        <v>0</v>
      </c>
      <c r="J3600" s="82"/>
      <c r="K3600" s="83"/>
    </row>
    <row r="3601" spans="1:11" ht="27" customHeight="1" x14ac:dyDescent="0.25">
      <c r="A3601" s="82" t="s">
        <v>5101</v>
      </c>
      <c r="B3601" s="83" t="s">
        <v>5102</v>
      </c>
      <c r="C3601" s="83"/>
      <c r="D3601" s="83" t="s">
        <v>5103</v>
      </c>
      <c r="E3601" s="83"/>
      <c r="F3601" s="82" t="s">
        <v>78</v>
      </c>
      <c r="G3601" s="82">
        <v>1</v>
      </c>
      <c r="H3601" s="82"/>
      <c r="I3601" s="138">
        <f t="shared" si="162"/>
        <v>0</v>
      </c>
      <c r="J3601" s="82"/>
      <c r="K3601" s="83"/>
    </row>
    <row r="3602" spans="1:11" ht="15" customHeight="1" x14ac:dyDescent="0.25">
      <c r="A3602" s="82" t="s">
        <v>4723</v>
      </c>
      <c r="B3602" s="83" t="s">
        <v>5143</v>
      </c>
      <c r="C3602" s="83"/>
      <c r="D3602" s="83" t="s">
        <v>5144</v>
      </c>
      <c r="E3602" s="83"/>
      <c r="F3602" s="82" t="s">
        <v>78</v>
      </c>
      <c r="G3602" s="82">
        <v>1</v>
      </c>
      <c r="H3602" s="82"/>
      <c r="I3602" s="138">
        <f t="shared" si="162"/>
        <v>0</v>
      </c>
      <c r="J3602" s="82"/>
      <c r="K3602" s="83"/>
    </row>
    <row r="3603" spans="1:11" ht="27" customHeight="1" x14ac:dyDescent="0.25">
      <c r="A3603" s="82" t="s">
        <v>5126</v>
      </c>
      <c r="B3603" s="83" t="s">
        <v>5127</v>
      </c>
      <c r="C3603" s="83"/>
      <c r="D3603" s="83"/>
      <c r="E3603" s="83"/>
      <c r="F3603" s="82" t="s">
        <v>78</v>
      </c>
      <c r="G3603" s="82">
        <v>1</v>
      </c>
      <c r="H3603" s="82"/>
      <c r="I3603" s="138">
        <f t="shared" si="162"/>
        <v>0</v>
      </c>
      <c r="J3603" s="82"/>
      <c r="K3603" s="83"/>
    </row>
    <row r="3604" spans="1:11" ht="15" customHeight="1" x14ac:dyDescent="0.25">
      <c r="A3604" s="82" t="s">
        <v>4236</v>
      </c>
      <c r="B3604" s="83" t="s">
        <v>4816</v>
      </c>
      <c r="C3604" s="83"/>
      <c r="D3604" s="83"/>
      <c r="E3604" s="83"/>
      <c r="F3604" s="82" t="s">
        <v>78</v>
      </c>
      <c r="G3604" s="82">
        <v>1</v>
      </c>
      <c r="H3604" s="82">
        <v>2415</v>
      </c>
      <c r="I3604" s="138">
        <f t="shared" si="162"/>
        <v>2415</v>
      </c>
      <c r="J3604" s="82"/>
      <c r="K3604" s="83"/>
    </row>
    <row r="3605" spans="1:11" ht="15" customHeight="1" x14ac:dyDescent="0.25">
      <c r="A3605" s="82" t="s">
        <v>4236</v>
      </c>
      <c r="B3605" s="83" t="s">
        <v>4389</v>
      </c>
      <c r="C3605" s="83"/>
      <c r="D3605" s="83"/>
      <c r="E3605" s="83"/>
      <c r="F3605" s="82" t="s">
        <v>78</v>
      </c>
      <c r="G3605" s="82">
        <v>1</v>
      </c>
      <c r="H3605" s="82">
        <v>4090</v>
      </c>
      <c r="I3605" s="138">
        <f t="shared" si="162"/>
        <v>4090</v>
      </c>
      <c r="J3605" s="82"/>
      <c r="K3605" s="83"/>
    </row>
    <row r="3606" spans="1:11" ht="51" customHeight="1" x14ac:dyDescent="0.25">
      <c r="A3606" s="82" t="s">
        <v>4383</v>
      </c>
      <c r="B3606" s="83" t="s">
        <v>4384</v>
      </c>
      <c r="C3606" s="83"/>
      <c r="D3606" s="83"/>
      <c r="E3606" s="83"/>
      <c r="F3606" s="82" t="s">
        <v>78</v>
      </c>
      <c r="G3606" s="82">
        <v>1</v>
      </c>
      <c r="H3606" s="82">
        <v>16200</v>
      </c>
      <c r="I3606" s="138">
        <f t="shared" si="162"/>
        <v>16200</v>
      </c>
      <c r="J3606" s="82"/>
      <c r="K3606" s="83"/>
    </row>
    <row r="3607" spans="1:11" ht="39" customHeight="1" x14ac:dyDescent="0.25">
      <c r="A3607" s="82" t="s">
        <v>4812</v>
      </c>
      <c r="B3607" s="83" t="s">
        <v>4813</v>
      </c>
      <c r="C3607" s="83"/>
      <c r="D3607" s="83" t="s">
        <v>4814</v>
      </c>
      <c r="E3607" s="83"/>
      <c r="F3607" s="82" t="s">
        <v>78</v>
      </c>
      <c r="G3607" s="82">
        <v>1</v>
      </c>
      <c r="H3607" s="82">
        <v>22830</v>
      </c>
      <c r="I3607" s="138">
        <f t="shared" si="162"/>
        <v>22830</v>
      </c>
      <c r="J3607" s="82" t="s">
        <v>4486</v>
      </c>
      <c r="K3607" s="83"/>
    </row>
    <row r="3608" spans="1:11" ht="15" customHeight="1" x14ac:dyDescent="0.25">
      <c r="A3608" s="82" t="s">
        <v>4236</v>
      </c>
      <c r="B3608" s="83" t="s">
        <v>4390</v>
      </c>
      <c r="C3608" s="83"/>
      <c r="D3608" s="83"/>
      <c r="E3608" s="83"/>
      <c r="F3608" s="82" t="s">
        <v>78</v>
      </c>
      <c r="G3608" s="82">
        <v>1</v>
      </c>
      <c r="H3608" s="82"/>
      <c r="I3608" s="138">
        <f t="shared" si="162"/>
        <v>0</v>
      </c>
      <c r="J3608" s="82"/>
      <c r="K3608" s="83"/>
    </row>
    <row r="3609" spans="1:11" ht="15" customHeight="1" x14ac:dyDescent="0.25">
      <c r="A3609" s="80" t="s">
        <v>5202</v>
      </c>
      <c r="B3609" s="80" t="s">
        <v>5203</v>
      </c>
      <c r="C3609" s="80"/>
      <c r="D3609" s="80"/>
      <c r="E3609" s="80"/>
      <c r="F3609" s="80"/>
      <c r="G3609" s="81"/>
      <c r="H3609" s="80"/>
      <c r="I3609" s="137"/>
      <c r="J3609" s="80"/>
      <c r="K3609" s="80"/>
    </row>
    <row r="3610" spans="1:11" ht="15" customHeight="1" x14ac:dyDescent="0.25">
      <c r="A3610" s="82" t="s">
        <v>5184</v>
      </c>
      <c r="B3610" s="83" t="s">
        <v>5204</v>
      </c>
      <c r="C3610" s="83"/>
      <c r="D3610" s="83"/>
      <c r="E3610" s="83"/>
      <c r="F3610" s="82" t="s">
        <v>78</v>
      </c>
      <c r="G3610" s="82">
        <v>3</v>
      </c>
      <c r="H3610" s="82"/>
      <c r="I3610" s="138">
        <f>H3610*G3610</f>
        <v>0</v>
      </c>
      <c r="J3610" s="82"/>
      <c r="K3610" s="83"/>
    </row>
    <row r="3611" spans="1:11" ht="15" customHeight="1" x14ac:dyDescent="0.25">
      <c r="A3611" s="80" t="s">
        <v>5205</v>
      </c>
      <c r="B3611" s="80" t="s">
        <v>5206</v>
      </c>
      <c r="C3611" s="80"/>
      <c r="D3611" s="80"/>
      <c r="E3611" s="80"/>
      <c r="F3611" s="80"/>
      <c r="G3611" s="81"/>
      <c r="H3611" s="80"/>
      <c r="I3611" s="137"/>
      <c r="J3611" s="80"/>
      <c r="K3611" s="80"/>
    </row>
    <row r="3612" spans="1:11" ht="27" customHeight="1" x14ac:dyDescent="0.25">
      <c r="A3612" s="82" t="s">
        <v>4432</v>
      </c>
      <c r="B3612" s="83" t="s">
        <v>5207</v>
      </c>
      <c r="C3612" s="83" t="s">
        <v>5208</v>
      </c>
      <c r="D3612" s="83"/>
      <c r="E3612" s="83"/>
      <c r="F3612" s="82" t="s">
        <v>78</v>
      </c>
      <c r="G3612" s="82">
        <v>1</v>
      </c>
      <c r="H3612" s="82"/>
      <c r="I3612" s="138">
        <f t="shared" ref="I3612:I3623" si="163">H3612*G3612</f>
        <v>0</v>
      </c>
      <c r="J3612" s="82"/>
      <c r="K3612" s="83"/>
    </row>
    <row r="3613" spans="1:11" ht="15" customHeight="1" x14ac:dyDescent="0.25">
      <c r="A3613" s="82" t="s">
        <v>5184</v>
      </c>
      <c r="B3613" s="83" t="s">
        <v>5204</v>
      </c>
      <c r="C3613" s="83"/>
      <c r="D3613" s="83"/>
      <c r="E3613" s="83"/>
      <c r="F3613" s="82" t="s">
        <v>78</v>
      </c>
      <c r="G3613" s="82">
        <v>1</v>
      </c>
      <c r="H3613" s="82"/>
      <c r="I3613" s="138">
        <f t="shared" si="163"/>
        <v>0</v>
      </c>
      <c r="J3613" s="82"/>
      <c r="K3613" s="83"/>
    </row>
    <row r="3614" spans="1:11" ht="51" customHeight="1" x14ac:dyDescent="0.25">
      <c r="A3614" s="82" t="s">
        <v>5120</v>
      </c>
      <c r="B3614" s="83" t="s">
        <v>5194</v>
      </c>
      <c r="C3614" s="83" t="s">
        <v>5122</v>
      </c>
      <c r="D3614" s="83"/>
      <c r="E3614" s="83"/>
      <c r="F3614" s="82" t="s">
        <v>78</v>
      </c>
      <c r="G3614" s="82">
        <v>1</v>
      </c>
      <c r="H3614" s="82"/>
      <c r="I3614" s="138">
        <f t="shared" si="163"/>
        <v>0</v>
      </c>
      <c r="J3614" s="82"/>
      <c r="K3614" s="83"/>
    </row>
    <row r="3615" spans="1:11" ht="27" customHeight="1" x14ac:dyDescent="0.25">
      <c r="A3615" s="82" t="s">
        <v>5101</v>
      </c>
      <c r="B3615" s="83" t="s">
        <v>5102</v>
      </c>
      <c r="C3615" s="83" t="s">
        <v>5209</v>
      </c>
      <c r="D3615" s="83"/>
      <c r="E3615" s="83"/>
      <c r="F3615" s="82" t="s">
        <v>78</v>
      </c>
      <c r="G3615" s="82">
        <v>1</v>
      </c>
      <c r="H3615" s="82"/>
      <c r="I3615" s="138">
        <f t="shared" si="163"/>
        <v>0</v>
      </c>
      <c r="J3615" s="82"/>
      <c r="K3615" s="83"/>
    </row>
    <row r="3616" spans="1:11" ht="39" customHeight="1" x14ac:dyDescent="0.25">
      <c r="A3616" s="82" t="s">
        <v>5210</v>
      </c>
      <c r="B3616" s="83" t="s">
        <v>5211</v>
      </c>
      <c r="C3616" s="83" t="s">
        <v>5212</v>
      </c>
      <c r="D3616" s="83"/>
      <c r="E3616" s="83"/>
      <c r="F3616" s="82" t="s">
        <v>78</v>
      </c>
      <c r="G3616" s="82">
        <v>2</v>
      </c>
      <c r="H3616" s="82"/>
      <c r="I3616" s="138">
        <f t="shared" si="163"/>
        <v>0</v>
      </c>
      <c r="J3616" s="82" t="s">
        <v>5213</v>
      </c>
      <c r="K3616" s="83"/>
    </row>
    <row r="3617" spans="1:11" ht="75" customHeight="1" x14ac:dyDescent="0.25">
      <c r="A3617" s="82" t="s">
        <v>4236</v>
      </c>
      <c r="B3617" s="83" t="s">
        <v>4815</v>
      </c>
      <c r="C3617" s="83"/>
      <c r="D3617" s="83"/>
      <c r="E3617" s="83"/>
      <c r="F3617" s="82" t="s">
        <v>78</v>
      </c>
      <c r="G3617" s="82">
        <v>1</v>
      </c>
      <c r="H3617" s="82"/>
      <c r="I3617" s="138">
        <f t="shared" si="163"/>
        <v>0</v>
      </c>
      <c r="J3617" s="82"/>
      <c r="K3617" s="83"/>
    </row>
    <row r="3618" spans="1:11" ht="63" customHeight="1" x14ac:dyDescent="0.25">
      <c r="A3618" s="82" t="s">
        <v>4236</v>
      </c>
      <c r="B3618" s="83" t="s">
        <v>5109</v>
      </c>
      <c r="C3618" s="83" t="s">
        <v>5110</v>
      </c>
      <c r="D3618" s="83"/>
      <c r="E3618" s="83"/>
      <c r="F3618" s="82" t="s">
        <v>78</v>
      </c>
      <c r="G3618" s="82">
        <v>1</v>
      </c>
      <c r="H3618" s="82"/>
      <c r="I3618" s="138">
        <f t="shared" si="163"/>
        <v>0</v>
      </c>
      <c r="J3618" s="82"/>
      <c r="K3618" s="83"/>
    </row>
    <row r="3619" spans="1:11" ht="15" customHeight="1" x14ac:dyDescent="0.25">
      <c r="A3619" s="82" t="s">
        <v>4236</v>
      </c>
      <c r="B3619" s="83" t="s">
        <v>4816</v>
      </c>
      <c r="C3619" s="83"/>
      <c r="D3619" s="83"/>
      <c r="E3619" s="83"/>
      <c r="F3619" s="82" t="s">
        <v>78</v>
      </c>
      <c r="G3619" s="82">
        <v>1</v>
      </c>
      <c r="H3619" s="82">
        <v>2415</v>
      </c>
      <c r="I3619" s="138">
        <f t="shared" si="163"/>
        <v>2415</v>
      </c>
      <c r="J3619" s="82"/>
      <c r="K3619" s="83"/>
    </row>
    <row r="3620" spans="1:11" ht="15" customHeight="1" x14ac:dyDescent="0.25">
      <c r="A3620" s="82" t="s">
        <v>4236</v>
      </c>
      <c r="B3620" s="83" t="s">
        <v>4389</v>
      </c>
      <c r="C3620" s="83"/>
      <c r="D3620" s="83"/>
      <c r="E3620" s="83"/>
      <c r="F3620" s="82" t="s">
        <v>78</v>
      </c>
      <c r="G3620" s="82">
        <v>1</v>
      </c>
      <c r="H3620" s="82">
        <v>4090</v>
      </c>
      <c r="I3620" s="138">
        <f t="shared" si="163"/>
        <v>4090</v>
      </c>
      <c r="J3620" s="82"/>
      <c r="K3620" s="83"/>
    </row>
    <row r="3621" spans="1:11" ht="15" customHeight="1" x14ac:dyDescent="0.25">
      <c r="A3621" s="82" t="s">
        <v>4236</v>
      </c>
      <c r="B3621" s="83" t="s">
        <v>4390</v>
      </c>
      <c r="C3621" s="83"/>
      <c r="D3621" s="83"/>
      <c r="E3621" s="83"/>
      <c r="F3621" s="82" t="s">
        <v>78</v>
      </c>
      <c r="G3621" s="82">
        <v>1</v>
      </c>
      <c r="H3621" s="82"/>
      <c r="I3621" s="138">
        <f t="shared" si="163"/>
        <v>0</v>
      </c>
      <c r="J3621" s="82"/>
      <c r="K3621" s="83"/>
    </row>
    <row r="3622" spans="1:11" ht="51" customHeight="1" x14ac:dyDescent="0.25">
      <c r="A3622" s="82" t="s">
        <v>5214</v>
      </c>
      <c r="B3622" s="83" t="s">
        <v>5215</v>
      </c>
      <c r="C3622" s="83" t="s">
        <v>5216</v>
      </c>
      <c r="D3622" s="83" t="s">
        <v>5217</v>
      </c>
      <c r="E3622" s="83"/>
      <c r="F3622" s="82" t="s">
        <v>78</v>
      </c>
      <c r="G3622" s="82">
        <v>1</v>
      </c>
      <c r="H3622" s="82"/>
      <c r="I3622" s="138">
        <f t="shared" si="163"/>
        <v>0</v>
      </c>
      <c r="J3622" s="82" t="s">
        <v>5218</v>
      </c>
      <c r="K3622" s="83" t="s">
        <v>5219</v>
      </c>
    </row>
    <row r="3623" spans="1:11" ht="51" customHeight="1" x14ac:dyDescent="0.25">
      <c r="A3623" s="82" t="s">
        <v>5220</v>
      </c>
      <c r="B3623" s="83" t="s">
        <v>5221</v>
      </c>
      <c r="C3623" s="83" t="s">
        <v>5216</v>
      </c>
      <c r="D3623" s="83" t="s">
        <v>5108</v>
      </c>
      <c r="E3623" s="83"/>
      <c r="F3623" s="82" t="s">
        <v>78</v>
      </c>
      <c r="G3623" s="82">
        <v>1</v>
      </c>
      <c r="H3623" s="82"/>
      <c r="I3623" s="138">
        <f t="shared" si="163"/>
        <v>0</v>
      </c>
      <c r="J3623" s="82" t="s">
        <v>5218</v>
      </c>
      <c r="K3623" s="83" t="s">
        <v>5219</v>
      </c>
    </row>
    <row r="3624" spans="1:11" ht="15" customHeight="1" x14ac:dyDescent="0.25">
      <c r="A3624" s="80" t="s">
        <v>5222</v>
      </c>
      <c r="B3624" s="80" t="s">
        <v>5223</v>
      </c>
      <c r="C3624" s="80"/>
      <c r="D3624" s="80"/>
      <c r="E3624" s="80"/>
      <c r="F3624" s="80"/>
      <c r="G3624" s="81"/>
      <c r="H3624" s="80"/>
      <c r="I3624" s="137"/>
      <c r="J3624" s="80"/>
      <c r="K3624" s="80"/>
    </row>
    <row r="3625" spans="1:11" ht="27" customHeight="1" x14ac:dyDescent="0.25">
      <c r="A3625" s="82" t="s">
        <v>5224</v>
      </c>
      <c r="B3625" s="83" t="s">
        <v>5225</v>
      </c>
      <c r="C3625" s="83" t="s">
        <v>5226</v>
      </c>
      <c r="D3625" s="83"/>
      <c r="E3625" s="83"/>
      <c r="F3625" s="82" t="s">
        <v>78</v>
      </c>
      <c r="G3625" s="82">
        <v>1</v>
      </c>
      <c r="H3625" s="82"/>
      <c r="I3625" s="138">
        <f>H3625*G3625</f>
        <v>0</v>
      </c>
      <c r="J3625" s="82" t="s">
        <v>5227</v>
      </c>
      <c r="K3625" s="83"/>
    </row>
    <row r="3626" spans="1:11" ht="39" customHeight="1" x14ac:dyDescent="0.25">
      <c r="A3626" s="82" t="s">
        <v>4812</v>
      </c>
      <c r="B3626" s="83" t="s">
        <v>4813</v>
      </c>
      <c r="C3626" s="83"/>
      <c r="D3626" s="83" t="s">
        <v>4814</v>
      </c>
      <c r="E3626" s="83"/>
      <c r="F3626" s="82" t="s">
        <v>78</v>
      </c>
      <c r="G3626" s="82">
        <v>2</v>
      </c>
      <c r="H3626" s="82">
        <v>22830</v>
      </c>
      <c r="I3626" s="138">
        <f>H3626*G3626</f>
        <v>45660</v>
      </c>
      <c r="J3626" s="82" t="s">
        <v>4486</v>
      </c>
      <c r="K3626" s="83"/>
    </row>
    <row r="3627" spans="1:11" ht="27" customHeight="1" x14ac:dyDescent="0.25">
      <c r="A3627" s="82" t="s">
        <v>4247</v>
      </c>
      <c r="B3627" s="83" t="s">
        <v>5228</v>
      </c>
      <c r="C3627" s="83" t="s">
        <v>5229</v>
      </c>
      <c r="D3627" s="83"/>
      <c r="E3627" s="83"/>
      <c r="F3627" s="82" t="s">
        <v>78</v>
      </c>
      <c r="G3627" s="82">
        <v>1</v>
      </c>
      <c r="H3627" s="82"/>
      <c r="I3627" s="138">
        <f>H3627*G3627</f>
        <v>0</v>
      </c>
      <c r="J3627" s="82"/>
      <c r="K3627" s="83"/>
    </row>
    <row r="3628" spans="1:11" ht="27" customHeight="1" x14ac:dyDescent="0.25">
      <c r="A3628" s="82" t="s">
        <v>5145</v>
      </c>
      <c r="B3628" s="83" t="s">
        <v>5230</v>
      </c>
      <c r="C3628" s="83" t="s">
        <v>5147</v>
      </c>
      <c r="D3628" s="83"/>
      <c r="E3628" s="83"/>
      <c r="F3628" s="82" t="s">
        <v>78</v>
      </c>
      <c r="G3628" s="82">
        <v>2</v>
      </c>
      <c r="H3628" s="82"/>
      <c r="I3628" s="138">
        <f>H3628*G3628</f>
        <v>0</v>
      </c>
      <c r="J3628" s="82" t="s">
        <v>4460</v>
      </c>
      <c r="K3628" s="83"/>
    </row>
    <row r="3629" spans="1:11" ht="27" customHeight="1" x14ac:dyDescent="0.25">
      <c r="A3629" s="82" t="s">
        <v>4236</v>
      </c>
      <c r="B3629" s="83" t="s">
        <v>5231</v>
      </c>
      <c r="C3629" s="83"/>
      <c r="D3629" s="83"/>
      <c r="E3629" s="83"/>
      <c r="F3629" s="82" t="s">
        <v>78</v>
      </c>
      <c r="G3629" s="82">
        <v>1</v>
      </c>
      <c r="H3629" s="82"/>
      <c r="I3629" s="138">
        <f>H3629*G3629</f>
        <v>0</v>
      </c>
      <c r="J3629" s="82"/>
      <c r="K3629" s="83"/>
    </row>
    <row r="3630" spans="1:11" ht="15" customHeight="1" x14ac:dyDescent="0.25">
      <c r="A3630" s="80" t="s">
        <v>5232</v>
      </c>
      <c r="B3630" s="80" t="s">
        <v>5233</v>
      </c>
      <c r="C3630" s="80"/>
      <c r="D3630" s="80"/>
      <c r="E3630" s="80"/>
      <c r="F3630" s="80"/>
      <c r="G3630" s="81"/>
      <c r="H3630" s="80"/>
      <c r="I3630" s="137"/>
      <c r="J3630" s="80"/>
      <c r="K3630" s="80"/>
    </row>
    <row r="3631" spans="1:11" ht="27" customHeight="1" x14ac:dyDescent="0.25">
      <c r="A3631" s="82" t="s">
        <v>5234</v>
      </c>
      <c r="B3631" s="83" t="s">
        <v>5235</v>
      </c>
      <c r="C3631" s="83"/>
      <c r="D3631" s="83"/>
      <c r="E3631" s="83"/>
      <c r="F3631" s="82" t="s">
        <v>78</v>
      </c>
      <c r="G3631" s="82">
        <v>1</v>
      </c>
      <c r="H3631" s="82"/>
      <c r="I3631" s="138">
        <f>H3631*G3631</f>
        <v>0</v>
      </c>
      <c r="J3631" s="82"/>
      <c r="K3631" s="83"/>
    </row>
    <row r="3632" spans="1:11" ht="27" customHeight="1" x14ac:dyDescent="0.25">
      <c r="A3632" s="82" t="s">
        <v>5096</v>
      </c>
      <c r="B3632" s="83" t="s">
        <v>5236</v>
      </c>
      <c r="C3632" s="83"/>
      <c r="D3632" s="83"/>
      <c r="E3632" s="83"/>
      <c r="F3632" s="82" t="s">
        <v>78</v>
      </c>
      <c r="G3632" s="82">
        <v>1</v>
      </c>
      <c r="H3632" s="82">
        <v>3000</v>
      </c>
      <c r="I3632" s="138">
        <f>H3632*G3632</f>
        <v>3000</v>
      </c>
      <c r="J3632" s="82"/>
      <c r="K3632" s="83" t="s">
        <v>5098</v>
      </c>
    </row>
    <row r="3633" spans="1:11" ht="15" customHeight="1" x14ac:dyDescent="0.25">
      <c r="A3633" s="80" t="s">
        <v>5237</v>
      </c>
      <c r="B3633" s="80" t="s">
        <v>4824</v>
      </c>
      <c r="C3633" s="80"/>
      <c r="D3633" s="80"/>
      <c r="E3633" s="80"/>
      <c r="F3633" s="80"/>
      <c r="G3633" s="81"/>
      <c r="H3633" s="80"/>
      <c r="I3633" s="137"/>
      <c r="J3633" s="80"/>
      <c r="K3633" s="80"/>
    </row>
    <row r="3634" spans="1:11" ht="15" customHeight="1" x14ac:dyDescent="0.25">
      <c r="A3634" s="82" t="s">
        <v>4688</v>
      </c>
      <c r="B3634" s="83" t="s">
        <v>4492</v>
      </c>
      <c r="C3634" s="83"/>
      <c r="D3634" s="83"/>
      <c r="E3634" s="83"/>
      <c r="F3634" s="82" t="s">
        <v>78</v>
      </c>
      <c r="G3634" s="82">
        <v>1</v>
      </c>
      <c r="H3634" s="82">
        <v>4720</v>
      </c>
      <c r="I3634" s="138">
        <f>H3634*G3634</f>
        <v>4720</v>
      </c>
      <c r="J3634" s="82"/>
      <c r="K3634" s="83"/>
    </row>
    <row r="3635" spans="1:11" ht="15" customHeight="1" x14ac:dyDescent="0.25">
      <c r="A3635" s="82" t="s">
        <v>4688</v>
      </c>
      <c r="B3635" s="83" t="s">
        <v>4493</v>
      </c>
      <c r="C3635" s="83"/>
      <c r="D3635" s="83"/>
      <c r="E3635" s="83"/>
      <c r="F3635" s="82" t="s">
        <v>78</v>
      </c>
      <c r="G3635" s="82">
        <v>1</v>
      </c>
      <c r="H3635" s="82">
        <v>760</v>
      </c>
      <c r="I3635" s="138">
        <f>H3635*G3635</f>
        <v>760</v>
      </c>
      <c r="J3635" s="82"/>
      <c r="K3635" s="83"/>
    </row>
    <row r="3636" spans="1:11" ht="15" customHeight="1" x14ac:dyDescent="0.25">
      <c r="A3636" s="82" t="s">
        <v>4688</v>
      </c>
      <c r="B3636" s="83" t="s">
        <v>4334</v>
      </c>
      <c r="C3636" s="83"/>
      <c r="D3636" s="83"/>
      <c r="E3636" s="83"/>
      <c r="F3636" s="82" t="s">
        <v>78</v>
      </c>
      <c r="G3636" s="82">
        <v>2</v>
      </c>
      <c r="H3636" s="82">
        <v>4500</v>
      </c>
      <c r="I3636" s="138">
        <f>H3636*G3636</f>
        <v>9000</v>
      </c>
      <c r="J3636" s="82"/>
      <c r="K3636" s="83"/>
    </row>
    <row r="3637" spans="1:11" ht="15" customHeight="1" x14ac:dyDescent="0.25">
      <c r="A3637" s="82" t="s">
        <v>4688</v>
      </c>
      <c r="B3637" s="83" t="s">
        <v>4389</v>
      </c>
      <c r="C3637" s="83"/>
      <c r="D3637" s="83"/>
      <c r="E3637" s="83"/>
      <c r="F3637" s="82" t="s">
        <v>78</v>
      </c>
      <c r="G3637" s="82">
        <v>1</v>
      </c>
      <c r="H3637" s="82">
        <v>4090</v>
      </c>
      <c r="I3637" s="138">
        <f>H3637*G3637</f>
        <v>4090</v>
      </c>
      <c r="J3637" s="82"/>
      <c r="K3637" s="83"/>
    </row>
    <row r="3638" spans="1:11" ht="15" customHeight="1" x14ac:dyDescent="0.25">
      <c r="A3638" s="82" t="s">
        <v>4236</v>
      </c>
      <c r="B3638" s="83" t="s">
        <v>4390</v>
      </c>
      <c r="C3638" s="83"/>
      <c r="D3638" s="83"/>
      <c r="E3638" s="83"/>
      <c r="F3638" s="82" t="s">
        <v>78</v>
      </c>
      <c r="G3638" s="82">
        <v>1</v>
      </c>
      <c r="H3638" s="82"/>
      <c r="I3638" s="138">
        <f>H3638*G3638</f>
        <v>0</v>
      </c>
      <c r="J3638" s="82"/>
      <c r="K3638" s="83"/>
    </row>
    <row r="3639" spans="1:11" ht="39" customHeight="1" x14ac:dyDescent="0.25">
      <c r="A3639" s="80" t="s">
        <v>5238</v>
      </c>
      <c r="B3639" s="80" t="s">
        <v>5239</v>
      </c>
      <c r="C3639" s="80"/>
      <c r="D3639" s="80"/>
      <c r="E3639" s="80"/>
      <c r="F3639" s="80"/>
      <c r="G3639" s="81"/>
      <c r="H3639" s="80"/>
      <c r="I3639" s="137"/>
      <c r="J3639" s="80"/>
      <c r="K3639" s="80"/>
    </row>
    <row r="3640" spans="1:11" ht="15" customHeight="1" x14ac:dyDescent="0.25">
      <c r="A3640" s="82" t="s">
        <v>4688</v>
      </c>
      <c r="B3640" s="83" t="s">
        <v>4492</v>
      </c>
      <c r="C3640" s="83"/>
      <c r="D3640" s="83"/>
      <c r="E3640" s="83"/>
      <c r="F3640" s="82" t="s">
        <v>78</v>
      </c>
      <c r="G3640" s="82">
        <v>2</v>
      </c>
      <c r="H3640" s="82">
        <v>4720</v>
      </c>
      <c r="I3640" s="138">
        <f>H3640*G3640</f>
        <v>9440</v>
      </c>
      <c r="J3640" s="82"/>
      <c r="K3640" s="83"/>
    </row>
    <row r="3641" spans="1:11" ht="15" customHeight="1" x14ac:dyDescent="0.25">
      <c r="A3641" s="82" t="s">
        <v>4688</v>
      </c>
      <c r="B3641" s="83" t="s">
        <v>4493</v>
      </c>
      <c r="C3641" s="83"/>
      <c r="D3641" s="83"/>
      <c r="E3641" s="83"/>
      <c r="F3641" s="82" t="s">
        <v>78</v>
      </c>
      <c r="G3641" s="82">
        <v>2</v>
      </c>
      <c r="H3641" s="82">
        <v>760</v>
      </c>
      <c r="I3641" s="138">
        <f>H3641*G3641</f>
        <v>1520</v>
      </c>
      <c r="J3641" s="82"/>
      <c r="K3641" s="83"/>
    </row>
    <row r="3642" spans="1:11" ht="15" customHeight="1" x14ac:dyDescent="0.25">
      <c r="A3642" s="82" t="s">
        <v>4688</v>
      </c>
      <c r="B3642" s="83" t="s">
        <v>4334</v>
      </c>
      <c r="C3642" s="83"/>
      <c r="D3642" s="83"/>
      <c r="E3642" s="83"/>
      <c r="F3642" s="82" t="s">
        <v>78</v>
      </c>
      <c r="G3642" s="82">
        <v>4</v>
      </c>
      <c r="H3642" s="82">
        <v>4500</v>
      </c>
      <c r="I3642" s="138">
        <f>H3642*G3642</f>
        <v>18000</v>
      </c>
      <c r="J3642" s="82"/>
      <c r="K3642" s="83"/>
    </row>
    <row r="3643" spans="1:11" ht="15" customHeight="1" x14ac:dyDescent="0.25">
      <c r="A3643" s="82" t="s">
        <v>4688</v>
      </c>
      <c r="B3643" s="83" t="s">
        <v>4389</v>
      </c>
      <c r="C3643" s="83"/>
      <c r="D3643" s="83"/>
      <c r="E3643" s="83"/>
      <c r="F3643" s="82" t="s">
        <v>78</v>
      </c>
      <c r="G3643" s="82">
        <v>2</v>
      </c>
      <c r="H3643" s="82">
        <v>4090</v>
      </c>
      <c r="I3643" s="138">
        <f>H3643*G3643</f>
        <v>8180</v>
      </c>
      <c r="J3643" s="82"/>
      <c r="K3643" s="83"/>
    </row>
    <row r="3644" spans="1:11" ht="15" customHeight="1" x14ac:dyDescent="0.25">
      <c r="A3644" s="82" t="s">
        <v>4236</v>
      </c>
      <c r="B3644" s="83" t="s">
        <v>4514</v>
      </c>
      <c r="C3644" s="83"/>
      <c r="D3644" s="83"/>
      <c r="E3644" s="83"/>
      <c r="F3644" s="82" t="s">
        <v>78</v>
      </c>
      <c r="G3644" s="82">
        <v>2</v>
      </c>
      <c r="H3644" s="82">
        <v>4790</v>
      </c>
      <c r="I3644" s="138">
        <f>H3644*G3644</f>
        <v>9580</v>
      </c>
      <c r="J3644" s="82"/>
      <c r="K3644" s="83"/>
    </row>
    <row r="3645" spans="1:11" ht="15" customHeight="1" x14ac:dyDescent="0.25">
      <c r="A3645" s="80" t="s">
        <v>5240</v>
      </c>
      <c r="B3645" s="80" t="s">
        <v>5241</v>
      </c>
      <c r="C3645" s="80"/>
      <c r="D3645" s="80"/>
      <c r="E3645" s="80"/>
      <c r="F3645" s="80"/>
      <c r="G3645" s="81"/>
      <c r="H3645" s="80"/>
      <c r="I3645" s="137"/>
      <c r="J3645" s="80"/>
      <c r="K3645" s="80"/>
    </row>
    <row r="3646" spans="1:11" ht="15" customHeight="1" x14ac:dyDescent="0.25">
      <c r="A3646" s="82" t="s">
        <v>4688</v>
      </c>
      <c r="B3646" s="83" t="s">
        <v>4492</v>
      </c>
      <c r="C3646" s="83"/>
      <c r="D3646" s="83"/>
      <c r="E3646" s="83"/>
      <c r="F3646" s="82" t="s">
        <v>78</v>
      </c>
      <c r="G3646" s="82">
        <v>1</v>
      </c>
      <c r="H3646" s="82">
        <v>4720</v>
      </c>
      <c r="I3646" s="138">
        <f>H3646*G3646</f>
        <v>4720</v>
      </c>
      <c r="J3646" s="82"/>
      <c r="K3646" s="83"/>
    </row>
    <row r="3647" spans="1:11" ht="15" customHeight="1" x14ac:dyDescent="0.25">
      <c r="A3647" s="82" t="s">
        <v>4688</v>
      </c>
      <c r="B3647" s="83" t="s">
        <v>4493</v>
      </c>
      <c r="C3647" s="83"/>
      <c r="D3647" s="83"/>
      <c r="E3647" s="83"/>
      <c r="F3647" s="82" t="s">
        <v>78</v>
      </c>
      <c r="G3647" s="82">
        <v>1</v>
      </c>
      <c r="H3647" s="82">
        <v>760</v>
      </c>
      <c r="I3647" s="138">
        <f>H3647*G3647</f>
        <v>760</v>
      </c>
      <c r="J3647" s="82"/>
      <c r="K3647" s="83"/>
    </row>
    <row r="3648" spans="1:11" ht="15" customHeight="1" x14ac:dyDescent="0.25">
      <c r="A3648" s="82" t="s">
        <v>4688</v>
      </c>
      <c r="B3648" s="83" t="s">
        <v>4334</v>
      </c>
      <c r="C3648" s="83"/>
      <c r="D3648" s="83"/>
      <c r="E3648" s="83"/>
      <c r="F3648" s="82" t="s">
        <v>78</v>
      </c>
      <c r="G3648" s="82">
        <v>1</v>
      </c>
      <c r="H3648" s="82">
        <v>4500</v>
      </c>
      <c r="I3648" s="138">
        <f>H3648*G3648</f>
        <v>4500</v>
      </c>
      <c r="J3648" s="82"/>
      <c r="K3648" s="83"/>
    </row>
    <row r="3649" spans="1:11" ht="15" customHeight="1" x14ac:dyDescent="0.25">
      <c r="A3649" s="82" t="s">
        <v>4688</v>
      </c>
      <c r="B3649" s="83" t="s">
        <v>4389</v>
      </c>
      <c r="C3649" s="83"/>
      <c r="D3649" s="83"/>
      <c r="E3649" s="83"/>
      <c r="F3649" s="82" t="s">
        <v>78</v>
      </c>
      <c r="G3649" s="82">
        <v>1</v>
      </c>
      <c r="H3649" s="82">
        <v>4090</v>
      </c>
      <c r="I3649" s="138">
        <f>H3649*G3649</f>
        <v>4090</v>
      </c>
      <c r="J3649" s="82"/>
      <c r="K3649" s="83"/>
    </row>
    <row r="3650" spans="1:11" ht="15" customHeight="1" x14ac:dyDescent="0.25">
      <c r="A3650" s="82" t="s">
        <v>4236</v>
      </c>
      <c r="B3650" s="83" t="s">
        <v>4514</v>
      </c>
      <c r="C3650" s="83"/>
      <c r="D3650" s="83"/>
      <c r="E3650" s="83"/>
      <c r="F3650" s="82" t="s">
        <v>78</v>
      </c>
      <c r="G3650" s="82">
        <v>1</v>
      </c>
      <c r="H3650" s="82">
        <v>4790</v>
      </c>
      <c r="I3650" s="138">
        <f>H3650*G3650</f>
        <v>4790</v>
      </c>
      <c r="J3650" s="82"/>
      <c r="K3650" s="83"/>
    </row>
    <row r="3651" spans="1:11" ht="15" customHeight="1" x14ac:dyDescent="0.25">
      <c r="A3651" s="80" t="s">
        <v>5242</v>
      </c>
      <c r="B3651" s="80" t="s">
        <v>5243</v>
      </c>
      <c r="C3651" s="80"/>
      <c r="D3651" s="80"/>
      <c r="E3651" s="80"/>
      <c r="F3651" s="80"/>
      <c r="G3651" s="81"/>
      <c r="H3651" s="80"/>
      <c r="I3651" s="137"/>
      <c r="J3651" s="80"/>
      <c r="K3651" s="80"/>
    </row>
    <row r="3652" spans="1:11" ht="51" customHeight="1" x14ac:dyDescent="0.25">
      <c r="A3652" s="82" t="s">
        <v>4383</v>
      </c>
      <c r="B3652" s="83" t="s">
        <v>4384</v>
      </c>
      <c r="C3652" s="83"/>
      <c r="D3652" s="83"/>
      <c r="E3652" s="83"/>
      <c r="F3652" s="82" t="s">
        <v>78</v>
      </c>
      <c r="G3652" s="82">
        <v>2</v>
      </c>
      <c r="H3652" s="82">
        <v>16200</v>
      </c>
      <c r="I3652" s="138">
        <f>H3652*G3652</f>
        <v>32400</v>
      </c>
      <c r="J3652" s="82"/>
      <c r="K3652" s="83"/>
    </row>
    <row r="3653" spans="1:11" ht="15" customHeight="1" x14ac:dyDescent="0.25">
      <c r="A3653" s="82" t="s">
        <v>4236</v>
      </c>
      <c r="B3653" s="83" t="s">
        <v>4791</v>
      </c>
      <c r="C3653" s="83"/>
      <c r="D3653" s="83"/>
      <c r="E3653" s="83"/>
      <c r="F3653" s="82" t="s">
        <v>47</v>
      </c>
      <c r="G3653" s="82">
        <v>2</v>
      </c>
      <c r="H3653" s="82"/>
      <c r="I3653" s="138">
        <f>H3653*G3653</f>
        <v>0</v>
      </c>
      <c r="J3653" s="82"/>
      <c r="K3653" s="83"/>
    </row>
    <row r="3654" spans="1:11" ht="15" customHeight="1" x14ac:dyDescent="0.25">
      <c r="A3654" s="82" t="s">
        <v>5244</v>
      </c>
      <c r="B3654" s="83" t="s">
        <v>5245</v>
      </c>
      <c r="C3654" s="83"/>
      <c r="D3654" s="83"/>
      <c r="E3654" s="83"/>
      <c r="F3654" s="82" t="s">
        <v>78</v>
      </c>
      <c r="G3654" s="82">
        <v>3</v>
      </c>
      <c r="H3654" s="82"/>
      <c r="I3654" s="138">
        <f>H3654*G3654</f>
        <v>0</v>
      </c>
      <c r="J3654" s="82"/>
      <c r="K3654" s="83"/>
    </row>
    <row r="3655" spans="1:11" ht="15" customHeight="1" x14ac:dyDescent="0.25">
      <c r="A3655" s="82" t="s">
        <v>4688</v>
      </c>
      <c r="B3655" s="83" t="s">
        <v>4389</v>
      </c>
      <c r="C3655" s="83"/>
      <c r="D3655" s="83"/>
      <c r="E3655" s="83"/>
      <c r="F3655" s="82" t="s">
        <v>78</v>
      </c>
      <c r="G3655" s="82">
        <v>2</v>
      </c>
      <c r="H3655" s="82">
        <v>4090</v>
      </c>
      <c r="I3655" s="138">
        <f>H3655*G3655</f>
        <v>8180</v>
      </c>
      <c r="J3655" s="82"/>
      <c r="K3655" s="83"/>
    </row>
    <row r="3656" spans="1:11" ht="15" customHeight="1" x14ac:dyDescent="0.25">
      <c r="A3656" s="82" t="s">
        <v>4236</v>
      </c>
      <c r="B3656" s="83" t="s">
        <v>4390</v>
      </c>
      <c r="C3656" s="83"/>
      <c r="D3656" s="83"/>
      <c r="E3656" s="83"/>
      <c r="F3656" s="82" t="s">
        <v>78</v>
      </c>
      <c r="G3656" s="82">
        <v>2</v>
      </c>
      <c r="H3656" s="82"/>
      <c r="I3656" s="138">
        <f>H3656*G3656</f>
        <v>0</v>
      </c>
      <c r="J3656" s="82"/>
      <c r="K3656" s="83"/>
    </row>
    <row r="3657" spans="1:11" ht="15" customHeight="1" x14ac:dyDescent="0.25">
      <c r="A3657" s="80" t="s">
        <v>5246</v>
      </c>
      <c r="B3657" s="80" t="s">
        <v>5247</v>
      </c>
      <c r="C3657" s="80"/>
      <c r="D3657" s="80"/>
      <c r="E3657" s="80"/>
      <c r="F3657" s="80"/>
      <c r="G3657" s="81"/>
      <c r="H3657" s="80"/>
      <c r="I3657" s="137"/>
      <c r="J3657" s="80"/>
      <c r="K3657" s="80"/>
    </row>
    <row r="3658" spans="1:11" ht="15" customHeight="1" x14ac:dyDescent="0.25">
      <c r="A3658" s="80" t="s">
        <v>5248</v>
      </c>
      <c r="B3658" s="80" t="s">
        <v>5249</v>
      </c>
      <c r="C3658" s="80"/>
      <c r="D3658" s="80"/>
      <c r="E3658" s="80"/>
      <c r="F3658" s="80"/>
      <c r="G3658" s="81"/>
      <c r="H3658" s="80"/>
      <c r="I3658" s="137"/>
      <c r="J3658" s="80"/>
      <c r="K3658" s="80"/>
    </row>
    <row r="3659" spans="1:11" ht="15" customHeight="1" x14ac:dyDescent="0.25">
      <c r="A3659" s="80" t="s">
        <v>5250</v>
      </c>
      <c r="B3659" s="80" t="s">
        <v>5251</v>
      </c>
      <c r="C3659" s="80"/>
      <c r="D3659" s="80"/>
      <c r="E3659" s="80"/>
      <c r="F3659" s="80"/>
      <c r="G3659" s="81"/>
      <c r="H3659" s="80"/>
      <c r="I3659" s="137"/>
      <c r="J3659" s="80"/>
      <c r="K3659" s="80"/>
    </row>
    <row r="3660" spans="1:11" ht="15" customHeight="1" x14ac:dyDescent="0.25">
      <c r="A3660" s="82" t="s">
        <v>4276</v>
      </c>
      <c r="B3660" s="83" t="s">
        <v>4277</v>
      </c>
      <c r="C3660" s="83"/>
      <c r="D3660" s="83"/>
      <c r="E3660" s="83"/>
      <c r="F3660" s="82" t="s">
        <v>78</v>
      </c>
      <c r="G3660" s="82">
        <v>12</v>
      </c>
      <c r="H3660" s="82"/>
      <c r="I3660" s="138">
        <f>H3660*G3660</f>
        <v>0</v>
      </c>
      <c r="J3660" s="82"/>
      <c r="K3660" s="83"/>
    </row>
    <row r="3661" spans="1:11" ht="15" customHeight="1" x14ac:dyDescent="0.25">
      <c r="A3661" s="82" t="s">
        <v>5252</v>
      </c>
      <c r="B3661" s="83" t="s">
        <v>5253</v>
      </c>
      <c r="C3661" s="83" t="s">
        <v>5254</v>
      </c>
      <c r="D3661" s="83"/>
      <c r="E3661" s="83"/>
      <c r="F3661" s="82" t="s">
        <v>78</v>
      </c>
      <c r="G3661" s="82">
        <v>27</v>
      </c>
      <c r="H3661" s="82">
        <v>1500</v>
      </c>
      <c r="I3661" s="138">
        <f>H3661*G3661</f>
        <v>40500</v>
      </c>
      <c r="J3661" s="82"/>
      <c r="K3661" s="83" t="s">
        <v>5255</v>
      </c>
    </row>
    <row r="3662" spans="1:11" ht="15" customHeight="1" x14ac:dyDescent="0.25">
      <c r="A3662" s="82" t="s">
        <v>5256</v>
      </c>
      <c r="B3662" s="83" t="s">
        <v>5257</v>
      </c>
      <c r="C3662" s="83" t="s">
        <v>5254</v>
      </c>
      <c r="D3662" s="83"/>
      <c r="E3662" s="83"/>
      <c r="F3662" s="82" t="s">
        <v>78</v>
      </c>
      <c r="G3662" s="82">
        <v>26</v>
      </c>
      <c r="H3662" s="82">
        <v>1500</v>
      </c>
      <c r="I3662" s="138">
        <f>H3662*G3662</f>
        <v>39000</v>
      </c>
      <c r="J3662" s="82"/>
      <c r="K3662" s="83" t="s">
        <v>5258</v>
      </c>
    </row>
    <row r="3663" spans="1:11" ht="15" customHeight="1" x14ac:dyDescent="0.25">
      <c r="A3663" s="80" t="s">
        <v>5259</v>
      </c>
      <c r="B3663" s="80" t="s">
        <v>5260</v>
      </c>
      <c r="C3663" s="80"/>
      <c r="D3663" s="80"/>
      <c r="E3663" s="80"/>
      <c r="F3663" s="80"/>
      <c r="G3663" s="81"/>
      <c r="H3663" s="80"/>
      <c r="I3663" s="137"/>
      <c r="J3663" s="80"/>
      <c r="K3663" s="80"/>
    </row>
    <row r="3664" spans="1:11" ht="27" customHeight="1" x14ac:dyDescent="0.25">
      <c r="A3664" s="82" t="s">
        <v>4236</v>
      </c>
      <c r="B3664" s="83" t="s">
        <v>5261</v>
      </c>
      <c r="C3664" s="83" t="s">
        <v>5262</v>
      </c>
      <c r="D3664" s="83"/>
      <c r="E3664" s="83" t="s">
        <v>4228</v>
      </c>
      <c r="F3664" s="82" t="s">
        <v>78</v>
      </c>
      <c r="G3664" s="82">
        <v>1</v>
      </c>
      <c r="H3664" s="82"/>
      <c r="I3664" s="138">
        <f>H3664*G3664</f>
        <v>0</v>
      </c>
      <c r="J3664" s="82"/>
      <c r="K3664" s="83"/>
    </row>
    <row r="3665" spans="1:11" ht="15" customHeight="1" x14ac:dyDescent="0.25">
      <c r="A3665" s="82" t="s">
        <v>4236</v>
      </c>
      <c r="B3665" s="83" t="s">
        <v>5263</v>
      </c>
      <c r="C3665" s="83"/>
      <c r="D3665" s="83"/>
      <c r="E3665" s="83"/>
      <c r="F3665" s="82" t="s">
        <v>78</v>
      </c>
      <c r="G3665" s="82">
        <v>1</v>
      </c>
      <c r="H3665" s="82"/>
      <c r="I3665" s="138">
        <f>H3665*G3665</f>
        <v>0</v>
      </c>
      <c r="J3665" s="82"/>
      <c r="K3665" s="83"/>
    </row>
    <row r="3666" spans="1:11" ht="15" customHeight="1" x14ac:dyDescent="0.25">
      <c r="A3666" s="82" t="s">
        <v>5264</v>
      </c>
      <c r="B3666" s="83" t="s">
        <v>5265</v>
      </c>
      <c r="C3666" s="83"/>
      <c r="D3666" s="83"/>
      <c r="E3666" s="83" t="s">
        <v>4228</v>
      </c>
      <c r="F3666" s="82" t="s">
        <v>78</v>
      </c>
      <c r="G3666" s="82">
        <v>50</v>
      </c>
      <c r="H3666" s="82"/>
      <c r="I3666" s="138">
        <f>H3666*G3666</f>
        <v>0</v>
      </c>
      <c r="J3666" s="82"/>
      <c r="K3666" s="83"/>
    </row>
    <row r="3667" spans="1:11" ht="15" customHeight="1" x14ac:dyDescent="0.25">
      <c r="A3667" s="82" t="s">
        <v>4289</v>
      </c>
      <c r="B3667" s="83" t="s">
        <v>4290</v>
      </c>
      <c r="C3667" s="83"/>
      <c r="D3667" s="83"/>
      <c r="E3667" s="83" t="s">
        <v>4228</v>
      </c>
      <c r="F3667" s="82" t="s">
        <v>78</v>
      </c>
      <c r="G3667" s="82">
        <v>3</v>
      </c>
      <c r="H3667" s="82"/>
      <c r="I3667" s="138">
        <f>H3667*G3667</f>
        <v>0</v>
      </c>
      <c r="J3667" s="82"/>
      <c r="K3667" s="83"/>
    </row>
    <row r="3668" spans="1:11" ht="15" customHeight="1" x14ac:dyDescent="0.25">
      <c r="A3668" s="82" t="s">
        <v>5266</v>
      </c>
      <c r="B3668" s="83" t="s">
        <v>5267</v>
      </c>
      <c r="C3668" s="83"/>
      <c r="D3668" s="83"/>
      <c r="E3668" s="83" t="s">
        <v>4228</v>
      </c>
      <c r="F3668" s="82" t="s">
        <v>78</v>
      </c>
      <c r="G3668" s="82">
        <v>6</v>
      </c>
      <c r="H3668" s="82"/>
      <c r="I3668" s="138">
        <f>H3668*G3668</f>
        <v>0</v>
      </c>
      <c r="J3668" s="82"/>
      <c r="K3668" s="83"/>
    </row>
    <row r="3669" spans="1:11" ht="15" customHeight="1" x14ac:dyDescent="0.25">
      <c r="A3669" s="80" t="s">
        <v>5268</v>
      </c>
      <c r="B3669" s="80" t="s">
        <v>5269</v>
      </c>
      <c r="C3669" s="80"/>
      <c r="D3669" s="80"/>
      <c r="E3669" s="80"/>
      <c r="F3669" s="80"/>
      <c r="G3669" s="81"/>
      <c r="H3669" s="80"/>
      <c r="I3669" s="137"/>
      <c r="J3669" s="80"/>
      <c r="K3669" s="80"/>
    </row>
    <row r="3670" spans="1:11" ht="27" customHeight="1" x14ac:dyDescent="0.25">
      <c r="A3670" s="82" t="s">
        <v>4257</v>
      </c>
      <c r="B3670" s="83" t="s">
        <v>4258</v>
      </c>
      <c r="C3670" s="83"/>
      <c r="D3670" s="83"/>
      <c r="E3670" s="83" t="s">
        <v>4228</v>
      </c>
      <c r="F3670" s="82" t="s">
        <v>78</v>
      </c>
      <c r="G3670" s="82">
        <v>3</v>
      </c>
      <c r="H3670" s="82"/>
      <c r="I3670" s="138">
        <f>H3670*G3670</f>
        <v>0</v>
      </c>
      <c r="J3670" s="82"/>
      <c r="K3670" s="83"/>
    </row>
    <row r="3671" spans="1:11" ht="15" customHeight="1" x14ac:dyDescent="0.25">
      <c r="A3671" s="80" t="s">
        <v>5270</v>
      </c>
      <c r="B3671" s="80" t="s">
        <v>5271</v>
      </c>
      <c r="C3671" s="80"/>
      <c r="D3671" s="80"/>
      <c r="E3671" s="80"/>
      <c r="F3671" s="80"/>
      <c r="G3671" s="81"/>
      <c r="H3671" s="80"/>
      <c r="I3671" s="137"/>
      <c r="J3671" s="80"/>
      <c r="K3671" s="80"/>
    </row>
    <row r="3672" spans="1:11" ht="27" customHeight="1" x14ac:dyDescent="0.25">
      <c r="A3672" s="82" t="s">
        <v>4310</v>
      </c>
      <c r="B3672" s="83" t="s">
        <v>4311</v>
      </c>
      <c r="C3672" s="83" t="s">
        <v>4312</v>
      </c>
      <c r="D3672" s="83"/>
      <c r="E3672" s="83" t="s">
        <v>6885</v>
      </c>
      <c r="F3672" s="82" t="s">
        <v>78</v>
      </c>
      <c r="G3672" s="82">
        <v>1</v>
      </c>
      <c r="H3672" s="82"/>
      <c r="I3672" s="138">
        <f>H3672*G3672</f>
        <v>0</v>
      </c>
      <c r="J3672" s="82"/>
      <c r="K3672" s="83"/>
    </row>
    <row r="3673" spans="1:11" ht="27" customHeight="1" x14ac:dyDescent="0.25">
      <c r="A3673" s="82" t="s">
        <v>4242</v>
      </c>
      <c r="B3673" s="83" t="s">
        <v>4313</v>
      </c>
      <c r="C3673" s="83" t="s">
        <v>4282</v>
      </c>
      <c r="D3673" s="83"/>
      <c r="E3673" s="83" t="s">
        <v>6885</v>
      </c>
      <c r="F3673" s="82" t="s">
        <v>78</v>
      </c>
      <c r="G3673" s="82">
        <v>1</v>
      </c>
      <c r="H3673" s="82">
        <v>1950</v>
      </c>
      <c r="I3673" s="138">
        <f>H3673*G3673</f>
        <v>1950</v>
      </c>
      <c r="J3673" s="82"/>
      <c r="K3673" s="83" t="s">
        <v>4246</v>
      </c>
    </row>
    <row r="3674" spans="1:11" ht="39" customHeight="1" x14ac:dyDescent="0.25">
      <c r="A3674" s="82" t="s">
        <v>459</v>
      </c>
      <c r="B3674" s="83" t="s">
        <v>5272</v>
      </c>
      <c r="C3674" s="83" t="s">
        <v>5273</v>
      </c>
      <c r="D3674" s="83"/>
      <c r="E3674" s="83" t="s">
        <v>5274</v>
      </c>
      <c r="F3674" s="82" t="s">
        <v>78</v>
      </c>
      <c r="G3674" s="82">
        <v>1</v>
      </c>
      <c r="H3674" s="82"/>
      <c r="I3674" s="138">
        <f>H3674*G3674</f>
        <v>0</v>
      </c>
      <c r="J3674" s="82"/>
      <c r="K3674" s="83"/>
    </row>
    <row r="3675" spans="1:11" ht="27" customHeight="1" x14ac:dyDescent="0.25">
      <c r="A3675" s="82" t="s">
        <v>4257</v>
      </c>
      <c r="B3675" s="83" t="s">
        <v>4258</v>
      </c>
      <c r="C3675" s="83"/>
      <c r="D3675" s="83"/>
      <c r="E3675" s="83" t="s">
        <v>4228</v>
      </c>
      <c r="F3675" s="82" t="s">
        <v>78</v>
      </c>
      <c r="G3675" s="82">
        <v>1</v>
      </c>
      <c r="H3675" s="82"/>
      <c r="I3675" s="138">
        <f>H3675*G3675</f>
        <v>0</v>
      </c>
      <c r="J3675" s="82"/>
      <c r="K3675" s="83"/>
    </row>
    <row r="3676" spans="1:11" ht="28.5" customHeight="1" x14ac:dyDescent="0.25">
      <c r="A3676" s="80" t="s">
        <v>5275</v>
      </c>
      <c r="B3676" s="80" t="s">
        <v>5276</v>
      </c>
      <c r="C3676" s="80"/>
      <c r="D3676" s="80"/>
      <c r="E3676" s="80"/>
      <c r="F3676" s="80"/>
      <c r="G3676" s="81"/>
      <c r="H3676" s="80"/>
      <c r="I3676" s="137"/>
      <c r="J3676" s="80"/>
      <c r="K3676" s="80"/>
    </row>
    <row r="3677" spans="1:11" ht="39" customHeight="1" x14ac:dyDescent="0.25">
      <c r="A3677" s="82" t="s">
        <v>4819</v>
      </c>
      <c r="B3677" s="83" t="s">
        <v>5277</v>
      </c>
      <c r="C3677" s="83"/>
      <c r="D3677" s="83"/>
      <c r="E3677" s="83" t="s">
        <v>4228</v>
      </c>
      <c r="F3677" s="82" t="s">
        <v>78</v>
      </c>
      <c r="G3677" s="82">
        <v>5</v>
      </c>
      <c r="H3677" s="82"/>
      <c r="I3677" s="138">
        <f>H3677*G3677</f>
        <v>0</v>
      </c>
      <c r="J3677" s="82"/>
      <c r="K3677" s="83"/>
    </row>
    <row r="3678" spans="1:11" ht="15" customHeight="1" x14ac:dyDescent="0.25">
      <c r="A3678" s="82" t="s">
        <v>4484</v>
      </c>
      <c r="B3678" s="83" t="s">
        <v>4500</v>
      </c>
      <c r="C3678" s="83"/>
      <c r="D3678" s="83"/>
      <c r="E3678" s="83" t="s">
        <v>4228</v>
      </c>
      <c r="F3678" s="82" t="s">
        <v>78</v>
      </c>
      <c r="G3678" s="82">
        <v>2</v>
      </c>
      <c r="H3678" s="82"/>
      <c r="I3678" s="138">
        <f>H3678*G3678</f>
        <v>0</v>
      </c>
      <c r="J3678" s="82"/>
      <c r="K3678" s="83"/>
    </row>
    <row r="3679" spans="1:11" ht="39" customHeight="1" x14ac:dyDescent="0.25">
      <c r="A3679" s="82" t="s">
        <v>4486</v>
      </c>
      <c r="B3679" s="83" t="s">
        <v>4487</v>
      </c>
      <c r="C3679" s="83"/>
      <c r="D3679" s="83"/>
      <c r="E3679" s="83" t="s">
        <v>4228</v>
      </c>
      <c r="F3679" s="82" t="s">
        <v>78</v>
      </c>
      <c r="G3679" s="82">
        <v>1</v>
      </c>
      <c r="H3679" s="82">
        <v>9600</v>
      </c>
      <c r="I3679" s="138">
        <f>H3679*G3679</f>
        <v>9600</v>
      </c>
      <c r="J3679" s="82"/>
      <c r="K3679" s="83"/>
    </row>
    <row r="3680" spans="1:11" ht="15" customHeight="1" x14ac:dyDescent="0.25">
      <c r="A3680" s="82" t="s">
        <v>4236</v>
      </c>
      <c r="B3680" s="83" t="s">
        <v>4343</v>
      </c>
      <c r="C3680" s="83"/>
      <c r="D3680" s="83"/>
      <c r="E3680" s="83" t="s">
        <v>4228</v>
      </c>
      <c r="F3680" s="82" t="s">
        <v>78</v>
      </c>
      <c r="G3680" s="82">
        <v>2</v>
      </c>
      <c r="H3680" s="82">
        <v>1570</v>
      </c>
      <c r="I3680" s="138">
        <f>H3680*G3680</f>
        <v>3140</v>
      </c>
      <c r="J3680" s="82"/>
      <c r="K3680" s="83"/>
    </row>
    <row r="3681" spans="1:11" ht="15" customHeight="1" x14ac:dyDescent="0.25">
      <c r="A3681" s="82" t="s">
        <v>4236</v>
      </c>
      <c r="B3681" s="83" t="s">
        <v>4334</v>
      </c>
      <c r="C3681" s="83"/>
      <c r="D3681" s="83"/>
      <c r="E3681" s="83" t="s">
        <v>4228</v>
      </c>
      <c r="F3681" s="82" t="s">
        <v>78</v>
      </c>
      <c r="G3681" s="82">
        <v>2</v>
      </c>
      <c r="H3681" s="82">
        <v>4500</v>
      </c>
      <c r="I3681" s="138">
        <f>H3681*G3681</f>
        <v>9000</v>
      </c>
      <c r="J3681" s="82"/>
      <c r="K3681" s="83"/>
    </row>
    <row r="3682" spans="1:11" ht="15" customHeight="1" x14ac:dyDescent="0.25">
      <c r="A3682" s="80" t="s">
        <v>5278</v>
      </c>
      <c r="B3682" s="80" t="s">
        <v>5279</v>
      </c>
      <c r="C3682" s="80"/>
      <c r="D3682" s="80"/>
      <c r="E3682" s="80"/>
      <c r="F3682" s="80"/>
      <c r="G3682" s="81"/>
      <c r="H3682" s="80"/>
      <c r="I3682" s="137"/>
      <c r="J3682" s="80"/>
      <c r="K3682" s="80"/>
    </row>
    <row r="3683" spans="1:11" ht="27" customHeight="1" x14ac:dyDescent="0.25">
      <c r="A3683" s="82" t="s">
        <v>4236</v>
      </c>
      <c r="B3683" s="83" t="s">
        <v>4491</v>
      </c>
      <c r="C3683" s="83"/>
      <c r="D3683" s="83"/>
      <c r="E3683" s="83" t="s">
        <v>4228</v>
      </c>
      <c r="F3683" s="82" t="s">
        <v>78</v>
      </c>
      <c r="G3683" s="82">
        <v>1</v>
      </c>
      <c r="H3683" s="82">
        <v>16500</v>
      </c>
      <c r="I3683" s="138">
        <f>H3683*G3683</f>
        <v>16500</v>
      </c>
      <c r="J3683" s="82"/>
      <c r="K3683" s="83"/>
    </row>
    <row r="3684" spans="1:11" ht="15" customHeight="1" x14ac:dyDescent="0.25">
      <c r="A3684" s="82" t="s">
        <v>4236</v>
      </c>
      <c r="B3684" s="83" t="s">
        <v>4334</v>
      </c>
      <c r="C3684" s="83"/>
      <c r="D3684" s="83"/>
      <c r="E3684" s="83" t="s">
        <v>4228</v>
      </c>
      <c r="F3684" s="82" t="s">
        <v>78</v>
      </c>
      <c r="G3684" s="82">
        <v>1</v>
      </c>
      <c r="H3684" s="82">
        <v>4500</v>
      </c>
      <c r="I3684" s="138">
        <f>H3684*G3684</f>
        <v>4500</v>
      </c>
      <c r="J3684" s="82"/>
      <c r="K3684" s="83"/>
    </row>
    <row r="3685" spans="1:11" ht="15" customHeight="1" x14ac:dyDescent="0.25">
      <c r="A3685" s="82" t="s">
        <v>4236</v>
      </c>
      <c r="B3685" s="83" t="s">
        <v>4389</v>
      </c>
      <c r="C3685" s="83"/>
      <c r="D3685" s="83"/>
      <c r="E3685" s="83" t="s">
        <v>4228</v>
      </c>
      <c r="F3685" s="82" t="s">
        <v>78</v>
      </c>
      <c r="G3685" s="82">
        <v>1</v>
      </c>
      <c r="H3685" s="82">
        <v>4090</v>
      </c>
      <c r="I3685" s="138">
        <f>H3685*G3685</f>
        <v>4090</v>
      </c>
      <c r="J3685" s="82"/>
      <c r="K3685" s="83"/>
    </row>
    <row r="3686" spans="1:11" ht="15" customHeight="1" x14ac:dyDescent="0.25">
      <c r="A3686" s="82" t="s">
        <v>4236</v>
      </c>
      <c r="B3686" s="83" t="s">
        <v>4492</v>
      </c>
      <c r="C3686" s="83"/>
      <c r="D3686" s="83"/>
      <c r="E3686" s="83" t="s">
        <v>4228</v>
      </c>
      <c r="F3686" s="82" t="s">
        <v>78</v>
      </c>
      <c r="G3686" s="82">
        <v>1</v>
      </c>
      <c r="H3686" s="82">
        <v>4720</v>
      </c>
      <c r="I3686" s="138">
        <f>H3686*G3686</f>
        <v>4720</v>
      </c>
      <c r="J3686" s="82"/>
      <c r="K3686" s="83"/>
    </row>
    <row r="3687" spans="1:11" ht="15" customHeight="1" x14ac:dyDescent="0.25">
      <c r="A3687" s="82" t="s">
        <v>4236</v>
      </c>
      <c r="B3687" s="83" t="s">
        <v>4493</v>
      </c>
      <c r="C3687" s="83"/>
      <c r="D3687" s="83"/>
      <c r="E3687" s="83" t="s">
        <v>4228</v>
      </c>
      <c r="F3687" s="82" t="s">
        <v>78</v>
      </c>
      <c r="G3687" s="82">
        <v>1</v>
      </c>
      <c r="H3687" s="82">
        <v>760</v>
      </c>
      <c r="I3687" s="138">
        <f>H3687*G3687</f>
        <v>760</v>
      </c>
      <c r="J3687" s="82"/>
      <c r="K3687" s="83"/>
    </row>
    <row r="3688" spans="1:11" ht="27" customHeight="1" x14ac:dyDescent="0.25">
      <c r="A3688" s="80" t="s">
        <v>5280</v>
      </c>
      <c r="B3688" s="80" t="s">
        <v>5281</v>
      </c>
      <c r="C3688" s="80"/>
      <c r="D3688" s="80"/>
      <c r="E3688" s="80"/>
      <c r="F3688" s="80"/>
      <c r="G3688" s="81"/>
      <c r="H3688" s="80"/>
      <c r="I3688" s="137"/>
      <c r="J3688" s="80"/>
      <c r="K3688" s="80"/>
    </row>
    <row r="3689" spans="1:11" ht="15" customHeight="1" x14ac:dyDescent="0.25">
      <c r="A3689" s="82" t="s">
        <v>4236</v>
      </c>
      <c r="B3689" s="83" t="s">
        <v>4494</v>
      </c>
      <c r="C3689" s="83"/>
      <c r="D3689" s="83"/>
      <c r="E3689" s="83" t="s">
        <v>4228</v>
      </c>
      <c r="F3689" s="82" t="s">
        <v>78</v>
      </c>
      <c r="G3689" s="82">
        <v>1</v>
      </c>
      <c r="H3689" s="82">
        <v>3270</v>
      </c>
      <c r="I3689" s="138">
        <f>H3689*G3689</f>
        <v>3270</v>
      </c>
      <c r="J3689" s="82"/>
      <c r="K3689" s="83"/>
    </row>
    <row r="3690" spans="1:11" ht="27" customHeight="1" x14ac:dyDescent="0.25">
      <c r="A3690" s="82" t="s">
        <v>4236</v>
      </c>
      <c r="B3690" s="83" t="s">
        <v>4491</v>
      </c>
      <c r="C3690" s="83"/>
      <c r="D3690" s="83"/>
      <c r="E3690" s="83" t="s">
        <v>4228</v>
      </c>
      <c r="F3690" s="82" t="s">
        <v>78</v>
      </c>
      <c r="G3690" s="82">
        <v>1</v>
      </c>
      <c r="H3690" s="82">
        <v>16500</v>
      </c>
      <c r="I3690" s="138">
        <f>H3690*G3690</f>
        <v>16500</v>
      </c>
      <c r="J3690" s="82"/>
      <c r="K3690" s="83"/>
    </row>
    <row r="3691" spans="1:11" ht="15" customHeight="1" x14ac:dyDescent="0.25">
      <c r="A3691" s="80" t="s">
        <v>5282</v>
      </c>
      <c r="B3691" s="80" t="s">
        <v>5283</v>
      </c>
      <c r="C3691" s="80"/>
      <c r="D3691" s="80"/>
      <c r="E3691" s="80"/>
      <c r="F3691" s="80"/>
      <c r="G3691" s="81"/>
      <c r="H3691" s="80"/>
      <c r="I3691" s="137"/>
      <c r="J3691" s="80"/>
      <c r="K3691" s="80"/>
    </row>
    <row r="3692" spans="1:11" ht="39" customHeight="1" x14ac:dyDescent="0.25">
      <c r="A3692" s="82" t="s">
        <v>4236</v>
      </c>
      <c r="B3692" s="83" t="s">
        <v>4497</v>
      </c>
      <c r="C3692" s="83"/>
      <c r="D3692" s="83"/>
      <c r="E3692" s="83" t="s">
        <v>4228</v>
      </c>
      <c r="F3692" s="82" t="s">
        <v>47</v>
      </c>
      <c r="G3692" s="82">
        <v>1</v>
      </c>
      <c r="H3692" s="82"/>
      <c r="I3692" s="138">
        <f>H3692*G3692</f>
        <v>0</v>
      </c>
      <c r="J3692" s="82"/>
      <c r="K3692" s="83"/>
    </row>
    <row r="3693" spans="1:11" ht="15" customHeight="1" x14ac:dyDescent="0.25">
      <c r="A3693" s="80" t="s">
        <v>5284</v>
      </c>
      <c r="B3693" s="80" t="s">
        <v>5285</v>
      </c>
      <c r="C3693" s="80"/>
      <c r="D3693" s="80"/>
      <c r="E3693" s="80"/>
      <c r="F3693" s="80"/>
      <c r="G3693" s="81"/>
      <c r="H3693" s="80"/>
      <c r="I3693" s="137"/>
      <c r="J3693" s="80"/>
      <c r="K3693" s="80"/>
    </row>
    <row r="3694" spans="1:11" ht="39" customHeight="1" x14ac:dyDescent="0.25">
      <c r="A3694" s="82" t="s">
        <v>4897</v>
      </c>
      <c r="B3694" s="83" t="s">
        <v>4898</v>
      </c>
      <c r="C3694" s="83" t="s">
        <v>4899</v>
      </c>
      <c r="D3694" s="83"/>
      <c r="E3694" s="83" t="s">
        <v>4228</v>
      </c>
      <c r="F3694" s="82" t="s">
        <v>78</v>
      </c>
      <c r="G3694" s="82">
        <v>4</v>
      </c>
      <c r="H3694" s="82"/>
      <c r="I3694" s="138">
        <f>H3694*G3694</f>
        <v>0</v>
      </c>
      <c r="J3694" s="82"/>
      <c r="K3694" s="83"/>
    </row>
    <row r="3695" spans="1:11" ht="34.5" customHeight="1" x14ac:dyDescent="0.25">
      <c r="A3695" s="80" t="s">
        <v>5286</v>
      </c>
      <c r="B3695" s="80" t="s">
        <v>5287</v>
      </c>
      <c r="C3695" s="80"/>
      <c r="D3695" s="80"/>
      <c r="E3695" s="80"/>
      <c r="F3695" s="80"/>
      <c r="G3695" s="81"/>
      <c r="H3695" s="80"/>
      <c r="I3695" s="137"/>
      <c r="J3695" s="80"/>
      <c r="K3695" s="80"/>
    </row>
    <row r="3696" spans="1:11" ht="39" customHeight="1" x14ac:dyDescent="0.25">
      <c r="A3696" s="82" t="s">
        <v>4819</v>
      </c>
      <c r="B3696" s="83" t="s">
        <v>5277</v>
      </c>
      <c r="C3696" s="83"/>
      <c r="D3696" s="83"/>
      <c r="E3696" s="83" t="s">
        <v>4228</v>
      </c>
      <c r="F3696" s="82" t="s">
        <v>78</v>
      </c>
      <c r="G3696" s="82">
        <v>5</v>
      </c>
      <c r="H3696" s="82"/>
      <c r="I3696" s="138">
        <f>H3696*G3696</f>
        <v>0</v>
      </c>
      <c r="J3696" s="82"/>
      <c r="K3696" s="83"/>
    </row>
    <row r="3697" spans="1:11" ht="15" customHeight="1" x14ac:dyDescent="0.25">
      <c r="A3697" s="82" t="s">
        <v>4484</v>
      </c>
      <c r="B3697" s="83" t="s">
        <v>4500</v>
      </c>
      <c r="C3697" s="83"/>
      <c r="D3697" s="83"/>
      <c r="E3697" s="83" t="s">
        <v>4228</v>
      </c>
      <c r="F3697" s="82" t="s">
        <v>78</v>
      </c>
      <c r="G3697" s="82">
        <v>2</v>
      </c>
      <c r="H3697" s="82"/>
      <c r="I3697" s="138">
        <f>H3697*G3697</f>
        <v>0</v>
      </c>
      <c r="J3697" s="82"/>
      <c r="K3697" s="83"/>
    </row>
    <row r="3698" spans="1:11" ht="39" customHeight="1" x14ac:dyDescent="0.25">
      <c r="A3698" s="82" t="s">
        <v>4486</v>
      </c>
      <c r="B3698" s="83" t="s">
        <v>4487</v>
      </c>
      <c r="C3698" s="83"/>
      <c r="D3698" s="83"/>
      <c r="E3698" s="83" t="s">
        <v>4228</v>
      </c>
      <c r="F3698" s="82" t="s">
        <v>78</v>
      </c>
      <c r="G3698" s="82">
        <v>1</v>
      </c>
      <c r="H3698" s="82">
        <v>9600</v>
      </c>
      <c r="I3698" s="138">
        <f>H3698*G3698</f>
        <v>9600</v>
      </c>
      <c r="J3698" s="82"/>
      <c r="K3698" s="83"/>
    </row>
    <row r="3699" spans="1:11" ht="15" customHeight="1" x14ac:dyDescent="0.25">
      <c r="A3699" s="82" t="s">
        <v>4236</v>
      </c>
      <c r="B3699" s="83" t="s">
        <v>4334</v>
      </c>
      <c r="C3699" s="83"/>
      <c r="D3699" s="83"/>
      <c r="E3699" s="83" t="s">
        <v>4228</v>
      </c>
      <c r="F3699" s="82" t="s">
        <v>78</v>
      </c>
      <c r="G3699" s="82">
        <v>2</v>
      </c>
      <c r="H3699" s="82">
        <v>4500</v>
      </c>
      <c r="I3699" s="138">
        <f>H3699*G3699</f>
        <v>9000</v>
      </c>
      <c r="J3699" s="82"/>
      <c r="K3699" s="83"/>
    </row>
    <row r="3700" spans="1:11" ht="15" customHeight="1" x14ac:dyDescent="0.25">
      <c r="A3700" s="80" t="s">
        <v>5288</v>
      </c>
      <c r="B3700" s="80" t="s">
        <v>5289</v>
      </c>
      <c r="C3700" s="80"/>
      <c r="D3700" s="80"/>
      <c r="E3700" s="80"/>
      <c r="F3700" s="80"/>
      <c r="G3700" s="81"/>
      <c r="H3700" s="80"/>
      <c r="I3700" s="137"/>
      <c r="J3700" s="80"/>
      <c r="K3700" s="80"/>
    </row>
    <row r="3701" spans="1:11" ht="27" customHeight="1" x14ac:dyDescent="0.25">
      <c r="A3701" s="82" t="s">
        <v>4236</v>
      </c>
      <c r="B3701" s="83" t="s">
        <v>4491</v>
      </c>
      <c r="C3701" s="83"/>
      <c r="D3701" s="83"/>
      <c r="E3701" s="83" t="s">
        <v>4228</v>
      </c>
      <c r="F3701" s="82" t="s">
        <v>78</v>
      </c>
      <c r="G3701" s="82">
        <v>1</v>
      </c>
      <c r="H3701" s="82">
        <v>16500</v>
      </c>
      <c r="I3701" s="138">
        <f>H3701*G3701</f>
        <v>16500</v>
      </c>
      <c r="J3701" s="82"/>
      <c r="K3701" s="83"/>
    </row>
    <row r="3702" spans="1:11" ht="15" customHeight="1" x14ac:dyDescent="0.25">
      <c r="A3702" s="82" t="s">
        <v>4236</v>
      </c>
      <c r="B3702" s="83" t="s">
        <v>4334</v>
      </c>
      <c r="C3702" s="83"/>
      <c r="D3702" s="83"/>
      <c r="E3702" s="83" t="s">
        <v>4228</v>
      </c>
      <c r="F3702" s="82" t="s">
        <v>78</v>
      </c>
      <c r="G3702" s="82">
        <v>1</v>
      </c>
      <c r="H3702" s="82">
        <v>4500</v>
      </c>
      <c r="I3702" s="138">
        <f>H3702*G3702</f>
        <v>4500</v>
      </c>
      <c r="J3702" s="82"/>
      <c r="K3702" s="83"/>
    </row>
    <row r="3703" spans="1:11" ht="15" customHeight="1" x14ac:dyDescent="0.25">
      <c r="A3703" s="82" t="s">
        <v>4236</v>
      </c>
      <c r="B3703" s="83" t="s">
        <v>4389</v>
      </c>
      <c r="C3703" s="83"/>
      <c r="D3703" s="83"/>
      <c r="E3703" s="83" t="s">
        <v>4228</v>
      </c>
      <c r="F3703" s="82" t="s">
        <v>78</v>
      </c>
      <c r="G3703" s="82">
        <v>1</v>
      </c>
      <c r="H3703" s="82">
        <v>4090</v>
      </c>
      <c r="I3703" s="138">
        <f>H3703*G3703</f>
        <v>4090</v>
      </c>
      <c r="J3703" s="82"/>
      <c r="K3703" s="83"/>
    </row>
    <row r="3704" spans="1:11" ht="15" customHeight="1" x14ac:dyDescent="0.25">
      <c r="A3704" s="82" t="s">
        <v>4236</v>
      </c>
      <c r="B3704" s="83" t="s">
        <v>4492</v>
      </c>
      <c r="C3704" s="83"/>
      <c r="D3704" s="83"/>
      <c r="E3704" s="83" t="s">
        <v>4228</v>
      </c>
      <c r="F3704" s="82" t="s">
        <v>78</v>
      </c>
      <c r="G3704" s="82">
        <v>1</v>
      </c>
      <c r="H3704" s="82">
        <v>4720</v>
      </c>
      <c r="I3704" s="138">
        <f>H3704*G3704</f>
        <v>4720</v>
      </c>
      <c r="J3704" s="82"/>
      <c r="K3704" s="83"/>
    </row>
    <row r="3705" spans="1:11" ht="15" customHeight="1" x14ac:dyDescent="0.25">
      <c r="A3705" s="82" t="s">
        <v>4236</v>
      </c>
      <c r="B3705" s="83" t="s">
        <v>4493</v>
      </c>
      <c r="C3705" s="83"/>
      <c r="D3705" s="83"/>
      <c r="E3705" s="83" t="s">
        <v>4228</v>
      </c>
      <c r="F3705" s="82" t="s">
        <v>78</v>
      </c>
      <c r="G3705" s="82">
        <v>1</v>
      </c>
      <c r="H3705" s="82">
        <v>760</v>
      </c>
      <c r="I3705" s="138">
        <f>H3705*G3705</f>
        <v>760</v>
      </c>
      <c r="J3705" s="82"/>
      <c r="K3705" s="83"/>
    </row>
    <row r="3706" spans="1:11" ht="15" customHeight="1" x14ac:dyDescent="0.25">
      <c r="A3706" s="80" t="s">
        <v>5290</v>
      </c>
      <c r="B3706" s="80" t="s">
        <v>5291</v>
      </c>
      <c r="C3706" s="80"/>
      <c r="D3706" s="80"/>
      <c r="E3706" s="80"/>
      <c r="F3706" s="80"/>
      <c r="G3706" s="81"/>
      <c r="H3706" s="80"/>
      <c r="I3706" s="137"/>
      <c r="J3706" s="80"/>
      <c r="K3706" s="80"/>
    </row>
    <row r="3707" spans="1:11" ht="15" customHeight="1" x14ac:dyDescent="0.25">
      <c r="A3707" s="82" t="s">
        <v>4236</v>
      </c>
      <c r="B3707" s="83" t="s">
        <v>4494</v>
      </c>
      <c r="C3707" s="83"/>
      <c r="D3707" s="83"/>
      <c r="E3707" s="83" t="s">
        <v>4228</v>
      </c>
      <c r="F3707" s="82" t="s">
        <v>78</v>
      </c>
      <c r="G3707" s="82">
        <v>1</v>
      </c>
      <c r="H3707" s="82">
        <v>3270</v>
      </c>
      <c r="I3707" s="138">
        <f>H3707*G3707</f>
        <v>3270</v>
      </c>
      <c r="J3707" s="82"/>
      <c r="K3707" s="83"/>
    </row>
    <row r="3708" spans="1:11" ht="27" customHeight="1" x14ac:dyDescent="0.25">
      <c r="A3708" s="82" t="s">
        <v>4236</v>
      </c>
      <c r="B3708" s="83" t="s">
        <v>4491</v>
      </c>
      <c r="C3708" s="83"/>
      <c r="D3708" s="83"/>
      <c r="E3708" s="83" t="s">
        <v>4228</v>
      </c>
      <c r="F3708" s="82" t="s">
        <v>78</v>
      </c>
      <c r="G3708" s="82">
        <v>1</v>
      </c>
      <c r="H3708" s="82">
        <v>16500</v>
      </c>
      <c r="I3708" s="138">
        <f>H3708*G3708</f>
        <v>16500</v>
      </c>
      <c r="J3708" s="82"/>
      <c r="K3708" s="83"/>
    </row>
    <row r="3709" spans="1:11" ht="15" customHeight="1" x14ac:dyDescent="0.25">
      <c r="A3709" s="80" t="s">
        <v>5292</v>
      </c>
      <c r="B3709" s="80" t="s">
        <v>5293</v>
      </c>
      <c r="C3709" s="80"/>
      <c r="D3709" s="80"/>
      <c r="E3709" s="80"/>
      <c r="F3709" s="80"/>
      <c r="G3709" s="81"/>
      <c r="H3709" s="80"/>
      <c r="I3709" s="137"/>
      <c r="J3709" s="80"/>
      <c r="K3709" s="80"/>
    </row>
    <row r="3710" spans="1:11" ht="39" customHeight="1" x14ac:dyDescent="0.25">
      <c r="A3710" s="82" t="s">
        <v>4236</v>
      </c>
      <c r="B3710" s="83" t="s">
        <v>4497</v>
      </c>
      <c r="C3710" s="83"/>
      <c r="D3710" s="83"/>
      <c r="E3710" s="83" t="s">
        <v>4228</v>
      </c>
      <c r="F3710" s="82" t="s">
        <v>47</v>
      </c>
      <c r="G3710" s="82">
        <v>1</v>
      </c>
      <c r="H3710" s="82"/>
      <c r="I3710" s="138">
        <f>H3710*G3710</f>
        <v>0</v>
      </c>
      <c r="J3710" s="82"/>
      <c r="K3710" s="83"/>
    </row>
    <row r="3711" spans="1:11" ht="15" customHeight="1" x14ac:dyDescent="0.25">
      <c r="A3711" s="80" t="s">
        <v>5294</v>
      </c>
      <c r="B3711" s="80" t="s">
        <v>5295</v>
      </c>
      <c r="C3711" s="80"/>
      <c r="D3711" s="80"/>
      <c r="E3711" s="80"/>
      <c r="F3711" s="80"/>
      <c r="G3711" s="81"/>
      <c r="H3711" s="80"/>
      <c r="I3711" s="137"/>
      <c r="J3711" s="80"/>
      <c r="K3711" s="80"/>
    </row>
    <row r="3712" spans="1:11" ht="39" customHeight="1" x14ac:dyDescent="0.25">
      <c r="A3712" s="82" t="s">
        <v>4897</v>
      </c>
      <c r="B3712" s="83" t="s">
        <v>4898</v>
      </c>
      <c r="C3712" s="83" t="s">
        <v>4899</v>
      </c>
      <c r="D3712" s="83"/>
      <c r="E3712" s="83" t="s">
        <v>4228</v>
      </c>
      <c r="F3712" s="82" t="s">
        <v>78</v>
      </c>
      <c r="G3712" s="82">
        <v>2</v>
      </c>
      <c r="H3712" s="82"/>
      <c r="I3712" s="138">
        <f>H3712*G3712</f>
        <v>0</v>
      </c>
      <c r="J3712" s="82"/>
      <c r="K3712" s="83"/>
    </row>
    <row r="3713" spans="1:11" ht="15" customHeight="1" x14ac:dyDescent="0.25">
      <c r="A3713" s="80" t="s">
        <v>5296</v>
      </c>
      <c r="B3713" s="80" t="s">
        <v>5297</v>
      </c>
      <c r="C3713" s="80"/>
      <c r="D3713" s="80"/>
      <c r="E3713" s="80"/>
      <c r="F3713" s="80"/>
      <c r="G3713" s="81"/>
      <c r="H3713" s="80"/>
      <c r="I3713" s="137"/>
      <c r="J3713" s="80"/>
      <c r="K3713" s="80"/>
    </row>
    <row r="3714" spans="1:11" ht="15" customHeight="1" x14ac:dyDescent="0.25">
      <c r="A3714" s="82" t="s">
        <v>4236</v>
      </c>
      <c r="B3714" s="83" t="s">
        <v>4237</v>
      </c>
      <c r="C3714" s="83"/>
      <c r="D3714" s="83"/>
      <c r="E3714" s="83" t="s">
        <v>4228</v>
      </c>
      <c r="F3714" s="82" t="s">
        <v>78</v>
      </c>
      <c r="G3714" s="82">
        <v>2</v>
      </c>
      <c r="H3714" s="82">
        <v>700</v>
      </c>
      <c r="I3714" s="138">
        <f>H3714*G3714</f>
        <v>1400</v>
      </c>
      <c r="J3714" s="82"/>
      <c r="K3714" s="83"/>
    </row>
    <row r="3715" spans="1:11" ht="39" customHeight="1" x14ac:dyDescent="0.25">
      <c r="A3715" s="82" t="s">
        <v>4819</v>
      </c>
      <c r="B3715" s="83" t="s">
        <v>5277</v>
      </c>
      <c r="C3715" s="83"/>
      <c r="D3715" s="83"/>
      <c r="E3715" s="83" t="s">
        <v>4228</v>
      </c>
      <c r="F3715" s="82" t="s">
        <v>78</v>
      </c>
      <c r="G3715" s="82">
        <v>5</v>
      </c>
      <c r="H3715" s="82"/>
      <c r="I3715" s="138">
        <f>H3715*G3715</f>
        <v>0</v>
      </c>
      <c r="J3715" s="82"/>
      <c r="K3715" s="83"/>
    </row>
    <row r="3716" spans="1:11" ht="39" customHeight="1" x14ac:dyDescent="0.25">
      <c r="A3716" s="82" t="s">
        <v>4486</v>
      </c>
      <c r="B3716" s="83" t="s">
        <v>4487</v>
      </c>
      <c r="C3716" s="83"/>
      <c r="D3716" s="83"/>
      <c r="E3716" s="83" t="s">
        <v>4228</v>
      </c>
      <c r="F3716" s="82" t="s">
        <v>78</v>
      </c>
      <c r="G3716" s="82">
        <v>1</v>
      </c>
      <c r="H3716" s="82">
        <v>9600</v>
      </c>
      <c r="I3716" s="138">
        <f>H3716*G3716</f>
        <v>9600</v>
      </c>
      <c r="J3716" s="82"/>
      <c r="K3716" s="83"/>
    </row>
    <row r="3717" spans="1:11" ht="15" customHeight="1" x14ac:dyDescent="0.25">
      <c r="A3717" s="82" t="s">
        <v>4346</v>
      </c>
      <c r="B3717" s="83" t="s">
        <v>4347</v>
      </c>
      <c r="C3717" s="83"/>
      <c r="D3717" s="83"/>
      <c r="E3717" s="83" t="s">
        <v>4228</v>
      </c>
      <c r="F3717" s="82" t="s">
        <v>78</v>
      </c>
      <c r="G3717" s="82">
        <v>4</v>
      </c>
      <c r="H3717" s="82"/>
      <c r="I3717" s="138">
        <f>H3717*G3717</f>
        <v>0</v>
      </c>
      <c r="J3717" s="82"/>
      <c r="K3717" s="83"/>
    </row>
    <row r="3718" spans="1:11" ht="15" customHeight="1" x14ac:dyDescent="0.25">
      <c r="A3718" s="82" t="s">
        <v>4236</v>
      </c>
      <c r="B3718" s="83" t="s">
        <v>4343</v>
      </c>
      <c r="C3718" s="83"/>
      <c r="D3718" s="83"/>
      <c r="E3718" s="83" t="s">
        <v>4228</v>
      </c>
      <c r="F3718" s="82" t="s">
        <v>78</v>
      </c>
      <c r="G3718" s="82">
        <v>2</v>
      </c>
      <c r="H3718" s="82">
        <v>1570</v>
      </c>
      <c r="I3718" s="138">
        <f>H3718*G3718</f>
        <v>3140</v>
      </c>
      <c r="J3718" s="82"/>
      <c r="K3718" s="83"/>
    </row>
    <row r="3719" spans="1:11" ht="15" customHeight="1" x14ac:dyDescent="0.25">
      <c r="A3719" s="80" t="s">
        <v>5298</v>
      </c>
      <c r="B3719" s="80" t="s">
        <v>5299</v>
      </c>
      <c r="C3719" s="80"/>
      <c r="D3719" s="80"/>
      <c r="E3719" s="80"/>
      <c r="F3719" s="80"/>
      <c r="G3719" s="81"/>
      <c r="H3719" s="80"/>
      <c r="I3719" s="137"/>
      <c r="J3719" s="80"/>
      <c r="K3719" s="80"/>
    </row>
    <row r="3720" spans="1:11" ht="27" customHeight="1" x14ac:dyDescent="0.25">
      <c r="A3720" s="82" t="s">
        <v>4236</v>
      </c>
      <c r="B3720" s="83" t="s">
        <v>4491</v>
      </c>
      <c r="C3720" s="83"/>
      <c r="D3720" s="83"/>
      <c r="E3720" s="83" t="s">
        <v>4228</v>
      </c>
      <c r="F3720" s="82" t="s">
        <v>78</v>
      </c>
      <c r="G3720" s="82">
        <v>1</v>
      </c>
      <c r="H3720" s="82">
        <v>16500</v>
      </c>
      <c r="I3720" s="138">
        <f>H3720*G3720</f>
        <v>16500</v>
      </c>
      <c r="J3720" s="82"/>
      <c r="K3720" s="83"/>
    </row>
    <row r="3721" spans="1:11" ht="15" customHeight="1" x14ac:dyDescent="0.25">
      <c r="A3721" s="82" t="s">
        <v>4236</v>
      </c>
      <c r="B3721" s="83" t="s">
        <v>4334</v>
      </c>
      <c r="C3721" s="83"/>
      <c r="D3721" s="83"/>
      <c r="E3721" s="83" t="s">
        <v>4228</v>
      </c>
      <c r="F3721" s="82" t="s">
        <v>78</v>
      </c>
      <c r="G3721" s="82">
        <v>1</v>
      </c>
      <c r="H3721" s="82">
        <v>4500</v>
      </c>
      <c r="I3721" s="138">
        <f>H3721*G3721</f>
        <v>4500</v>
      </c>
      <c r="J3721" s="82"/>
      <c r="K3721" s="83"/>
    </row>
    <row r="3722" spans="1:11" ht="15" customHeight="1" x14ac:dyDescent="0.25">
      <c r="A3722" s="82" t="s">
        <v>4236</v>
      </c>
      <c r="B3722" s="83" t="s">
        <v>4389</v>
      </c>
      <c r="C3722" s="83"/>
      <c r="D3722" s="83"/>
      <c r="E3722" s="83" t="s">
        <v>4228</v>
      </c>
      <c r="F3722" s="82" t="s">
        <v>78</v>
      </c>
      <c r="G3722" s="82">
        <v>1</v>
      </c>
      <c r="H3722" s="82">
        <v>4090</v>
      </c>
      <c r="I3722" s="138">
        <f>H3722*G3722</f>
        <v>4090</v>
      </c>
      <c r="J3722" s="82"/>
      <c r="K3722" s="83"/>
    </row>
    <row r="3723" spans="1:11" ht="15" customHeight="1" x14ac:dyDescent="0.25">
      <c r="A3723" s="82" t="s">
        <v>4236</v>
      </c>
      <c r="B3723" s="83" t="s">
        <v>4492</v>
      </c>
      <c r="C3723" s="83"/>
      <c r="D3723" s="83"/>
      <c r="E3723" s="83" t="s">
        <v>4228</v>
      </c>
      <c r="F3723" s="82" t="s">
        <v>78</v>
      </c>
      <c r="G3723" s="82">
        <v>1</v>
      </c>
      <c r="H3723" s="82">
        <v>4720</v>
      </c>
      <c r="I3723" s="138">
        <f>H3723*G3723</f>
        <v>4720</v>
      </c>
      <c r="J3723" s="82"/>
      <c r="K3723" s="83"/>
    </row>
    <row r="3724" spans="1:11" ht="15" customHeight="1" x14ac:dyDescent="0.25">
      <c r="A3724" s="82" t="s">
        <v>4236</v>
      </c>
      <c r="B3724" s="83" t="s">
        <v>4493</v>
      </c>
      <c r="C3724" s="83"/>
      <c r="D3724" s="83"/>
      <c r="E3724" s="83" t="s">
        <v>4228</v>
      </c>
      <c r="F3724" s="82" t="s">
        <v>78</v>
      </c>
      <c r="G3724" s="82">
        <v>1</v>
      </c>
      <c r="H3724" s="82">
        <v>760</v>
      </c>
      <c r="I3724" s="138">
        <f>H3724*G3724</f>
        <v>760</v>
      </c>
      <c r="J3724" s="82"/>
      <c r="K3724" s="83"/>
    </row>
    <row r="3725" spans="1:11" ht="15" customHeight="1" x14ac:dyDescent="0.25">
      <c r="A3725" s="80" t="s">
        <v>5300</v>
      </c>
      <c r="B3725" s="80" t="s">
        <v>5301</v>
      </c>
      <c r="C3725" s="80"/>
      <c r="D3725" s="80"/>
      <c r="E3725" s="80"/>
      <c r="F3725" s="80"/>
      <c r="G3725" s="81"/>
      <c r="H3725" s="80"/>
      <c r="I3725" s="137"/>
      <c r="J3725" s="80"/>
      <c r="K3725" s="80"/>
    </row>
    <row r="3726" spans="1:11" ht="15" customHeight="1" x14ac:dyDescent="0.25">
      <c r="A3726" s="82" t="s">
        <v>4236</v>
      </c>
      <c r="B3726" s="83" t="s">
        <v>4494</v>
      </c>
      <c r="C3726" s="83"/>
      <c r="D3726" s="83"/>
      <c r="E3726" s="83" t="s">
        <v>4228</v>
      </c>
      <c r="F3726" s="82" t="s">
        <v>78</v>
      </c>
      <c r="G3726" s="82">
        <v>1</v>
      </c>
      <c r="H3726" s="82">
        <v>3270</v>
      </c>
      <c r="I3726" s="138">
        <f>H3726*G3726</f>
        <v>3270</v>
      </c>
      <c r="J3726" s="82"/>
      <c r="K3726" s="83"/>
    </row>
    <row r="3727" spans="1:11" ht="27" customHeight="1" x14ac:dyDescent="0.25">
      <c r="A3727" s="82" t="s">
        <v>4236</v>
      </c>
      <c r="B3727" s="83" t="s">
        <v>5302</v>
      </c>
      <c r="C3727" s="83"/>
      <c r="D3727" s="83"/>
      <c r="E3727" s="83" t="s">
        <v>4228</v>
      </c>
      <c r="F3727" s="82" t="s">
        <v>78</v>
      </c>
      <c r="G3727" s="82">
        <v>1</v>
      </c>
      <c r="H3727" s="82">
        <v>16500</v>
      </c>
      <c r="I3727" s="138">
        <f>H3727*G3727</f>
        <v>16500</v>
      </c>
      <c r="J3727" s="82"/>
      <c r="K3727" s="83"/>
    </row>
    <row r="3728" spans="1:11" ht="15" customHeight="1" x14ac:dyDescent="0.25">
      <c r="A3728" s="80" t="s">
        <v>5303</v>
      </c>
      <c r="B3728" s="80" t="s">
        <v>5304</v>
      </c>
      <c r="C3728" s="80"/>
      <c r="D3728" s="80"/>
      <c r="E3728" s="80"/>
      <c r="F3728" s="80"/>
      <c r="G3728" s="81"/>
      <c r="H3728" s="82">
        <v>16500</v>
      </c>
      <c r="I3728" s="137"/>
      <c r="J3728" s="80"/>
      <c r="K3728" s="80"/>
    </row>
    <row r="3729" spans="1:11" ht="39" customHeight="1" x14ac:dyDescent="0.25">
      <c r="A3729" s="82" t="s">
        <v>4236</v>
      </c>
      <c r="B3729" s="83" t="s">
        <v>4497</v>
      </c>
      <c r="C3729" s="83"/>
      <c r="D3729" s="83"/>
      <c r="E3729" s="83" t="s">
        <v>4228</v>
      </c>
      <c r="F3729" s="82" t="s">
        <v>47</v>
      </c>
      <c r="G3729" s="82">
        <v>1</v>
      </c>
      <c r="H3729" s="82"/>
      <c r="I3729" s="138">
        <f>H3729*G3729</f>
        <v>0</v>
      </c>
      <c r="J3729" s="82"/>
      <c r="K3729" s="83"/>
    </row>
    <row r="3730" spans="1:11" ht="15" customHeight="1" x14ac:dyDescent="0.25">
      <c r="A3730" s="80" t="s">
        <v>5305</v>
      </c>
      <c r="B3730" s="80" t="s">
        <v>5306</v>
      </c>
      <c r="C3730" s="80"/>
      <c r="D3730" s="80"/>
      <c r="E3730" s="80"/>
      <c r="F3730" s="80"/>
      <c r="G3730" s="81"/>
      <c r="H3730" s="80"/>
      <c r="I3730" s="137"/>
      <c r="J3730" s="80"/>
      <c r="K3730" s="80"/>
    </row>
    <row r="3731" spans="1:11" ht="39" customHeight="1" x14ac:dyDescent="0.25">
      <c r="A3731" s="82" t="s">
        <v>4819</v>
      </c>
      <c r="B3731" s="83" t="s">
        <v>5277</v>
      </c>
      <c r="C3731" s="83"/>
      <c r="D3731" s="83"/>
      <c r="E3731" s="83" t="s">
        <v>4228</v>
      </c>
      <c r="F3731" s="82" t="s">
        <v>78</v>
      </c>
      <c r="G3731" s="82">
        <v>5</v>
      </c>
      <c r="H3731" s="82"/>
      <c r="I3731" s="138">
        <f>H3731*G3731</f>
        <v>0</v>
      </c>
      <c r="J3731" s="82"/>
      <c r="K3731" s="83"/>
    </row>
    <row r="3732" spans="1:11" ht="15" customHeight="1" x14ac:dyDescent="0.25">
      <c r="A3732" s="82" t="s">
        <v>4484</v>
      </c>
      <c r="B3732" s="83" t="s">
        <v>4500</v>
      </c>
      <c r="C3732" s="83"/>
      <c r="D3732" s="83"/>
      <c r="E3732" s="83" t="s">
        <v>4228</v>
      </c>
      <c r="F3732" s="82" t="s">
        <v>78</v>
      </c>
      <c r="G3732" s="82">
        <v>2</v>
      </c>
      <c r="H3732" s="82"/>
      <c r="I3732" s="138">
        <f>H3732*G3732</f>
        <v>0</v>
      </c>
      <c r="J3732" s="82"/>
      <c r="K3732" s="83"/>
    </row>
    <row r="3733" spans="1:11" ht="15" customHeight="1" x14ac:dyDescent="0.25">
      <c r="A3733" s="82" t="s">
        <v>4236</v>
      </c>
      <c r="B3733" s="83" t="s">
        <v>4237</v>
      </c>
      <c r="C3733" s="83"/>
      <c r="D3733" s="83"/>
      <c r="E3733" s="83" t="s">
        <v>4228</v>
      </c>
      <c r="F3733" s="82" t="s">
        <v>78</v>
      </c>
      <c r="G3733" s="82">
        <v>2</v>
      </c>
      <c r="H3733" s="82">
        <v>700</v>
      </c>
      <c r="I3733" s="138">
        <f>H3733*G3733</f>
        <v>1400</v>
      </c>
      <c r="J3733" s="82"/>
      <c r="K3733" s="83"/>
    </row>
    <row r="3734" spans="1:11" ht="39" customHeight="1" x14ac:dyDescent="0.25">
      <c r="A3734" s="82" t="s">
        <v>4486</v>
      </c>
      <c r="B3734" s="83" t="s">
        <v>4487</v>
      </c>
      <c r="C3734" s="83"/>
      <c r="D3734" s="83"/>
      <c r="E3734" s="83" t="s">
        <v>4228</v>
      </c>
      <c r="F3734" s="82" t="s">
        <v>78</v>
      </c>
      <c r="G3734" s="82">
        <v>1</v>
      </c>
      <c r="H3734" s="82">
        <v>9600</v>
      </c>
      <c r="I3734" s="138">
        <f>H3734*G3734</f>
        <v>9600</v>
      </c>
      <c r="J3734" s="82"/>
      <c r="K3734" s="83"/>
    </row>
    <row r="3735" spans="1:11" ht="15" customHeight="1" x14ac:dyDescent="0.25">
      <c r="A3735" s="82" t="s">
        <v>4236</v>
      </c>
      <c r="B3735" s="83" t="s">
        <v>4343</v>
      </c>
      <c r="C3735" s="83"/>
      <c r="D3735" s="83"/>
      <c r="E3735" s="83" t="s">
        <v>4228</v>
      </c>
      <c r="F3735" s="82" t="s">
        <v>78</v>
      </c>
      <c r="G3735" s="82">
        <v>2</v>
      </c>
      <c r="H3735" s="82">
        <v>1570</v>
      </c>
      <c r="I3735" s="138">
        <f>H3735*G3735</f>
        <v>3140</v>
      </c>
      <c r="J3735" s="82"/>
      <c r="K3735" s="83"/>
    </row>
    <row r="3736" spans="1:11" ht="15" customHeight="1" x14ac:dyDescent="0.25">
      <c r="A3736" s="80" t="s">
        <v>5307</v>
      </c>
      <c r="B3736" s="80" t="s">
        <v>5308</v>
      </c>
      <c r="C3736" s="80"/>
      <c r="D3736" s="80"/>
      <c r="E3736" s="80"/>
      <c r="F3736" s="80"/>
      <c r="G3736" s="81"/>
      <c r="H3736" s="80"/>
      <c r="I3736" s="137"/>
      <c r="J3736" s="80"/>
      <c r="K3736" s="80"/>
    </row>
    <row r="3737" spans="1:11" ht="27" customHeight="1" x14ac:dyDescent="0.25">
      <c r="A3737" s="82" t="s">
        <v>4236</v>
      </c>
      <c r="B3737" s="83" t="s">
        <v>4491</v>
      </c>
      <c r="C3737" s="83"/>
      <c r="D3737" s="83"/>
      <c r="E3737" s="83" t="s">
        <v>4228</v>
      </c>
      <c r="F3737" s="82" t="s">
        <v>78</v>
      </c>
      <c r="G3737" s="82">
        <v>1</v>
      </c>
      <c r="H3737" s="82">
        <v>16500</v>
      </c>
      <c r="I3737" s="138">
        <f>H3737*G3737</f>
        <v>16500</v>
      </c>
      <c r="J3737" s="82"/>
      <c r="K3737" s="83"/>
    </row>
    <row r="3738" spans="1:11" ht="15" customHeight="1" x14ac:dyDescent="0.25">
      <c r="A3738" s="82" t="s">
        <v>4236</v>
      </c>
      <c r="B3738" s="83" t="s">
        <v>4334</v>
      </c>
      <c r="C3738" s="83"/>
      <c r="D3738" s="83"/>
      <c r="E3738" s="83" t="s">
        <v>4228</v>
      </c>
      <c r="F3738" s="82" t="s">
        <v>78</v>
      </c>
      <c r="G3738" s="82">
        <v>1</v>
      </c>
      <c r="H3738" s="82">
        <v>4500</v>
      </c>
      <c r="I3738" s="138">
        <f>H3738*G3738</f>
        <v>4500</v>
      </c>
      <c r="J3738" s="82"/>
      <c r="K3738" s="83"/>
    </row>
    <row r="3739" spans="1:11" ht="15" customHeight="1" x14ac:dyDescent="0.25">
      <c r="A3739" s="82" t="s">
        <v>4236</v>
      </c>
      <c r="B3739" s="83" t="s">
        <v>4389</v>
      </c>
      <c r="C3739" s="83"/>
      <c r="D3739" s="83"/>
      <c r="E3739" s="83" t="s">
        <v>4228</v>
      </c>
      <c r="F3739" s="82" t="s">
        <v>78</v>
      </c>
      <c r="G3739" s="82">
        <v>1</v>
      </c>
      <c r="H3739" s="82">
        <v>4090</v>
      </c>
      <c r="I3739" s="138">
        <f>H3739*G3739</f>
        <v>4090</v>
      </c>
      <c r="J3739" s="82"/>
      <c r="K3739" s="83"/>
    </row>
    <row r="3740" spans="1:11" ht="15" customHeight="1" x14ac:dyDescent="0.25">
      <c r="A3740" s="82" t="s">
        <v>4236</v>
      </c>
      <c r="B3740" s="83" t="s">
        <v>4492</v>
      </c>
      <c r="C3740" s="83"/>
      <c r="D3740" s="83"/>
      <c r="E3740" s="83" t="s">
        <v>4228</v>
      </c>
      <c r="F3740" s="82" t="s">
        <v>78</v>
      </c>
      <c r="G3740" s="82">
        <v>1</v>
      </c>
      <c r="H3740" s="82">
        <v>4720</v>
      </c>
      <c r="I3740" s="138">
        <f>H3740*G3740</f>
        <v>4720</v>
      </c>
      <c r="J3740" s="82"/>
      <c r="K3740" s="83"/>
    </row>
    <row r="3741" spans="1:11" ht="15" customHeight="1" x14ac:dyDescent="0.25">
      <c r="A3741" s="82" t="s">
        <v>4236</v>
      </c>
      <c r="B3741" s="83" t="s">
        <v>4493</v>
      </c>
      <c r="C3741" s="83"/>
      <c r="D3741" s="83"/>
      <c r="E3741" s="83" t="s">
        <v>4228</v>
      </c>
      <c r="F3741" s="82" t="s">
        <v>78</v>
      </c>
      <c r="G3741" s="82">
        <v>1</v>
      </c>
      <c r="H3741" s="82">
        <v>760</v>
      </c>
      <c r="I3741" s="138">
        <f>H3741*G3741</f>
        <v>760</v>
      </c>
      <c r="J3741" s="82"/>
      <c r="K3741" s="83"/>
    </row>
    <row r="3742" spans="1:11" ht="15" customHeight="1" x14ac:dyDescent="0.25">
      <c r="A3742" s="80" t="s">
        <v>5309</v>
      </c>
      <c r="B3742" s="80" t="s">
        <v>5310</v>
      </c>
      <c r="C3742" s="80"/>
      <c r="D3742" s="80"/>
      <c r="E3742" s="80"/>
      <c r="F3742" s="80"/>
      <c r="G3742" s="81"/>
      <c r="H3742" s="80"/>
      <c r="I3742" s="137"/>
      <c r="J3742" s="80"/>
      <c r="K3742" s="80"/>
    </row>
    <row r="3743" spans="1:11" ht="15" customHeight="1" x14ac:dyDescent="0.25">
      <c r="A3743" s="82" t="s">
        <v>4236</v>
      </c>
      <c r="B3743" s="83" t="s">
        <v>4494</v>
      </c>
      <c r="C3743" s="83"/>
      <c r="D3743" s="83"/>
      <c r="E3743" s="83" t="s">
        <v>4228</v>
      </c>
      <c r="F3743" s="82" t="s">
        <v>78</v>
      </c>
      <c r="G3743" s="82">
        <v>1</v>
      </c>
      <c r="H3743" s="82">
        <v>3270</v>
      </c>
      <c r="I3743" s="138">
        <f>H3743*G3743</f>
        <v>3270</v>
      </c>
      <c r="J3743" s="82"/>
      <c r="K3743" s="83"/>
    </row>
    <row r="3744" spans="1:11" ht="27" customHeight="1" x14ac:dyDescent="0.25">
      <c r="A3744" s="82" t="s">
        <v>4236</v>
      </c>
      <c r="B3744" s="83" t="s">
        <v>4491</v>
      </c>
      <c r="C3744" s="83"/>
      <c r="D3744" s="83"/>
      <c r="E3744" s="83" t="s">
        <v>4228</v>
      </c>
      <c r="F3744" s="82" t="s">
        <v>78</v>
      </c>
      <c r="G3744" s="82">
        <v>1</v>
      </c>
      <c r="H3744" s="82">
        <v>16500</v>
      </c>
      <c r="I3744" s="138">
        <f>H3744*G3744</f>
        <v>16500</v>
      </c>
      <c r="J3744" s="82"/>
      <c r="K3744" s="83"/>
    </row>
    <row r="3745" spans="1:11" ht="15" customHeight="1" x14ac:dyDescent="0.25">
      <c r="A3745" s="80" t="s">
        <v>5311</v>
      </c>
      <c r="B3745" s="80" t="s">
        <v>5312</v>
      </c>
      <c r="C3745" s="80"/>
      <c r="D3745" s="80"/>
      <c r="E3745" s="80"/>
      <c r="F3745" s="80"/>
      <c r="G3745" s="81"/>
      <c r="H3745" s="80"/>
      <c r="I3745" s="137"/>
      <c r="J3745" s="80"/>
      <c r="K3745" s="80"/>
    </row>
    <row r="3746" spans="1:11" ht="39" customHeight="1" x14ac:dyDescent="0.25">
      <c r="A3746" s="82" t="s">
        <v>4236</v>
      </c>
      <c r="B3746" s="83" t="s">
        <v>4497</v>
      </c>
      <c r="C3746" s="83"/>
      <c r="D3746" s="83"/>
      <c r="E3746" s="83" t="s">
        <v>4228</v>
      </c>
      <c r="F3746" s="82" t="s">
        <v>47</v>
      </c>
      <c r="G3746" s="82">
        <v>1</v>
      </c>
      <c r="H3746" s="82"/>
      <c r="I3746" s="138">
        <f>H3746*G3746</f>
        <v>0</v>
      </c>
      <c r="J3746" s="82"/>
      <c r="K3746" s="83"/>
    </row>
    <row r="3747" spans="1:11" ht="15" customHeight="1" x14ac:dyDescent="0.25">
      <c r="A3747" s="80" t="s">
        <v>5313</v>
      </c>
      <c r="B3747" s="80" t="s">
        <v>4854</v>
      </c>
      <c r="C3747" s="80"/>
      <c r="D3747" s="80"/>
      <c r="E3747" s="80"/>
      <c r="F3747" s="80"/>
      <c r="G3747" s="81"/>
      <c r="H3747" s="80"/>
      <c r="I3747" s="137"/>
      <c r="J3747" s="80"/>
      <c r="K3747" s="80"/>
    </row>
    <row r="3748" spans="1:11" ht="51" customHeight="1" x14ac:dyDescent="0.25">
      <c r="A3748" s="82" t="s">
        <v>4379</v>
      </c>
      <c r="B3748" s="83" t="s">
        <v>4380</v>
      </c>
      <c r="C3748" s="83"/>
      <c r="D3748" s="83"/>
      <c r="E3748" s="83" t="s">
        <v>4228</v>
      </c>
      <c r="F3748" s="82" t="s">
        <v>78</v>
      </c>
      <c r="G3748" s="82">
        <v>1</v>
      </c>
      <c r="H3748" s="82">
        <v>29000</v>
      </c>
      <c r="I3748" s="138">
        <f t="shared" ref="I3748:I3753" si="164">H3748*G3748</f>
        <v>29000</v>
      </c>
      <c r="J3748" s="82"/>
      <c r="K3748" s="83"/>
    </row>
    <row r="3749" spans="1:11" ht="51" customHeight="1" x14ac:dyDescent="0.25">
      <c r="A3749" s="82" t="s">
        <v>4383</v>
      </c>
      <c r="B3749" s="83" t="s">
        <v>4384</v>
      </c>
      <c r="C3749" s="83"/>
      <c r="D3749" s="83"/>
      <c r="E3749" s="83" t="s">
        <v>4228</v>
      </c>
      <c r="F3749" s="82" t="s">
        <v>78</v>
      </c>
      <c r="G3749" s="82">
        <v>1</v>
      </c>
      <c r="H3749" s="82">
        <v>16200</v>
      </c>
      <c r="I3749" s="138">
        <f t="shared" si="164"/>
        <v>16200</v>
      </c>
      <c r="J3749" s="82"/>
      <c r="K3749" s="83"/>
    </row>
    <row r="3750" spans="1:11" ht="15" customHeight="1" x14ac:dyDescent="0.25">
      <c r="A3750" s="82" t="s">
        <v>4385</v>
      </c>
      <c r="B3750" s="83" t="s">
        <v>4386</v>
      </c>
      <c r="C3750" s="83" t="s">
        <v>4387</v>
      </c>
      <c r="D3750" s="83"/>
      <c r="E3750" s="83" t="s">
        <v>4228</v>
      </c>
      <c r="F3750" s="82" t="s">
        <v>78</v>
      </c>
      <c r="G3750" s="82">
        <v>1</v>
      </c>
      <c r="H3750" s="82">
        <v>523000</v>
      </c>
      <c r="I3750" s="138">
        <f t="shared" si="164"/>
        <v>523000</v>
      </c>
      <c r="J3750" s="82" t="s">
        <v>4388</v>
      </c>
      <c r="K3750" s="83"/>
    </row>
    <row r="3751" spans="1:11" ht="15" customHeight="1" x14ac:dyDescent="0.25">
      <c r="A3751" s="82" t="s">
        <v>4236</v>
      </c>
      <c r="B3751" s="83" t="s">
        <v>4334</v>
      </c>
      <c r="C3751" s="83" t="s">
        <v>5314</v>
      </c>
      <c r="D3751" s="83"/>
      <c r="E3751" s="83" t="s">
        <v>4544</v>
      </c>
      <c r="F3751" s="82" t="s">
        <v>78</v>
      </c>
      <c r="G3751" s="82">
        <v>1</v>
      </c>
      <c r="H3751" s="82">
        <v>4500</v>
      </c>
      <c r="I3751" s="138">
        <f t="shared" si="164"/>
        <v>4500</v>
      </c>
      <c r="J3751" s="82"/>
      <c r="K3751" s="83"/>
    </row>
    <row r="3752" spans="1:11" ht="15" customHeight="1" x14ac:dyDescent="0.25">
      <c r="A3752" s="82" t="s">
        <v>4236</v>
      </c>
      <c r="B3752" s="83" t="s">
        <v>4389</v>
      </c>
      <c r="C3752" s="83"/>
      <c r="D3752" s="83"/>
      <c r="E3752" s="83" t="s">
        <v>4228</v>
      </c>
      <c r="F3752" s="82" t="s">
        <v>78</v>
      </c>
      <c r="G3752" s="82">
        <v>1</v>
      </c>
      <c r="H3752" s="82">
        <v>4090</v>
      </c>
      <c r="I3752" s="138">
        <f t="shared" si="164"/>
        <v>4090</v>
      </c>
      <c r="J3752" s="82"/>
      <c r="K3752" s="83"/>
    </row>
    <row r="3753" spans="1:11" ht="15" customHeight="1" x14ac:dyDescent="0.25">
      <c r="A3753" s="82" t="s">
        <v>4236</v>
      </c>
      <c r="B3753" s="83" t="s">
        <v>4390</v>
      </c>
      <c r="C3753" s="83"/>
      <c r="D3753" s="83"/>
      <c r="E3753" s="83" t="s">
        <v>4228</v>
      </c>
      <c r="F3753" s="82" t="s">
        <v>78</v>
      </c>
      <c r="G3753" s="82">
        <v>1</v>
      </c>
      <c r="H3753" s="82"/>
      <c r="I3753" s="138">
        <f t="shared" si="164"/>
        <v>0</v>
      </c>
      <c r="J3753" s="82"/>
      <c r="K3753" s="83"/>
    </row>
    <row r="3754" spans="1:11" ht="15" customHeight="1" x14ac:dyDescent="0.25">
      <c r="A3754" s="80" t="s">
        <v>5315</v>
      </c>
      <c r="B3754" s="80" t="s">
        <v>5316</v>
      </c>
      <c r="C3754" s="80"/>
      <c r="D3754" s="80"/>
      <c r="E3754" s="80"/>
      <c r="F3754" s="80"/>
      <c r="G3754" s="81"/>
      <c r="H3754" s="80"/>
      <c r="I3754" s="137"/>
      <c r="J3754" s="80"/>
      <c r="K3754" s="80"/>
    </row>
    <row r="3755" spans="1:11" ht="27" customHeight="1" x14ac:dyDescent="0.25">
      <c r="A3755" s="82" t="s">
        <v>4236</v>
      </c>
      <c r="B3755" s="83" t="s">
        <v>4491</v>
      </c>
      <c r="C3755" s="83"/>
      <c r="D3755" s="83"/>
      <c r="E3755" s="83" t="s">
        <v>4228</v>
      </c>
      <c r="F3755" s="82" t="s">
        <v>78</v>
      </c>
      <c r="G3755" s="82">
        <v>1</v>
      </c>
      <c r="H3755" s="82">
        <v>16500</v>
      </c>
      <c r="I3755" s="138">
        <f t="shared" ref="I3755:I3760" si="165">H3755*G3755</f>
        <v>16500</v>
      </c>
      <c r="J3755" s="82"/>
      <c r="K3755" s="83"/>
    </row>
    <row r="3756" spans="1:11" ht="15" customHeight="1" x14ac:dyDescent="0.25">
      <c r="A3756" s="82" t="s">
        <v>4236</v>
      </c>
      <c r="B3756" s="83" t="s">
        <v>4334</v>
      </c>
      <c r="C3756" s="83"/>
      <c r="D3756" s="83"/>
      <c r="E3756" s="83" t="s">
        <v>4228</v>
      </c>
      <c r="F3756" s="82" t="s">
        <v>78</v>
      </c>
      <c r="G3756" s="82">
        <v>1</v>
      </c>
      <c r="H3756" s="82">
        <v>4500</v>
      </c>
      <c r="I3756" s="138">
        <f t="shared" si="165"/>
        <v>4500</v>
      </c>
      <c r="J3756" s="82"/>
      <c r="K3756" s="83"/>
    </row>
    <row r="3757" spans="1:11" ht="15" customHeight="1" x14ac:dyDescent="0.25">
      <c r="A3757" s="82" t="s">
        <v>4236</v>
      </c>
      <c r="B3757" s="83" t="s">
        <v>4389</v>
      </c>
      <c r="C3757" s="83"/>
      <c r="D3757" s="83"/>
      <c r="E3757" s="83" t="s">
        <v>4228</v>
      </c>
      <c r="F3757" s="82" t="s">
        <v>78</v>
      </c>
      <c r="G3757" s="82">
        <v>1</v>
      </c>
      <c r="H3757" s="82">
        <v>4090</v>
      </c>
      <c r="I3757" s="138">
        <f t="shared" si="165"/>
        <v>4090</v>
      </c>
      <c r="J3757" s="82"/>
      <c r="K3757" s="83"/>
    </row>
    <row r="3758" spans="1:11" ht="15" customHeight="1" x14ac:dyDescent="0.25">
      <c r="A3758" s="82" t="s">
        <v>4236</v>
      </c>
      <c r="B3758" s="83" t="s">
        <v>4492</v>
      </c>
      <c r="C3758" s="83"/>
      <c r="D3758" s="83"/>
      <c r="E3758" s="83" t="s">
        <v>4228</v>
      </c>
      <c r="F3758" s="82" t="s">
        <v>78</v>
      </c>
      <c r="G3758" s="82">
        <v>1</v>
      </c>
      <c r="H3758" s="82">
        <v>4720</v>
      </c>
      <c r="I3758" s="138">
        <f t="shared" si="165"/>
        <v>4720</v>
      </c>
      <c r="J3758" s="82"/>
      <c r="K3758" s="83"/>
    </row>
    <row r="3759" spans="1:11" ht="15" customHeight="1" x14ac:dyDescent="0.25">
      <c r="A3759" s="82" t="s">
        <v>4236</v>
      </c>
      <c r="B3759" s="83" t="s">
        <v>4493</v>
      </c>
      <c r="C3759" s="83"/>
      <c r="D3759" s="83"/>
      <c r="E3759" s="83" t="s">
        <v>4228</v>
      </c>
      <c r="F3759" s="82" t="s">
        <v>78</v>
      </c>
      <c r="G3759" s="82">
        <v>1</v>
      </c>
      <c r="H3759" s="82">
        <v>760</v>
      </c>
      <c r="I3759" s="138">
        <f t="shared" si="165"/>
        <v>760</v>
      </c>
      <c r="J3759" s="82"/>
      <c r="K3759" s="83"/>
    </row>
    <row r="3760" spans="1:11" ht="15" customHeight="1" x14ac:dyDescent="0.25">
      <c r="A3760" s="82" t="s">
        <v>4236</v>
      </c>
      <c r="B3760" s="83" t="s">
        <v>4494</v>
      </c>
      <c r="C3760" s="83"/>
      <c r="D3760" s="83"/>
      <c r="E3760" s="83" t="s">
        <v>4228</v>
      </c>
      <c r="F3760" s="82" t="s">
        <v>78</v>
      </c>
      <c r="G3760" s="82">
        <v>1</v>
      </c>
      <c r="H3760" s="82">
        <v>3270</v>
      </c>
      <c r="I3760" s="138">
        <f t="shared" si="165"/>
        <v>3270</v>
      </c>
      <c r="J3760" s="82"/>
      <c r="K3760" s="83"/>
    </row>
    <row r="3761" spans="1:11" ht="15" customHeight="1" x14ac:dyDescent="0.25">
      <c r="A3761" s="80" t="s">
        <v>5317</v>
      </c>
      <c r="B3761" s="80" t="s">
        <v>5318</v>
      </c>
      <c r="C3761" s="80"/>
      <c r="D3761" s="80"/>
      <c r="E3761" s="80"/>
      <c r="F3761" s="80"/>
      <c r="G3761" s="81"/>
      <c r="H3761" s="80"/>
      <c r="I3761" s="137"/>
      <c r="J3761" s="80"/>
      <c r="K3761" s="80"/>
    </row>
    <row r="3762" spans="1:11" ht="27" customHeight="1" x14ac:dyDescent="0.25">
      <c r="A3762" s="82" t="s">
        <v>4236</v>
      </c>
      <c r="B3762" s="83" t="s">
        <v>4491</v>
      </c>
      <c r="C3762" s="83"/>
      <c r="D3762" s="83"/>
      <c r="E3762" s="83" t="s">
        <v>4228</v>
      </c>
      <c r="F3762" s="82" t="s">
        <v>78</v>
      </c>
      <c r="G3762" s="82">
        <v>1</v>
      </c>
      <c r="H3762" s="82">
        <v>16500</v>
      </c>
      <c r="I3762" s="138">
        <f t="shared" ref="I3762:I3767" si="166">H3762*G3762</f>
        <v>16500</v>
      </c>
      <c r="J3762" s="82"/>
      <c r="K3762" s="83"/>
    </row>
    <row r="3763" spans="1:11" ht="15" customHeight="1" x14ac:dyDescent="0.25">
      <c r="A3763" s="82" t="s">
        <v>4236</v>
      </c>
      <c r="B3763" s="83" t="s">
        <v>4334</v>
      </c>
      <c r="C3763" s="83"/>
      <c r="D3763" s="83"/>
      <c r="E3763" s="83" t="s">
        <v>4228</v>
      </c>
      <c r="F3763" s="82" t="s">
        <v>78</v>
      </c>
      <c r="G3763" s="82">
        <v>1</v>
      </c>
      <c r="H3763" s="82">
        <v>4500</v>
      </c>
      <c r="I3763" s="138">
        <f t="shared" si="166"/>
        <v>4500</v>
      </c>
      <c r="J3763" s="82"/>
      <c r="K3763" s="83"/>
    </row>
    <row r="3764" spans="1:11" ht="15" customHeight="1" x14ac:dyDescent="0.25">
      <c r="A3764" s="82" t="s">
        <v>4236</v>
      </c>
      <c r="B3764" s="83" t="s">
        <v>4389</v>
      </c>
      <c r="C3764" s="83"/>
      <c r="D3764" s="83"/>
      <c r="E3764" s="83" t="s">
        <v>4228</v>
      </c>
      <c r="F3764" s="82" t="s">
        <v>78</v>
      </c>
      <c r="G3764" s="82">
        <v>1</v>
      </c>
      <c r="H3764" s="82">
        <v>4090</v>
      </c>
      <c r="I3764" s="138">
        <f t="shared" si="166"/>
        <v>4090</v>
      </c>
      <c r="J3764" s="82"/>
      <c r="K3764" s="83"/>
    </row>
    <row r="3765" spans="1:11" ht="15" customHeight="1" x14ac:dyDescent="0.25">
      <c r="A3765" s="82" t="s">
        <v>4236</v>
      </c>
      <c r="B3765" s="83" t="s">
        <v>4492</v>
      </c>
      <c r="C3765" s="83"/>
      <c r="D3765" s="83"/>
      <c r="E3765" s="83" t="s">
        <v>4228</v>
      </c>
      <c r="F3765" s="82" t="s">
        <v>78</v>
      </c>
      <c r="G3765" s="82">
        <v>1</v>
      </c>
      <c r="H3765" s="82">
        <v>4720</v>
      </c>
      <c r="I3765" s="138">
        <f t="shared" si="166"/>
        <v>4720</v>
      </c>
      <c r="J3765" s="82"/>
      <c r="K3765" s="83"/>
    </row>
    <row r="3766" spans="1:11" ht="15" customHeight="1" x14ac:dyDescent="0.25">
      <c r="A3766" s="82" t="s">
        <v>4236</v>
      </c>
      <c r="B3766" s="83" t="s">
        <v>4493</v>
      </c>
      <c r="C3766" s="83"/>
      <c r="D3766" s="83"/>
      <c r="E3766" s="83" t="s">
        <v>4228</v>
      </c>
      <c r="F3766" s="82" t="s">
        <v>78</v>
      </c>
      <c r="G3766" s="82">
        <v>1</v>
      </c>
      <c r="H3766" s="82">
        <v>760</v>
      </c>
      <c r="I3766" s="138">
        <f t="shared" si="166"/>
        <v>760</v>
      </c>
      <c r="J3766" s="82"/>
      <c r="K3766" s="83"/>
    </row>
    <row r="3767" spans="1:11" ht="15" customHeight="1" x14ac:dyDescent="0.25">
      <c r="A3767" s="82" t="s">
        <v>4236</v>
      </c>
      <c r="B3767" s="83" t="s">
        <v>4494</v>
      </c>
      <c r="C3767" s="83"/>
      <c r="D3767" s="83"/>
      <c r="E3767" s="83" t="s">
        <v>4544</v>
      </c>
      <c r="F3767" s="82" t="s">
        <v>78</v>
      </c>
      <c r="G3767" s="82">
        <v>1</v>
      </c>
      <c r="H3767" s="82">
        <v>3270</v>
      </c>
      <c r="I3767" s="138">
        <f t="shared" si="166"/>
        <v>3270</v>
      </c>
      <c r="J3767" s="82"/>
      <c r="K3767" s="83"/>
    </row>
    <row r="3768" spans="1:11" ht="15" customHeight="1" x14ac:dyDescent="0.25">
      <c r="A3768" s="80" t="s">
        <v>5319</v>
      </c>
      <c r="B3768" s="80" t="s">
        <v>5320</v>
      </c>
      <c r="C3768" s="80"/>
      <c r="D3768" s="80"/>
      <c r="E3768" s="80"/>
      <c r="F3768" s="80"/>
      <c r="G3768" s="81"/>
      <c r="H3768" s="80"/>
      <c r="I3768" s="137"/>
      <c r="J3768" s="80"/>
      <c r="K3768" s="80"/>
    </row>
    <row r="3769" spans="1:11" ht="15" customHeight="1" x14ac:dyDescent="0.25">
      <c r="A3769" s="82" t="s">
        <v>5321</v>
      </c>
      <c r="B3769" s="83" t="s">
        <v>4667</v>
      </c>
      <c r="C3769" s="83"/>
      <c r="D3769" s="83"/>
      <c r="E3769" s="83" t="s">
        <v>4228</v>
      </c>
      <c r="F3769" s="82" t="s">
        <v>78</v>
      </c>
      <c r="G3769" s="82">
        <v>7</v>
      </c>
      <c r="H3769" s="82"/>
      <c r="I3769" s="138">
        <f>H3769*G3769</f>
        <v>0</v>
      </c>
      <c r="J3769" s="82"/>
      <c r="K3769" s="83"/>
    </row>
    <row r="3770" spans="1:11" ht="27" customHeight="1" x14ac:dyDescent="0.25">
      <c r="A3770" s="82" t="s">
        <v>4236</v>
      </c>
      <c r="B3770" s="83" t="s">
        <v>5000</v>
      </c>
      <c r="C3770" s="83"/>
      <c r="D3770" s="83"/>
      <c r="E3770" s="83" t="s">
        <v>4228</v>
      </c>
      <c r="F3770" s="82" t="s">
        <v>576</v>
      </c>
      <c r="G3770" s="82">
        <v>396</v>
      </c>
      <c r="H3770" s="82"/>
      <c r="I3770" s="138">
        <f>H3770*G3770</f>
        <v>0</v>
      </c>
      <c r="J3770" s="82"/>
      <c r="K3770" s="83"/>
    </row>
    <row r="3771" spans="1:11" ht="27" customHeight="1" x14ac:dyDescent="0.25">
      <c r="A3771" s="82" t="s">
        <v>4257</v>
      </c>
      <c r="B3771" s="83" t="s">
        <v>4258</v>
      </c>
      <c r="C3771" s="83"/>
      <c r="D3771" s="83"/>
      <c r="E3771" s="83" t="s">
        <v>4228</v>
      </c>
      <c r="F3771" s="82" t="s">
        <v>78</v>
      </c>
      <c r="G3771" s="82">
        <v>3</v>
      </c>
      <c r="H3771" s="82"/>
      <c r="I3771" s="138">
        <f>H3771*G3771</f>
        <v>0</v>
      </c>
      <c r="J3771" s="82"/>
      <c r="K3771" s="83"/>
    </row>
    <row r="3772" spans="1:11" ht="15" customHeight="1" x14ac:dyDescent="0.25">
      <c r="A3772" s="80" t="s">
        <v>5322</v>
      </c>
      <c r="B3772" s="80" t="s">
        <v>5323</v>
      </c>
      <c r="C3772" s="80"/>
      <c r="D3772" s="80"/>
      <c r="E3772" s="80"/>
      <c r="F3772" s="80"/>
      <c r="G3772" s="81"/>
      <c r="H3772" s="80"/>
      <c r="I3772" s="137"/>
      <c r="J3772" s="80"/>
      <c r="K3772" s="80"/>
    </row>
    <row r="3773" spans="1:11" ht="15" customHeight="1" x14ac:dyDescent="0.25">
      <c r="A3773" s="82" t="s">
        <v>375</v>
      </c>
      <c r="B3773" s="83" t="s">
        <v>4988</v>
      </c>
      <c r="C3773" s="83" t="s">
        <v>4989</v>
      </c>
      <c r="D3773" s="83"/>
      <c r="E3773" s="83" t="s">
        <v>4228</v>
      </c>
      <c r="F3773" s="82" t="s">
        <v>78</v>
      </c>
      <c r="G3773" s="82">
        <v>2</v>
      </c>
      <c r="H3773" s="82"/>
      <c r="I3773" s="138">
        <f t="shared" ref="I3773:I3780" si="167">H3773*G3773</f>
        <v>0</v>
      </c>
      <c r="J3773" s="82"/>
      <c r="K3773" s="83"/>
    </row>
    <row r="3774" spans="1:11" ht="27" customHeight="1" x14ac:dyDescent="0.25">
      <c r="A3774" s="82" t="s">
        <v>432</v>
      </c>
      <c r="B3774" s="83" t="s">
        <v>4231</v>
      </c>
      <c r="C3774" s="83"/>
      <c r="D3774" s="83"/>
      <c r="E3774" s="83" t="s">
        <v>4228</v>
      </c>
      <c r="F3774" s="82" t="s">
        <v>78</v>
      </c>
      <c r="G3774" s="82">
        <v>1</v>
      </c>
      <c r="H3774" s="82">
        <v>12000</v>
      </c>
      <c r="I3774" s="138">
        <f t="shared" si="167"/>
        <v>12000</v>
      </c>
      <c r="J3774" s="82"/>
      <c r="K3774" s="83"/>
    </row>
    <row r="3775" spans="1:11" ht="39" customHeight="1" x14ac:dyDescent="0.25">
      <c r="A3775" s="82" t="s">
        <v>459</v>
      </c>
      <c r="B3775" s="83" t="s">
        <v>4232</v>
      </c>
      <c r="C3775" s="83"/>
      <c r="D3775" s="83"/>
      <c r="E3775" s="83" t="s">
        <v>4228</v>
      </c>
      <c r="F3775" s="82" t="s">
        <v>78</v>
      </c>
      <c r="G3775" s="82">
        <v>2</v>
      </c>
      <c r="H3775" s="82"/>
      <c r="I3775" s="138">
        <f t="shared" si="167"/>
        <v>0</v>
      </c>
      <c r="J3775" s="82"/>
      <c r="K3775" s="83"/>
    </row>
    <row r="3776" spans="1:11" ht="27" customHeight="1" x14ac:dyDescent="0.25">
      <c r="A3776" s="82" t="s">
        <v>4233</v>
      </c>
      <c r="B3776" s="83" t="s">
        <v>4234</v>
      </c>
      <c r="C3776" s="83"/>
      <c r="D3776" s="83"/>
      <c r="E3776" s="83" t="s">
        <v>4228</v>
      </c>
      <c r="F3776" s="82" t="s">
        <v>78</v>
      </c>
      <c r="G3776" s="82">
        <v>1</v>
      </c>
      <c r="H3776" s="82"/>
      <c r="I3776" s="138">
        <f t="shared" si="167"/>
        <v>0</v>
      </c>
      <c r="J3776" s="82"/>
      <c r="K3776" s="83"/>
    </row>
    <row r="3777" spans="1:11" ht="27" customHeight="1" x14ac:dyDescent="0.25">
      <c r="A3777" s="82" t="s">
        <v>4267</v>
      </c>
      <c r="B3777" s="83" t="s">
        <v>4268</v>
      </c>
      <c r="C3777" s="83" t="s">
        <v>4269</v>
      </c>
      <c r="D3777" s="83"/>
      <c r="E3777" s="83" t="s">
        <v>4228</v>
      </c>
      <c r="F3777" s="82" t="s">
        <v>78</v>
      </c>
      <c r="G3777" s="82">
        <v>1</v>
      </c>
      <c r="H3777" s="82"/>
      <c r="I3777" s="138">
        <f t="shared" si="167"/>
        <v>0</v>
      </c>
      <c r="J3777" s="82"/>
      <c r="K3777" s="83"/>
    </row>
    <row r="3778" spans="1:11" ht="15" customHeight="1" x14ac:dyDescent="0.25">
      <c r="A3778" s="82" t="s">
        <v>2131</v>
      </c>
      <c r="B3778" s="83" t="s">
        <v>4235</v>
      </c>
      <c r="C3778" s="83"/>
      <c r="D3778" s="83"/>
      <c r="E3778" s="83" t="s">
        <v>4228</v>
      </c>
      <c r="F3778" s="82" t="s">
        <v>78</v>
      </c>
      <c r="G3778" s="82">
        <v>1</v>
      </c>
      <c r="H3778" s="82"/>
      <c r="I3778" s="138">
        <f t="shared" si="167"/>
        <v>0</v>
      </c>
      <c r="J3778" s="82"/>
      <c r="K3778" s="83"/>
    </row>
    <row r="3779" spans="1:11" ht="15" customHeight="1" x14ac:dyDescent="0.25">
      <c r="A3779" s="82" t="s">
        <v>4236</v>
      </c>
      <c r="B3779" s="83" t="s">
        <v>4237</v>
      </c>
      <c r="C3779" s="83"/>
      <c r="D3779" s="83"/>
      <c r="E3779" s="83" t="s">
        <v>4228</v>
      </c>
      <c r="F3779" s="82" t="s">
        <v>78</v>
      </c>
      <c r="G3779" s="82">
        <v>1</v>
      </c>
      <c r="H3779" s="82">
        <v>700</v>
      </c>
      <c r="I3779" s="138">
        <f t="shared" si="167"/>
        <v>700</v>
      </c>
      <c r="J3779" s="82"/>
      <c r="K3779" s="83"/>
    </row>
    <row r="3780" spans="1:11" ht="27" customHeight="1" x14ac:dyDescent="0.25">
      <c r="A3780" s="82" t="s">
        <v>4257</v>
      </c>
      <c r="B3780" s="83" t="s">
        <v>4258</v>
      </c>
      <c r="C3780" s="83"/>
      <c r="D3780" s="83"/>
      <c r="E3780" s="83" t="s">
        <v>4228</v>
      </c>
      <c r="F3780" s="82" t="s">
        <v>78</v>
      </c>
      <c r="G3780" s="82">
        <v>4</v>
      </c>
      <c r="H3780" s="82"/>
      <c r="I3780" s="138">
        <f t="shared" si="167"/>
        <v>0</v>
      </c>
      <c r="J3780" s="82"/>
      <c r="K3780" s="83"/>
    </row>
    <row r="3781" spans="1:11" ht="15" customHeight="1" x14ac:dyDescent="0.25">
      <c r="A3781" s="80" t="s">
        <v>5324</v>
      </c>
      <c r="B3781" s="80" t="s">
        <v>5325</v>
      </c>
      <c r="C3781" s="80"/>
      <c r="D3781" s="80"/>
      <c r="E3781" s="80"/>
      <c r="F3781" s="80"/>
      <c r="G3781" s="81"/>
      <c r="H3781" s="80"/>
      <c r="I3781" s="137"/>
      <c r="J3781" s="80"/>
      <c r="K3781" s="80"/>
    </row>
    <row r="3782" spans="1:11" ht="15" customHeight="1" x14ac:dyDescent="0.25">
      <c r="A3782" s="80" t="s">
        <v>5326</v>
      </c>
      <c r="B3782" s="80" t="s">
        <v>4370</v>
      </c>
      <c r="C3782" s="80"/>
      <c r="D3782" s="80"/>
      <c r="E3782" s="80"/>
      <c r="F3782" s="80"/>
      <c r="G3782" s="81"/>
      <c r="H3782" s="80"/>
      <c r="I3782" s="137"/>
      <c r="J3782" s="80"/>
      <c r="K3782" s="80"/>
    </row>
    <row r="3783" spans="1:11" ht="15" customHeight="1" x14ac:dyDescent="0.25">
      <c r="A3783" s="80" t="s">
        <v>5327</v>
      </c>
      <c r="B3783" s="80" t="s">
        <v>5247</v>
      </c>
      <c r="C3783" s="80"/>
      <c r="D3783" s="80"/>
      <c r="E3783" s="80"/>
      <c r="F3783" s="80"/>
      <c r="G3783" s="81"/>
      <c r="H3783" s="80"/>
      <c r="I3783" s="137"/>
      <c r="J3783" s="80"/>
      <c r="K3783" s="80"/>
    </row>
    <row r="3784" spans="1:11" ht="15" customHeight="1" x14ac:dyDescent="0.25">
      <c r="A3784" s="80" t="s">
        <v>5328</v>
      </c>
      <c r="B3784" s="80" t="s">
        <v>4790</v>
      </c>
      <c r="C3784" s="80"/>
      <c r="D3784" s="80"/>
      <c r="E3784" s="80"/>
      <c r="F3784" s="80"/>
      <c r="G3784" s="81"/>
      <c r="H3784" s="80"/>
      <c r="I3784" s="137"/>
      <c r="J3784" s="80"/>
      <c r="K3784" s="80"/>
    </row>
    <row r="3785" spans="1:11" ht="15" customHeight="1" x14ac:dyDescent="0.25">
      <c r="A3785" s="80" t="s">
        <v>5329</v>
      </c>
      <c r="B3785" s="80" t="s">
        <v>5330</v>
      </c>
      <c r="C3785" s="80"/>
      <c r="D3785" s="80"/>
      <c r="E3785" s="80"/>
      <c r="F3785" s="80"/>
      <c r="G3785" s="81"/>
      <c r="H3785" s="80"/>
      <c r="I3785" s="137"/>
      <c r="J3785" s="80"/>
      <c r="K3785" s="80"/>
    </row>
    <row r="3786" spans="1:11" ht="99" customHeight="1" x14ac:dyDescent="0.25">
      <c r="A3786" s="82" t="s">
        <v>4517</v>
      </c>
      <c r="B3786" s="83" t="s">
        <v>4518</v>
      </c>
      <c r="C3786" s="83"/>
      <c r="D3786" s="83"/>
      <c r="E3786" s="83" t="s">
        <v>4228</v>
      </c>
      <c r="F3786" s="82" t="s">
        <v>78</v>
      </c>
      <c r="G3786" s="82">
        <v>4</v>
      </c>
      <c r="H3786" s="82"/>
      <c r="I3786" s="138">
        <f>H3786*G3786</f>
        <v>0</v>
      </c>
      <c r="J3786" s="82" t="s">
        <v>4519</v>
      </c>
      <c r="K3786" s="83" t="s">
        <v>4520</v>
      </c>
    </row>
    <row r="3787" spans="1:11" ht="15" customHeight="1" x14ac:dyDescent="0.25">
      <c r="A3787" s="82" t="s">
        <v>4236</v>
      </c>
      <c r="B3787" s="83" t="s">
        <v>4237</v>
      </c>
      <c r="C3787" s="83"/>
      <c r="D3787" s="83"/>
      <c r="E3787" s="83" t="s">
        <v>4228</v>
      </c>
      <c r="F3787" s="82" t="s">
        <v>78</v>
      </c>
      <c r="G3787" s="82">
        <v>2</v>
      </c>
      <c r="H3787" s="82">
        <v>700</v>
      </c>
      <c r="I3787" s="138">
        <f>H3787*G3787</f>
        <v>1400</v>
      </c>
      <c r="J3787" s="82"/>
      <c r="K3787" s="83"/>
    </row>
    <row r="3788" spans="1:11" ht="15" customHeight="1" x14ac:dyDescent="0.25">
      <c r="A3788" s="82" t="s">
        <v>4484</v>
      </c>
      <c r="B3788" s="83" t="s">
        <v>4500</v>
      </c>
      <c r="C3788" s="83"/>
      <c r="D3788" s="83"/>
      <c r="E3788" s="83" t="s">
        <v>4228</v>
      </c>
      <c r="F3788" s="82" t="s">
        <v>78</v>
      </c>
      <c r="G3788" s="82">
        <v>4</v>
      </c>
      <c r="H3788" s="82"/>
      <c r="I3788" s="138">
        <f>H3788*G3788</f>
        <v>0</v>
      </c>
      <c r="J3788" s="82"/>
      <c r="K3788" s="83"/>
    </row>
    <row r="3789" spans="1:11" ht="39" customHeight="1" x14ac:dyDescent="0.25">
      <c r="A3789" s="82" t="s">
        <v>4486</v>
      </c>
      <c r="B3789" s="83" t="s">
        <v>4487</v>
      </c>
      <c r="C3789" s="83"/>
      <c r="D3789" s="83"/>
      <c r="E3789" s="83" t="s">
        <v>4228</v>
      </c>
      <c r="F3789" s="82" t="s">
        <v>78</v>
      </c>
      <c r="G3789" s="82">
        <v>1</v>
      </c>
      <c r="H3789" s="82">
        <v>9600</v>
      </c>
      <c r="I3789" s="138">
        <f>H3789*G3789</f>
        <v>9600</v>
      </c>
      <c r="J3789" s="82"/>
      <c r="K3789" s="83"/>
    </row>
    <row r="3790" spans="1:11" ht="15" customHeight="1" x14ac:dyDescent="0.25">
      <c r="A3790" s="82" t="s">
        <v>4236</v>
      </c>
      <c r="B3790" s="83" t="s">
        <v>4343</v>
      </c>
      <c r="C3790" s="83"/>
      <c r="D3790" s="83"/>
      <c r="E3790" s="83" t="s">
        <v>4228</v>
      </c>
      <c r="F3790" s="82" t="s">
        <v>78</v>
      </c>
      <c r="G3790" s="82">
        <v>2</v>
      </c>
      <c r="H3790" s="82">
        <v>1570</v>
      </c>
      <c r="I3790" s="138">
        <f>H3790*G3790</f>
        <v>3140</v>
      </c>
      <c r="J3790" s="82"/>
      <c r="K3790" s="83"/>
    </row>
    <row r="3791" spans="1:11" ht="15" customHeight="1" x14ac:dyDescent="0.25">
      <c r="A3791" s="80" t="s">
        <v>5331</v>
      </c>
      <c r="B3791" s="80" t="s">
        <v>5332</v>
      </c>
      <c r="C3791" s="80"/>
      <c r="D3791" s="80"/>
      <c r="E3791" s="80"/>
      <c r="F3791" s="80"/>
      <c r="G3791" s="81"/>
      <c r="H3791" s="80"/>
      <c r="I3791" s="137"/>
      <c r="J3791" s="80"/>
      <c r="K3791" s="80"/>
    </row>
    <row r="3792" spans="1:11" ht="39" customHeight="1" x14ac:dyDescent="0.25">
      <c r="A3792" s="82" t="s">
        <v>4236</v>
      </c>
      <c r="B3792" s="83" t="s">
        <v>4497</v>
      </c>
      <c r="C3792" s="83"/>
      <c r="D3792" s="83"/>
      <c r="E3792" s="83" t="s">
        <v>4228</v>
      </c>
      <c r="F3792" s="82" t="s">
        <v>47</v>
      </c>
      <c r="G3792" s="82">
        <v>1</v>
      </c>
      <c r="H3792" s="82"/>
      <c r="I3792" s="138">
        <f>H3792*G3792</f>
        <v>0</v>
      </c>
      <c r="J3792" s="82"/>
      <c r="K3792" s="83"/>
    </row>
    <row r="3793" spans="1:11" ht="15" customHeight="1" x14ac:dyDescent="0.25">
      <c r="A3793" s="80" t="s">
        <v>5333</v>
      </c>
      <c r="B3793" s="80" t="s">
        <v>5334</v>
      </c>
      <c r="C3793" s="80"/>
      <c r="D3793" s="80"/>
      <c r="E3793" s="80"/>
      <c r="F3793" s="80"/>
      <c r="G3793" s="81"/>
      <c r="H3793" s="80"/>
      <c r="I3793" s="137"/>
      <c r="J3793" s="80"/>
      <c r="K3793" s="80"/>
    </row>
    <row r="3794" spans="1:11" ht="15" customHeight="1" x14ac:dyDescent="0.25">
      <c r="A3794" s="82" t="s">
        <v>4236</v>
      </c>
      <c r="B3794" s="83" t="s">
        <v>4494</v>
      </c>
      <c r="C3794" s="83"/>
      <c r="D3794" s="83"/>
      <c r="E3794" s="83" t="s">
        <v>4228</v>
      </c>
      <c r="F3794" s="82" t="s">
        <v>78</v>
      </c>
      <c r="G3794" s="82">
        <v>1</v>
      </c>
      <c r="H3794" s="82">
        <v>3270</v>
      </c>
      <c r="I3794" s="138">
        <f>H3794*G3794</f>
        <v>3270</v>
      </c>
      <c r="J3794" s="82"/>
      <c r="K3794" s="83"/>
    </row>
    <row r="3795" spans="1:11" ht="27" customHeight="1" x14ac:dyDescent="0.25">
      <c r="A3795" s="82" t="s">
        <v>4236</v>
      </c>
      <c r="B3795" s="83" t="s">
        <v>4491</v>
      </c>
      <c r="C3795" s="83"/>
      <c r="D3795" s="83"/>
      <c r="E3795" s="83" t="s">
        <v>4228</v>
      </c>
      <c r="F3795" s="82" t="s">
        <v>78</v>
      </c>
      <c r="G3795" s="82">
        <v>1</v>
      </c>
      <c r="H3795" s="82">
        <v>16500</v>
      </c>
      <c r="I3795" s="138">
        <f>H3795*G3795</f>
        <v>16500</v>
      </c>
      <c r="J3795" s="82"/>
      <c r="K3795" s="83"/>
    </row>
    <row r="3796" spans="1:11" ht="15" customHeight="1" x14ac:dyDescent="0.25">
      <c r="A3796" s="80" t="s">
        <v>5335</v>
      </c>
      <c r="B3796" s="80" t="s">
        <v>5336</v>
      </c>
      <c r="C3796" s="80"/>
      <c r="D3796" s="80"/>
      <c r="E3796" s="80"/>
      <c r="F3796" s="80"/>
      <c r="G3796" s="81"/>
      <c r="H3796" s="80"/>
      <c r="I3796" s="137"/>
      <c r="J3796" s="80"/>
      <c r="K3796" s="80"/>
    </row>
    <row r="3797" spans="1:11" ht="27" customHeight="1" x14ac:dyDescent="0.25">
      <c r="A3797" s="82" t="s">
        <v>4236</v>
      </c>
      <c r="B3797" s="83" t="s">
        <v>4491</v>
      </c>
      <c r="C3797" s="83"/>
      <c r="D3797" s="83"/>
      <c r="E3797" s="83" t="s">
        <v>4228</v>
      </c>
      <c r="F3797" s="82" t="s">
        <v>78</v>
      </c>
      <c r="G3797" s="82">
        <v>1</v>
      </c>
      <c r="H3797" s="82">
        <v>16500</v>
      </c>
      <c r="I3797" s="138">
        <f>H3797*G3797</f>
        <v>16500</v>
      </c>
      <c r="J3797" s="82"/>
      <c r="K3797" s="83"/>
    </row>
    <row r="3798" spans="1:11" ht="15" customHeight="1" x14ac:dyDescent="0.25">
      <c r="A3798" s="82" t="s">
        <v>4236</v>
      </c>
      <c r="B3798" s="83" t="s">
        <v>4334</v>
      </c>
      <c r="C3798" s="83"/>
      <c r="D3798" s="83"/>
      <c r="E3798" s="83" t="s">
        <v>4228</v>
      </c>
      <c r="F3798" s="82" t="s">
        <v>78</v>
      </c>
      <c r="G3798" s="82">
        <v>1</v>
      </c>
      <c r="H3798" s="82">
        <v>4500</v>
      </c>
      <c r="I3798" s="138">
        <f>H3798*G3798</f>
        <v>4500</v>
      </c>
      <c r="J3798" s="82"/>
      <c r="K3798" s="83"/>
    </row>
    <row r="3799" spans="1:11" ht="15" customHeight="1" x14ac:dyDescent="0.25">
      <c r="A3799" s="82" t="s">
        <v>4236</v>
      </c>
      <c r="B3799" s="83" t="s">
        <v>4389</v>
      </c>
      <c r="C3799" s="83"/>
      <c r="D3799" s="83"/>
      <c r="E3799" s="83" t="s">
        <v>4544</v>
      </c>
      <c r="F3799" s="82" t="s">
        <v>78</v>
      </c>
      <c r="G3799" s="82">
        <v>1</v>
      </c>
      <c r="H3799" s="82">
        <v>4090</v>
      </c>
      <c r="I3799" s="138">
        <f>H3799*G3799</f>
        <v>4090</v>
      </c>
      <c r="J3799" s="82"/>
      <c r="K3799" s="83"/>
    </row>
    <row r="3800" spans="1:11" ht="15" customHeight="1" x14ac:dyDescent="0.25">
      <c r="A3800" s="82" t="s">
        <v>4236</v>
      </c>
      <c r="B3800" s="83" t="s">
        <v>4492</v>
      </c>
      <c r="C3800" s="83"/>
      <c r="D3800" s="83"/>
      <c r="E3800" s="83" t="s">
        <v>4228</v>
      </c>
      <c r="F3800" s="82" t="s">
        <v>78</v>
      </c>
      <c r="G3800" s="82">
        <v>1</v>
      </c>
      <c r="H3800" s="82">
        <v>4720</v>
      </c>
      <c r="I3800" s="138">
        <f>H3800*G3800</f>
        <v>4720</v>
      </c>
      <c r="J3800" s="82"/>
      <c r="K3800" s="83"/>
    </row>
    <row r="3801" spans="1:11" ht="15" customHeight="1" x14ac:dyDescent="0.25">
      <c r="A3801" s="82" t="s">
        <v>4236</v>
      </c>
      <c r="B3801" s="83" t="s">
        <v>4493</v>
      </c>
      <c r="C3801" s="83"/>
      <c r="D3801" s="83"/>
      <c r="E3801" s="83" t="s">
        <v>4228</v>
      </c>
      <c r="F3801" s="82" t="s">
        <v>78</v>
      </c>
      <c r="G3801" s="82">
        <v>1</v>
      </c>
      <c r="H3801" s="82">
        <v>760</v>
      </c>
      <c r="I3801" s="138">
        <f>H3801*G3801</f>
        <v>760</v>
      </c>
      <c r="J3801" s="82"/>
      <c r="K3801" s="83"/>
    </row>
    <row r="3802" spans="1:11" ht="15" customHeight="1" x14ac:dyDescent="0.25">
      <c r="A3802" s="80" t="s">
        <v>5337</v>
      </c>
      <c r="B3802" s="80" t="s">
        <v>5338</v>
      </c>
      <c r="C3802" s="80"/>
      <c r="D3802" s="80"/>
      <c r="E3802" s="80"/>
      <c r="F3802" s="80"/>
      <c r="G3802" s="81"/>
      <c r="H3802" s="80"/>
      <c r="I3802" s="137"/>
      <c r="J3802" s="80"/>
      <c r="K3802" s="80"/>
    </row>
    <row r="3803" spans="1:11" ht="15" customHeight="1" x14ac:dyDescent="0.25">
      <c r="A3803" s="82" t="s">
        <v>4278</v>
      </c>
      <c r="B3803" s="83" t="s">
        <v>4279</v>
      </c>
      <c r="C3803" s="83"/>
      <c r="D3803" s="83"/>
      <c r="E3803" s="83" t="s">
        <v>4228</v>
      </c>
      <c r="F3803" s="82" t="s">
        <v>78</v>
      </c>
      <c r="G3803" s="82">
        <v>1</v>
      </c>
      <c r="H3803" s="82"/>
      <c r="I3803" s="138">
        <f t="shared" ref="I3803:I3814" si="168">H3803*G3803</f>
        <v>0</v>
      </c>
      <c r="J3803" s="82"/>
      <c r="K3803" s="83"/>
    </row>
    <row r="3804" spans="1:11" ht="15" customHeight="1" x14ac:dyDescent="0.25">
      <c r="A3804" s="82" t="s">
        <v>4794</v>
      </c>
      <c r="B3804" s="83" t="s">
        <v>4795</v>
      </c>
      <c r="C3804" s="83"/>
      <c r="D3804" s="83"/>
      <c r="E3804" s="83" t="s">
        <v>4228</v>
      </c>
      <c r="F3804" s="82" t="s">
        <v>78</v>
      </c>
      <c r="G3804" s="82">
        <v>1</v>
      </c>
      <c r="H3804" s="82"/>
      <c r="I3804" s="138">
        <f t="shared" si="168"/>
        <v>0</v>
      </c>
      <c r="J3804" s="82"/>
      <c r="K3804" s="83"/>
    </row>
    <row r="3805" spans="1:11" ht="27" customHeight="1" x14ac:dyDescent="0.25">
      <c r="A3805" s="82" t="s">
        <v>4283</v>
      </c>
      <c r="B3805" s="83" t="s">
        <v>4284</v>
      </c>
      <c r="C3805" s="83"/>
      <c r="D3805" s="83"/>
      <c r="E3805" s="83" t="s">
        <v>4228</v>
      </c>
      <c r="F3805" s="82" t="s">
        <v>78</v>
      </c>
      <c r="G3805" s="82">
        <v>1</v>
      </c>
      <c r="H3805" s="82">
        <v>7000</v>
      </c>
      <c r="I3805" s="138">
        <f t="shared" si="168"/>
        <v>7000</v>
      </c>
      <c r="J3805" s="82"/>
      <c r="K3805" s="83"/>
    </row>
    <row r="3806" spans="1:11" ht="15" customHeight="1" x14ac:dyDescent="0.25">
      <c r="A3806" s="82" t="s">
        <v>4276</v>
      </c>
      <c r="B3806" s="83" t="s">
        <v>4277</v>
      </c>
      <c r="C3806" s="83"/>
      <c r="D3806" s="83"/>
      <c r="E3806" s="83" t="s">
        <v>4228</v>
      </c>
      <c r="F3806" s="82" t="s">
        <v>78</v>
      </c>
      <c r="G3806" s="82">
        <v>1</v>
      </c>
      <c r="H3806" s="82"/>
      <c r="I3806" s="138">
        <f t="shared" si="168"/>
        <v>0</v>
      </c>
      <c r="J3806" s="82"/>
      <c r="K3806" s="83"/>
    </row>
    <row r="3807" spans="1:11" ht="27" customHeight="1" x14ac:dyDescent="0.25">
      <c r="A3807" s="82" t="s">
        <v>4242</v>
      </c>
      <c r="B3807" s="83" t="s">
        <v>4313</v>
      </c>
      <c r="C3807" s="83" t="s">
        <v>4282</v>
      </c>
      <c r="D3807" s="83"/>
      <c r="E3807" s="83" t="s">
        <v>4228</v>
      </c>
      <c r="F3807" s="82" t="s">
        <v>78</v>
      </c>
      <c r="G3807" s="82">
        <v>4</v>
      </c>
      <c r="H3807" s="82">
        <v>1950</v>
      </c>
      <c r="I3807" s="138">
        <f t="shared" si="168"/>
        <v>7800</v>
      </c>
      <c r="J3807" s="82"/>
      <c r="K3807" s="83" t="s">
        <v>4246</v>
      </c>
    </row>
    <row r="3808" spans="1:11" ht="27" customHeight="1" x14ac:dyDescent="0.25">
      <c r="A3808" s="82" t="s">
        <v>3094</v>
      </c>
      <c r="B3808" s="83" t="s">
        <v>4291</v>
      </c>
      <c r="C3808" s="83"/>
      <c r="D3808" s="83"/>
      <c r="E3808" s="83" t="s">
        <v>4228</v>
      </c>
      <c r="F3808" s="82" t="s">
        <v>78</v>
      </c>
      <c r="G3808" s="82">
        <v>1</v>
      </c>
      <c r="H3808" s="82">
        <v>30000</v>
      </c>
      <c r="I3808" s="138">
        <f t="shared" si="168"/>
        <v>30000</v>
      </c>
      <c r="J3808" s="82"/>
      <c r="K3808" s="83"/>
    </row>
    <row r="3809" spans="1:11" ht="15" customHeight="1" x14ac:dyDescent="0.25">
      <c r="A3809" s="82" t="s">
        <v>4285</v>
      </c>
      <c r="B3809" s="83" t="s">
        <v>4286</v>
      </c>
      <c r="C3809" s="83"/>
      <c r="D3809" s="83"/>
      <c r="E3809" s="83" t="s">
        <v>4228</v>
      </c>
      <c r="F3809" s="82" t="s">
        <v>78</v>
      </c>
      <c r="G3809" s="82">
        <v>1</v>
      </c>
      <c r="H3809" s="82">
        <v>3000</v>
      </c>
      <c r="I3809" s="138">
        <f t="shared" si="168"/>
        <v>3000</v>
      </c>
      <c r="J3809" s="82"/>
      <c r="K3809" s="83"/>
    </row>
    <row r="3810" spans="1:11" ht="39" customHeight="1" x14ac:dyDescent="0.25">
      <c r="A3810" s="82" t="s">
        <v>4274</v>
      </c>
      <c r="B3810" s="83" t="s">
        <v>4275</v>
      </c>
      <c r="C3810" s="83"/>
      <c r="D3810" s="83"/>
      <c r="E3810" s="83" t="s">
        <v>4228</v>
      </c>
      <c r="F3810" s="82" t="s">
        <v>78</v>
      </c>
      <c r="G3810" s="82">
        <v>1</v>
      </c>
      <c r="H3810" s="82">
        <v>23400</v>
      </c>
      <c r="I3810" s="138">
        <f t="shared" si="168"/>
        <v>23400</v>
      </c>
      <c r="J3810" s="82"/>
      <c r="K3810" s="83"/>
    </row>
    <row r="3811" spans="1:11" ht="27" customHeight="1" x14ac:dyDescent="0.25">
      <c r="A3811" s="82" t="s">
        <v>4280</v>
      </c>
      <c r="B3811" s="83" t="s">
        <v>4281</v>
      </c>
      <c r="C3811" s="83"/>
      <c r="D3811" s="83"/>
      <c r="E3811" s="83" t="s">
        <v>4228</v>
      </c>
      <c r="F3811" s="82" t="s">
        <v>78</v>
      </c>
      <c r="G3811" s="82">
        <v>1</v>
      </c>
      <c r="H3811" s="82">
        <v>32200</v>
      </c>
      <c r="I3811" s="138">
        <f t="shared" si="168"/>
        <v>32200</v>
      </c>
      <c r="J3811" s="82"/>
      <c r="K3811" s="83"/>
    </row>
    <row r="3812" spans="1:11" ht="15" customHeight="1" x14ac:dyDescent="0.25">
      <c r="A3812" s="82" t="s">
        <v>4236</v>
      </c>
      <c r="B3812" s="83" t="s">
        <v>4755</v>
      </c>
      <c r="C3812" s="83"/>
      <c r="D3812" s="83"/>
      <c r="E3812" s="83" t="s">
        <v>4228</v>
      </c>
      <c r="F3812" s="82" t="s">
        <v>78</v>
      </c>
      <c r="G3812" s="82">
        <v>1</v>
      </c>
      <c r="H3812" s="82"/>
      <c r="I3812" s="138">
        <f t="shared" si="168"/>
        <v>0</v>
      </c>
      <c r="J3812" s="82"/>
      <c r="K3812" s="83"/>
    </row>
    <row r="3813" spans="1:11" ht="15" customHeight="1" x14ac:dyDescent="0.25">
      <c r="A3813" s="82" t="s">
        <v>4236</v>
      </c>
      <c r="B3813" s="83" t="s">
        <v>4514</v>
      </c>
      <c r="C3813" s="83"/>
      <c r="D3813" s="83"/>
      <c r="E3813" s="83" t="s">
        <v>4228</v>
      </c>
      <c r="F3813" s="82" t="s">
        <v>78</v>
      </c>
      <c r="G3813" s="82">
        <v>1</v>
      </c>
      <c r="H3813" s="82">
        <v>4790</v>
      </c>
      <c r="I3813" s="138">
        <f t="shared" si="168"/>
        <v>4790</v>
      </c>
      <c r="J3813" s="82"/>
      <c r="K3813" s="83"/>
    </row>
    <row r="3814" spans="1:11" ht="15" customHeight="1" x14ac:dyDescent="0.25">
      <c r="A3814" s="82" t="s">
        <v>4236</v>
      </c>
      <c r="B3814" s="83" t="s">
        <v>4237</v>
      </c>
      <c r="C3814" s="83"/>
      <c r="D3814" s="83"/>
      <c r="E3814" s="83" t="s">
        <v>4228</v>
      </c>
      <c r="F3814" s="82" t="s">
        <v>78</v>
      </c>
      <c r="G3814" s="82">
        <v>1</v>
      </c>
      <c r="H3814" s="82">
        <v>700</v>
      </c>
      <c r="I3814" s="138">
        <f t="shared" si="168"/>
        <v>700</v>
      </c>
      <c r="J3814" s="82"/>
      <c r="K3814" s="83"/>
    </row>
    <row r="3815" spans="1:11" ht="15" customHeight="1" x14ac:dyDescent="0.25">
      <c r="A3815" s="80" t="s">
        <v>5339</v>
      </c>
      <c r="B3815" s="80" t="s">
        <v>5340</v>
      </c>
      <c r="C3815" s="80"/>
      <c r="D3815" s="80"/>
      <c r="E3815" s="80"/>
      <c r="F3815" s="80"/>
      <c r="G3815" s="81"/>
      <c r="H3815" s="80"/>
      <c r="I3815" s="137"/>
      <c r="J3815" s="80"/>
      <c r="K3815" s="80"/>
    </row>
    <row r="3816" spans="1:11" ht="39" customHeight="1" x14ac:dyDescent="0.25">
      <c r="A3816" s="82" t="s">
        <v>4819</v>
      </c>
      <c r="B3816" s="83" t="s">
        <v>4820</v>
      </c>
      <c r="C3816" s="83" t="s">
        <v>4821</v>
      </c>
      <c r="D3816" s="83"/>
      <c r="E3816" s="83" t="s">
        <v>4228</v>
      </c>
      <c r="F3816" s="82" t="s">
        <v>78</v>
      </c>
      <c r="G3816" s="82">
        <v>4</v>
      </c>
      <c r="H3816" s="82"/>
      <c r="I3816" s="138">
        <f>H3816*G3816</f>
        <v>0</v>
      </c>
      <c r="J3816" s="82"/>
      <c r="K3816" s="83"/>
    </row>
    <row r="3817" spans="1:11" ht="15" customHeight="1" x14ac:dyDescent="0.25">
      <c r="A3817" s="82" t="s">
        <v>4236</v>
      </c>
      <c r="B3817" s="83" t="s">
        <v>4237</v>
      </c>
      <c r="C3817" s="83"/>
      <c r="D3817" s="83"/>
      <c r="E3817" s="83" t="s">
        <v>4228</v>
      </c>
      <c r="F3817" s="82" t="s">
        <v>78</v>
      </c>
      <c r="G3817" s="82">
        <v>2</v>
      </c>
      <c r="H3817" s="82">
        <v>700</v>
      </c>
      <c r="I3817" s="138">
        <f>H3817*G3817</f>
        <v>1400</v>
      </c>
      <c r="J3817" s="82"/>
      <c r="K3817" s="83"/>
    </row>
    <row r="3818" spans="1:11" ht="15" customHeight="1" x14ac:dyDescent="0.25">
      <c r="A3818" s="82" t="s">
        <v>4484</v>
      </c>
      <c r="B3818" s="83" t="s">
        <v>4500</v>
      </c>
      <c r="C3818" s="83"/>
      <c r="D3818" s="83"/>
      <c r="E3818" s="83" t="s">
        <v>4228</v>
      </c>
      <c r="F3818" s="82" t="s">
        <v>78</v>
      </c>
      <c r="G3818" s="82">
        <v>3</v>
      </c>
      <c r="H3818" s="82"/>
      <c r="I3818" s="138">
        <f>H3818*G3818</f>
        <v>0</v>
      </c>
      <c r="J3818" s="82"/>
      <c r="K3818" s="83"/>
    </row>
    <row r="3819" spans="1:11" ht="39" customHeight="1" x14ac:dyDescent="0.25">
      <c r="A3819" s="82" t="s">
        <v>4486</v>
      </c>
      <c r="B3819" s="83" t="s">
        <v>4487</v>
      </c>
      <c r="C3819" s="83"/>
      <c r="D3819" s="83"/>
      <c r="E3819" s="83" t="s">
        <v>4228</v>
      </c>
      <c r="F3819" s="82" t="s">
        <v>78</v>
      </c>
      <c r="G3819" s="82">
        <v>1</v>
      </c>
      <c r="H3819" s="82">
        <v>9600</v>
      </c>
      <c r="I3819" s="138">
        <f>H3819*G3819</f>
        <v>9600</v>
      </c>
      <c r="J3819" s="82"/>
      <c r="K3819" s="83"/>
    </row>
    <row r="3820" spans="1:11" ht="15" customHeight="1" x14ac:dyDescent="0.25">
      <c r="A3820" s="82" t="s">
        <v>4236</v>
      </c>
      <c r="B3820" s="83" t="s">
        <v>4343</v>
      </c>
      <c r="C3820" s="83"/>
      <c r="D3820" s="83"/>
      <c r="E3820" s="83" t="s">
        <v>4228</v>
      </c>
      <c r="F3820" s="82" t="s">
        <v>78</v>
      </c>
      <c r="G3820" s="82">
        <v>2</v>
      </c>
      <c r="H3820" s="82">
        <v>1570</v>
      </c>
      <c r="I3820" s="138">
        <f>H3820*G3820</f>
        <v>3140</v>
      </c>
      <c r="J3820" s="82"/>
      <c r="K3820" s="83"/>
    </row>
    <row r="3821" spans="1:11" ht="15" customHeight="1" x14ac:dyDescent="0.25">
      <c r="A3821" s="80" t="s">
        <v>5341</v>
      </c>
      <c r="B3821" s="80" t="s">
        <v>5342</v>
      </c>
      <c r="C3821" s="80"/>
      <c r="D3821" s="80"/>
      <c r="E3821" s="80"/>
      <c r="F3821" s="80"/>
      <c r="G3821" s="81"/>
      <c r="H3821" s="80"/>
      <c r="I3821" s="137"/>
      <c r="J3821" s="80"/>
      <c r="K3821" s="80"/>
    </row>
    <row r="3822" spans="1:11" ht="39" customHeight="1" x14ac:dyDescent="0.25">
      <c r="A3822" s="82" t="s">
        <v>4236</v>
      </c>
      <c r="B3822" s="83" t="s">
        <v>4497</v>
      </c>
      <c r="C3822" s="83"/>
      <c r="D3822" s="83"/>
      <c r="E3822" s="83" t="s">
        <v>4228</v>
      </c>
      <c r="F3822" s="82" t="s">
        <v>47</v>
      </c>
      <c r="G3822" s="82">
        <v>1</v>
      </c>
      <c r="H3822" s="82"/>
      <c r="I3822" s="138">
        <f>H3822*G3822</f>
        <v>0</v>
      </c>
      <c r="J3822" s="82"/>
      <c r="K3822" s="83"/>
    </row>
    <row r="3823" spans="1:11" ht="15" customHeight="1" x14ac:dyDescent="0.25">
      <c r="A3823" s="80" t="s">
        <v>5343</v>
      </c>
      <c r="B3823" s="80" t="s">
        <v>5344</v>
      </c>
      <c r="C3823" s="80"/>
      <c r="D3823" s="80"/>
      <c r="E3823" s="80"/>
      <c r="F3823" s="80"/>
      <c r="G3823" s="81"/>
      <c r="H3823" s="80"/>
      <c r="I3823" s="137"/>
      <c r="J3823" s="80"/>
      <c r="K3823" s="80"/>
    </row>
    <row r="3824" spans="1:11" ht="15" customHeight="1" x14ac:dyDescent="0.25">
      <c r="A3824" s="82" t="s">
        <v>4236</v>
      </c>
      <c r="B3824" s="83" t="s">
        <v>4494</v>
      </c>
      <c r="C3824" s="83"/>
      <c r="D3824" s="83"/>
      <c r="E3824" s="83" t="s">
        <v>4228</v>
      </c>
      <c r="F3824" s="82" t="s">
        <v>78</v>
      </c>
      <c r="G3824" s="82">
        <v>1</v>
      </c>
      <c r="H3824" s="82">
        <v>3270</v>
      </c>
      <c r="I3824" s="138">
        <f>H3824*G3824</f>
        <v>3270</v>
      </c>
      <c r="J3824" s="82"/>
      <c r="K3824" s="83"/>
    </row>
    <row r="3825" spans="1:11" ht="27" customHeight="1" x14ac:dyDescent="0.25">
      <c r="A3825" s="82" t="s">
        <v>4236</v>
      </c>
      <c r="B3825" s="83" t="s">
        <v>4491</v>
      </c>
      <c r="C3825" s="83"/>
      <c r="D3825" s="83"/>
      <c r="E3825" s="83" t="s">
        <v>4228</v>
      </c>
      <c r="F3825" s="82" t="s">
        <v>78</v>
      </c>
      <c r="G3825" s="82">
        <v>1</v>
      </c>
      <c r="H3825" s="82">
        <v>16500</v>
      </c>
      <c r="I3825" s="138">
        <f>H3825*G3825</f>
        <v>16500</v>
      </c>
      <c r="J3825" s="82"/>
      <c r="K3825" s="83"/>
    </row>
    <row r="3826" spans="1:11" ht="15" customHeight="1" x14ac:dyDescent="0.25">
      <c r="A3826" s="80" t="s">
        <v>5345</v>
      </c>
      <c r="B3826" s="80" t="s">
        <v>5346</v>
      </c>
      <c r="C3826" s="80"/>
      <c r="D3826" s="80"/>
      <c r="E3826" s="80"/>
      <c r="F3826" s="80"/>
      <c r="G3826" s="81"/>
      <c r="H3826" s="80"/>
      <c r="I3826" s="137"/>
      <c r="J3826" s="80"/>
      <c r="K3826" s="80"/>
    </row>
    <row r="3827" spans="1:11" ht="27" customHeight="1" x14ac:dyDescent="0.25">
      <c r="A3827" s="82" t="s">
        <v>4236</v>
      </c>
      <c r="B3827" s="83" t="s">
        <v>4491</v>
      </c>
      <c r="C3827" s="83"/>
      <c r="D3827" s="83"/>
      <c r="E3827" s="83" t="s">
        <v>4228</v>
      </c>
      <c r="F3827" s="82" t="s">
        <v>78</v>
      </c>
      <c r="G3827" s="82">
        <v>1</v>
      </c>
      <c r="H3827" s="82">
        <v>16500</v>
      </c>
      <c r="I3827" s="138">
        <f>H3827*G3827</f>
        <v>16500</v>
      </c>
      <c r="J3827" s="82"/>
      <c r="K3827" s="83"/>
    </row>
    <row r="3828" spans="1:11" ht="15" customHeight="1" x14ac:dyDescent="0.25">
      <c r="A3828" s="82" t="s">
        <v>4236</v>
      </c>
      <c r="B3828" s="83" t="s">
        <v>4334</v>
      </c>
      <c r="C3828" s="83"/>
      <c r="D3828" s="83"/>
      <c r="E3828" s="83" t="s">
        <v>4228</v>
      </c>
      <c r="F3828" s="82" t="s">
        <v>78</v>
      </c>
      <c r="G3828" s="82">
        <v>1</v>
      </c>
      <c r="H3828" s="82">
        <v>4500</v>
      </c>
      <c r="I3828" s="138">
        <f>H3828*G3828</f>
        <v>4500</v>
      </c>
      <c r="J3828" s="82"/>
      <c r="K3828" s="83"/>
    </row>
    <row r="3829" spans="1:11" ht="15" customHeight="1" x14ac:dyDescent="0.25">
      <c r="A3829" s="82" t="s">
        <v>4236</v>
      </c>
      <c r="B3829" s="83" t="s">
        <v>4389</v>
      </c>
      <c r="C3829" s="83"/>
      <c r="D3829" s="83"/>
      <c r="E3829" s="83" t="s">
        <v>4544</v>
      </c>
      <c r="F3829" s="82" t="s">
        <v>78</v>
      </c>
      <c r="G3829" s="82">
        <v>1</v>
      </c>
      <c r="H3829" s="82">
        <v>4090</v>
      </c>
      <c r="I3829" s="138">
        <f>H3829*G3829</f>
        <v>4090</v>
      </c>
      <c r="J3829" s="82"/>
      <c r="K3829" s="83"/>
    </row>
    <row r="3830" spans="1:11" ht="15" customHeight="1" x14ac:dyDescent="0.25">
      <c r="A3830" s="82" t="s">
        <v>4236</v>
      </c>
      <c r="B3830" s="83" t="s">
        <v>4492</v>
      </c>
      <c r="C3830" s="83"/>
      <c r="D3830" s="83"/>
      <c r="E3830" s="83" t="s">
        <v>4228</v>
      </c>
      <c r="F3830" s="82" t="s">
        <v>78</v>
      </c>
      <c r="G3830" s="82">
        <v>1</v>
      </c>
      <c r="H3830" s="82">
        <v>4720</v>
      </c>
      <c r="I3830" s="138">
        <f>H3830*G3830</f>
        <v>4720</v>
      </c>
      <c r="J3830" s="82"/>
      <c r="K3830" s="83"/>
    </row>
    <row r="3831" spans="1:11" ht="15" customHeight="1" x14ac:dyDescent="0.25">
      <c r="A3831" s="82" t="s">
        <v>4236</v>
      </c>
      <c r="B3831" s="83" t="s">
        <v>4493</v>
      </c>
      <c r="C3831" s="83"/>
      <c r="D3831" s="83"/>
      <c r="E3831" s="83" t="s">
        <v>4228</v>
      </c>
      <c r="F3831" s="82" t="s">
        <v>78</v>
      </c>
      <c r="G3831" s="82">
        <v>1</v>
      </c>
      <c r="H3831" s="82">
        <v>760</v>
      </c>
      <c r="I3831" s="138">
        <f>H3831*G3831</f>
        <v>760</v>
      </c>
      <c r="J3831" s="82"/>
      <c r="K3831" s="83"/>
    </row>
    <row r="3832" spans="1:11" ht="15" customHeight="1" x14ac:dyDescent="0.25">
      <c r="A3832" s="80" t="s">
        <v>5347</v>
      </c>
      <c r="B3832" s="80" t="s">
        <v>5348</v>
      </c>
      <c r="C3832" s="80"/>
      <c r="D3832" s="80"/>
      <c r="E3832" s="80"/>
      <c r="F3832" s="80"/>
      <c r="G3832" s="81"/>
      <c r="H3832" s="80"/>
      <c r="I3832" s="137"/>
      <c r="J3832" s="80"/>
      <c r="K3832" s="80"/>
    </row>
    <row r="3833" spans="1:11" ht="15" customHeight="1" x14ac:dyDescent="0.25">
      <c r="A3833" s="82" t="s">
        <v>4278</v>
      </c>
      <c r="B3833" s="83" t="s">
        <v>4279</v>
      </c>
      <c r="C3833" s="83"/>
      <c r="D3833" s="83"/>
      <c r="E3833" s="83" t="s">
        <v>4228</v>
      </c>
      <c r="F3833" s="82" t="s">
        <v>78</v>
      </c>
      <c r="G3833" s="82">
        <v>1</v>
      </c>
      <c r="H3833" s="82"/>
      <c r="I3833" s="138">
        <f t="shared" ref="I3833:I3846" si="169">H3833*G3833</f>
        <v>0</v>
      </c>
      <c r="J3833" s="82"/>
      <c r="K3833" s="83"/>
    </row>
    <row r="3834" spans="1:11" ht="15" customHeight="1" x14ac:dyDescent="0.25">
      <c r="A3834" s="82" t="s">
        <v>4794</v>
      </c>
      <c r="B3834" s="83" t="s">
        <v>4795</v>
      </c>
      <c r="C3834" s="83"/>
      <c r="D3834" s="83"/>
      <c r="E3834" s="83" t="s">
        <v>4228</v>
      </c>
      <c r="F3834" s="82" t="s">
        <v>78</v>
      </c>
      <c r="G3834" s="82">
        <v>1</v>
      </c>
      <c r="H3834" s="82"/>
      <c r="I3834" s="138">
        <f t="shared" si="169"/>
        <v>0</v>
      </c>
      <c r="J3834" s="82"/>
      <c r="K3834" s="83"/>
    </row>
    <row r="3835" spans="1:11" ht="27" customHeight="1" x14ac:dyDescent="0.25">
      <c r="A3835" s="82" t="s">
        <v>4283</v>
      </c>
      <c r="B3835" s="83" t="s">
        <v>4284</v>
      </c>
      <c r="C3835" s="83"/>
      <c r="D3835" s="83"/>
      <c r="E3835" s="83" t="s">
        <v>4228</v>
      </c>
      <c r="F3835" s="82" t="s">
        <v>78</v>
      </c>
      <c r="G3835" s="82">
        <v>1</v>
      </c>
      <c r="H3835" s="82">
        <v>7000</v>
      </c>
      <c r="I3835" s="138">
        <f t="shared" si="169"/>
        <v>7000</v>
      </c>
      <c r="J3835" s="82"/>
      <c r="K3835" s="83"/>
    </row>
    <row r="3836" spans="1:11" ht="27" customHeight="1" x14ac:dyDescent="0.25">
      <c r="A3836" s="82" t="s">
        <v>3094</v>
      </c>
      <c r="B3836" s="83" t="s">
        <v>4291</v>
      </c>
      <c r="C3836" s="83"/>
      <c r="D3836" s="83"/>
      <c r="E3836" s="83" t="s">
        <v>4228</v>
      </c>
      <c r="F3836" s="82" t="s">
        <v>78</v>
      </c>
      <c r="G3836" s="82">
        <v>1</v>
      </c>
      <c r="H3836" s="82">
        <v>30000</v>
      </c>
      <c r="I3836" s="138">
        <f t="shared" si="169"/>
        <v>30000</v>
      </c>
      <c r="J3836" s="82"/>
      <c r="K3836" s="83"/>
    </row>
    <row r="3837" spans="1:11" ht="15" customHeight="1" x14ac:dyDescent="0.25">
      <c r="A3837" s="82" t="s">
        <v>4285</v>
      </c>
      <c r="B3837" s="83" t="s">
        <v>4286</v>
      </c>
      <c r="C3837" s="83"/>
      <c r="D3837" s="83"/>
      <c r="E3837" s="83" t="s">
        <v>4228</v>
      </c>
      <c r="F3837" s="82" t="s">
        <v>78</v>
      </c>
      <c r="G3837" s="82">
        <v>1</v>
      </c>
      <c r="H3837" s="82">
        <v>3000</v>
      </c>
      <c r="I3837" s="138">
        <f t="shared" si="169"/>
        <v>3000</v>
      </c>
      <c r="J3837" s="82"/>
      <c r="K3837" s="83"/>
    </row>
    <row r="3838" spans="1:11" ht="39" customHeight="1" x14ac:dyDescent="0.25">
      <c r="A3838" s="82" t="s">
        <v>4274</v>
      </c>
      <c r="B3838" s="83" t="s">
        <v>4275</v>
      </c>
      <c r="C3838" s="83"/>
      <c r="D3838" s="83"/>
      <c r="E3838" s="83" t="s">
        <v>4228</v>
      </c>
      <c r="F3838" s="82" t="s">
        <v>78</v>
      </c>
      <c r="G3838" s="82">
        <v>1</v>
      </c>
      <c r="H3838" s="82">
        <v>23400</v>
      </c>
      <c r="I3838" s="138">
        <f t="shared" si="169"/>
        <v>23400</v>
      </c>
      <c r="J3838" s="82"/>
      <c r="K3838" s="83"/>
    </row>
    <row r="3839" spans="1:11" ht="15" customHeight="1" x14ac:dyDescent="0.25">
      <c r="A3839" s="82" t="s">
        <v>5069</v>
      </c>
      <c r="B3839" s="83" t="s">
        <v>5070</v>
      </c>
      <c r="C3839" s="83"/>
      <c r="D3839" s="83"/>
      <c r="E3839" s="83" t="s">
        <v>4228</v>
      </c>
      <c r="F3839" s="82" t="s">
        <v>78</v>
      </c>
      <c r="G3839" s="82">
        <v>1</v>
      </c>
      <c r="H3839" s="82"/>
      <c r="I3839" s="138">
        <f t="shared" si="169"/>
        <v>0</v>
      </c>
      <c r="J3839" s="82"/>
      <c r="K3839" s="83"/>
    </row>
    <row r="3840" spans="1:11" ht="27" customHeight="1" x14ac:dyDescent="0.25">
      <c r="A3840" s="82" t="s">
        <v>4242</v>
      </c>
      <c r="B3840" s="83" t="s">
        <v>4313</v>
      </c>
      <c r="C3840" s="83" t="s">
        <v>4282</v>
      </c>
      <c r="D3840" s="83"/>
      <c r="E3840" s="83" t="s">
        <v>4228</v>
      </c>
      <c r="F3840" s="82" t="s">
        <v>78</v>
      </c>
      <c r="G3840" s="82">
        <v>4</v>
      </c>
      <c r="H3840" s="82">
        <v>1950</v>
      </c>
      <c r="I3840" s="138">
        <f t="shared" si="169"/>
        <v>7800</v>
      </c>
      <c r="J3840" s="82"/>
      <c r="K3840" s="83" t="s">
        <v>4246</v>
      </c>
    </row>
    <row r="3841" spans="1:11" ht="27" customHeight="1" x14ac:dyDescent="0.25">
      <c r="A3841" s="82" t="s">
        <v>4280</v>
      </c>
      <c r="B3841" s="83" t="s">
        <v>4281</v>
      </c>
      <c r="C3841" s="83"/>
      <c r="D3841" s="83"/>
      <c r="E3841" s="83" t="s">
        <v>4228</v>
      </c>
      <c r="F3841" s="82" t="s">
        <v>78</v>
      </c>
      <c r="G3841" s="82">
        <v>1</v>
      </c>
      <c r="H3841" s="82">
        <v>32200</v>
      </c>
      <c r="I3841" s="138">
        <f t="shared" si="169"/>
        <v>32200</v>
      </c>
      <c r="J3841" s="82"/>
      <c r="K3841" s="83"/>
    </row>
    <row r="3842" spans="1:11" ht="15" customHeight="1" x14ac:dyDescent="0.25">
      <c r="A3842" s="82" t="s">
        <v>4276</v>
      </c>
      <c r="B3842" s="83" t="s">
        <v>4277</v>
      </c>
      <c r="C3842" s="83"/>
      <c r="D3842" s="83"/>
      <c r="E3842" s="83" t="s">
        <v>4228</v>
      </c>
      <c r="F3842" s="82" t="s">
        <v>78</v>
      </c>
      <c r="G3842" s="82">
        <v>1</v>
      </c>
      <c r="H3842" s="82"/>
      <c r="I3842" s="138">
        <f t="shared" si="169"/>
        <v>0</v>
      </c>
      <c r="J3842" s="82"/>
      <c r="K3842" s="83"/>
    </row>
    <row r="3843" spans="1:11" ht="15" customHeight="1" x14ac:dyDescent="0.25">
      <c r="A3843" s="82" t="s">
        <v>4236</v>
      </c>
      <c r="B3843" s="83" t="s">
        <v>4389</v>
      </c>
      <c r="C3843" s="83"/>
      <c r="D3843" s="83"/>
      <c r="E3843" s="83" t="s">
        <v>4228</v>
      </c>
      <c r="F3843" s="82" t="s">
        <v>78</v>
      </c>
      <c r="G3843" s="82">
        <v>1</v>
      </c>
      <c r="H3843" s="82">
        <v>4090</v>
      </c>
      <c r="I3843" s="138">
        <f t="shared" si="169"/>
        <v>4090</v>
      </c>
      <c r="J3843" s="82"/>
      <c r="K3843" s="83"/>
    </row>
    <row r="3844" spans="1:11" ht="15" customHeight="1" x14ac:dyDescent="0.25">
      <c r="A3844" s="82" t="s">
        <v>4236</v>
      </c>
      <c r="B3844" s="83" t="s">
        <v>4755</v>
      </c>
      <c r="C3844" s="83"/>
      <c r="D3844" s="83"/>
      <c r="E3844" s="83" t="s">
        <v>4228</v>
      </c>
      <c r="F3844" s="82" t="s">
        <v>78</v>
      </c>
      <c r="G3844" s="82">
        <v>1</v>
      </c>
      <c r="H3844" s="82"/>
      <c r="I3844" s="138">
        <f t="shared" si="169"/>
        <v>0</v>
      </c>
      <c r="J3844" s="82"/>
      <c r="K3844" s="83"/>
    </row>
    <row r="3845" spans="1:11" ht="15" customHeight="1" x14ac:dyDescent="0.25">
      <c r="A3845" s="82" t="s">
        <v>4236</v>
      </c>
      <c r="B3845" s="83" t="s">
        <v>4514</v>
      </c>
      <c r="C3845" s="83"/>
      <c r="D3845" s="83"/>
      <c r="E3845" s="83" t="s">
        <v>4228</v>
      </c>
      <c r="F3845" s="82" t="s">
        <v>78</v>
      </c>
      <c r="G3845" s="82">
        <v>1</v>
      </c>
      <c r="H3845" s="82">
        <v>4790</v>
      </c>
      <c r="I3845" s="138">
        <f t="shared" si="169"/>
        <v>4790</v>
      </c>
      <c r="J3845" s="82"/>
      <c r="K3845" s="83"/>
    </row>
    <row r="3846" spans="1:11" ht="15" customHeight="1" x14ac:dyDescent="0.25">
      <c r="A3846" s="82" t="s">
        <v>4236</v>
      </c>
      <c r="B3846" s="83" t="s">
        <v>4237</v>
      </c>
      <c r="C3846" s="83"/>
      <c r="D3846" s="83"/>
      <c r="E3846" s="83" t="s">
        <v>4228</v>
      </c>
      <c r="F3846" s="82" t="s">
        <v>78</v>
      </c>
      <c r="G3846" s="82">
        <v>1</v>
      </c>
      <c r="H3846" s="82">
        <v>700</v>
      </c>
      <c r="I3846" s="138">
        <f t="shared" si="169"/>
        <v>700</v>
      </c>
      <c r="J3846" s="82"/>
      <c r="K3846" s="83"/>
    </row>
    <row r="3847" spans="1:11" ht="15" customHeight="1" x14ac:dyDescent="0.25">
      <c r="A3847" s="80" t="s">
        <v>5349</v>
      </c>
      <c r="B3847" s="80" t="s">
        <v>5247</v>
      </c>
      <c r="C3847" s="80"/>
      <c r="D3847" s="80"/>
      <c r="E3847" s="80"/>
      <c r="F3847" s="80"/>
      <c r="G3847" s="81"/>
      <c r="H3847" s="80"/>
      <c r="I3847" s="137"/>
      <c r="J3847" s="80"/>
      <c r="K3847" s="80"/>
    </row>
    <row r="3848" spans="1:11" ht="15" customHeight="1" x14ac:dyDescent="0.25">
      <c r="A3848" s="80" t="s">
        <v>5350</v>
      </c>
      <c r="B3848" s="80" t="s">
        <v>5351</v>
      </c>
      <c r="C3848" s="80"/>
      <c r="D3848" s="80"/>
      <c r="E3848" s="80"/>
      <c r="F3848" s="80"/>
      <c r="G3848" s="81"/>
      <c r="H3848" s="80"/>
      <c r="I3848" s="137"/>
      <c r="J3848" s="80"/>
      <c r="K3848" s="80"/>
    </row>
    <row r="3849" spans="1:11" ht="15" customHeight="1" x14ac:dyDescent="0.25">
      <c r="A3849" s="80" t="s">
        <v>5352</v>
      </c>
      <c r="B3849" s="80" t="s">
        <v>5351</v>
      </c>
      <c r="C3849" s="80"/>
      <c r="D3849" s="80"/>
      <c r="E3849" s="80"/>
      <c r="F3849" s="80"/>
      <c r="G3849" s="81"/>
      <c r="H3849" s="80"/>
      <c r="I3849" s="137"/>
      <c r="J3849" s="80"/>
      <c r="K3849" s="80"/>
    </row>
    <row r="3850" spans="1:11" ht="15" customHeight="1" x14ac:dyDescent="0.25">
      <c r="A3850" s="80" t="s">
        <v>5353</v>
      </c>
      <c r="B3850" s="80" t="s">
        <v>5354</v>
      </c>
      <c r="C3850" s="80"/>
      <c r="D3850" s="80"/>
      <c r="E3850" s="80"/>
      <c r="F3850" s="80"/>
      <c r="G3850" s="81"/>
      <c r="H3850" s="80"/>
      <c r="I3850" s="137"/>
      <c r="J3850" s="80"/>
      <c r="K3850" s="80"/>
    </row>
    <row r="3851" spans="1:11" ht="15" customHeight="1" x14ac:dyDescent="0.25">
      <c r="A3851" s="82" t="s">
        <v>375</v>
      </c>
      <c r="B3851" s="83" t="s">
        <v>4988</v>
      </c>
      <c r="C3851" s="83" t="s">
        <v>4989</v>
      </c>
      <c r="D3851" s="83"/>
      <c r="E3851" s="83" t="s">
        <v>4228</v>
      </c>
      <c r="F3851" s="82" t="s">
        <v>78</v>
      </c>
      <c r="G3851" s="82">
        <v>2</v>
      </c>
      <c r="H3851" s="82"/>
      <c r="I3851" s="138">
        <f t="shared" ref="I3851:I3857" si="170">H3851*G3851</f>
        <v>0</v>
      </c>
      <c r="J3851" s="82"/>
      <c r="K3851" s="83"/>
    </row>
    <row r="3852" spans="1:11" ht="27" customHeight="1" x14ac:dyDescent="0.25">
      <c r="A3852" s="82" t="s">
        <v>432</v>
      </c>
      <c r="B3852" s="83" t="s">
        <v>4231</v>
      </c>
      <c r="C3852" s="83"/>
      <c r="D3852" s="83"/>
      <c r="E3852" s="83" t="s">
        <v>4228</v>
      </c>
      <c r="F3852" s="82" t="s">
        <v>78</v>
      </c>
      <c r="G3852" s="82">
        <v>2</v>
      </c>
      <c r="H3852" s="82">
        <v>12000</v>
      </c>
      <c r="I3852" s="138">
        <f t="shared" si="170"/>
        <v>24000</v>
      </c>
      <c r="J3852" s="82"/>
      <c r="K3852" s="83"/>
    </row>
    <row r="3853" spans="1:11" ht="39" customHeight="1" x14ac:dyDescent="0.25">
      <c r="A3853" s="82" t="s">
        <v>459</v>
      </c>
      <c r="B3853" s="83" t="s">
        <v>4232</v>
      </c>
      <c r="C3853" s="83"/>
      <c r="D3853" s="83"/>
      <c r="E3853" s="83" t="s">
        <v>4228</v>
      </c>
      <c r="F3853" s="82" t="s">
        <v>78</v>
      </c>
      <c r="G3853" s="82">
        <v>2</v>
      </c>
      <c r="H3853" s="82"/>
      <c r="I3853" s="138">
        <f t="shared" si="170"/>
        <v>0</v>
      </c>
      <c r="J3853" s="82"/>
      <c r="K3853" s="83"/>
    </row>
    <row r="3854" spans="1:11" ht="39" customHeight="1" x14ac:dyDescent="0.25">
      <c r="A3854" s="82" t="s">
        <v>5355</v>
      </c>
      <c r="B3854" s="83" t="s">
        <v>5356</v>
      </c>
      <c r="C3854" s="83"/>
      <c r="D3854" s="83"/>
      <c r="E3854" s="83" t="s">
        <v>4228</v>
      </c>
      <c r="F3854" s="82" t="s">
        <v>78</v>
      </c>
      <c r="G3854" s="82">
        <v>1</v>
      </c>
      <c r="H3854" s="82"/>
      <c r="I3854" s="138">
        <f t="shared" si="170"/>
        <v>0</v>
      </c>
      <c r="J3854" s="82"/>
      <c r="K3854" s="83"/>
    </row>
    <row r="3855" spans="1:11" ht="27" customHeight="1" x14ac:dyDescent="0.25">
      <c r="A3855" s="82" t="s">
        <v>4267</v>
      </c>
      <c r="B3855" s="83" t="s">
        <v>4268</v>
      </c>
      <c r="C3855" s="83" t="s">
        <v>4269</v>
      </c>
      <c r="D3855" s="83"/>
      <c r="E3855" s="83" t="s">
        <v>4228</v>
      </c>
      <c r="F3855" s="82" t="s">
        <v>78</v>
      </c>
      <c r="G3855" s="82">
        <v>1</v>
      </c>
      <c r="H3855" s="82"/>
      <c r="I3855" s="138">
        <f t="shared" si="170"/>
        <v>0</v>
      </c>
      <c r="J3855" s="82"/>
      <c r="K3855" s="83"/>
    </row>
    <row r="3856" spans="1:11" ht="15" customHeight="1" x14ac:dyDescent="0.25">
      <c r="A3856" s="82" t="s">
        <v>4262</v>
      </c>
      <c r="B3856" s="83" t="s">
        <v>5073</v>
      </c>
      <c r="C3856" s="83"/>
      <c r="D3856" s="83"/>
      <c r="E3856" s="83" t="s">
        <v>110</v>
      </c>
      <c r="F3856" s="82" t="s">
        <v>78</v>
      </c>
      <c r="G3856" s="82">
        <v>1</v>
      </c>
      <c r="H3856" s="82">
        <v>2800</v>
      </c>
      <c r="I3856" s="138">
        <f t="shared" si="170"/>
        <v>2800</v>
      </c>
      <c r="J3856" s="82"/>
      <c r="K3856" s="83"/>
    </row>
    <row r="3857" spans="1:11" ht="15" customHeight="1" x14ac:dyDescent="0.25">
      <c r="A3857" s="82" t="s">
        <v>4236</v>
      </c>
      <c r="B3857" s="83" t="s">
        <v>4237</v>
      </c>
      <c r="C3857" s="83"/>
      <c r="D3857" s="83"/>
      <c r="E3857" s="83" t="s">
        <v>110</v>
      </c>
      <c r="F3857" s="82" t="s">
        <v>78</v>
      </c>
      <c r="G3857" s="82">
        <v>2</v>
      </c>
      <c r="H3857" s="82">
        <v>700</v>
      </c>
      <c r="I3857" s="138">
        <f t="shared" si="170"/>
        <v>1400</v>
      </c>
      <c r="J3857" s="82"/>
      <c r="K3857" s="83"/>
    </row>
    <row r="3858" spans="1:11" ht="15" customHeight="1" x14ac:dyDescent="0.25">
      <c r="A3858" s="80" t="s">
        <v>5357</v>
      </c>
      <c r="B3858" s="80" t="s">
        <v>5354</v>
      </c>
      <c r="C3858" s="80"/>
      <c r="D3858" s="80"/>
      <c r="E3858" s="80"/>
      <c r="F3858" s="80"/>
      <c r="G3858" s="81"/>
      <c r="H3858" s="80"/>
      <c r="I3858" s="137"/>
      <c r="J3858" s="80"/>
      <c r="K3858" s="80"/>
    </row>
    <row r="3859" spans="1:11" ht="15" customHeight="1" x14ac:dyDescent="0.25">
      <c r="A3859" s="82" t="s">
        <v>375</v>
      </c>
      <c r="B3859" s="83" t="s">
        <v>4988</v>
      </c>
      <c r="C3859" s="83" t="s">
        <v>4989</v>
      </c>
      <c r="D3859" s="83"/>
      <c r="E3859" s="83" t="s">
        <v>4228</v>
      </c>
      <c r="F3859" s="82" t="s">
        <v>78</v>
      </c>
      <c r="G3859" s="82">
        <v>2</v>
      </c>
      <c r="H3859" s="82"/>
      <c r="I3859" s="138">
        <f t="shared" ref="I3859:I3865" si="171">H3859*G3859</f>
        <v>0</v>
      </c>
      <c r="J3859" s="82"/>
      <c r="K3859" s="83"/>
    </row>
    <row r="3860" spans="1:11" ht="27" customHeight="1" x14ac:dyDescent="0.25">
      <c r="A3860" s="82" t="s">
        <v>432</v>
      </c>
      <c r="B3860" s="83" t="s">
        <v>4231</v>
      </c>
      <c r="C3860" s="83"/>
      <c r="D3860" s="83"/>
      <c r="E3860" s="83" t="s">
        <v>4228</v>
      </c>
      <c r="F3860" s="82" t="s">
        <v>78</v>
      </c>
      <c r="G3860" s="82">
        <v>2</v>
      </c>
      <c r="H3860" s="82">
        <v>12000</v>
      </c>
      <c r="I3860" s="138">
        <f t="shared" si="171"/>
        <v>24000</v>
      </c>
      <c r="J3860" s="82"/>
      <c r="K3860" s="83"/>
    </row>
    <row r="3861" spans="1:11" ht="39" customHeight="1" x14ac:dyDescent="0.25">
      <c r="A3861" s="82" t="s">
        <v>459</v>
      </c>
      <c r="B3861" s="83" t="s">
        <v>4232</v>
      </c>
      <c r="C3861" s="83"/>
      <c r="D3861" s="83"/>
      <c r="E3861" s="83" t="s">
        <v>4228</v>
      </c>
      <c r="F3861" s="82" t="s">
        <v>78</v>
      </c>
      <c r="G3861" s="82">
        <v>2</v>
      </c>
      <c r="H3861" s="82"/>
      <c r="I3861" s="138">
        <f t="shared" si="171"/>
        <v>0</v>
      </c>
      <c r="J3861" s="82"/>
      <c r="K3861" s="83"/>
    </row>
    <row r="3862" spans="1:11" ht="39" customHeight="1" x14ac:dyDescent="0.25">
      <c r="A3862" s="82" t="s">
        <v>5355</v>
      </c>
      <c r="B3862" s="83" t="s">
        <v>5356</v>
      </c>
      <c r="C3862" s="83"/>
      <c r="D3862" s="83"/>
      <c r="E3862" s="83" t="s">
        <v>4228</v>
      </c>
      <c r="F3862" s="82" t="s">
        <v>78</v>
      </c>
      <c r="G3862" s="82">
        <v>2</v>
      </c>
      <c r="H3862" s="82"/>
      <c r="I3862" s="138">
        <f t="shared" si="171"/>
        <v>0</v>
      </c>
      <c r="J3862" s="82"/>
      <c r="K3862" s="83"/>
    </row>
    <row r="3863" spans="1:11" ht="27" customHeight="1" x14ac:dyDescent="0.25">
      <c r="A3863" s="82" t="s">
        <v>4267</v>
      </c>
      <c r="B3863" s="83" t="s">
        <v>4268</v>
      </c>
      <c r="C3863" s="83" t="s">
        <v>4269</v>
      </c>
      <c r="D3863" s="83"/>
      <c r="E3863" s="83" t="s">
        <v>4228</v>
      </c>
      <c r="F3863" s="82" t="s">
        <v>78</v>
      </c>
      <c r="G3863" s="82">
        <v>1</v>
      </c>
      <c r="H3863" s="82"/>
      <c r="I3863" s="138">
        <f t="shared" si="171"/>
        <v>0</v>
      </c>
      <c r="J3863" s="82"/>
      <c r="K3863" s="83"/>
    </row>
    <row r="3864" spans="1:11" ht="15" customHeight="1" x14ac:dyDescent="0.25">
      <c r="A3864" s="82" t="s">
        <v>4262</v>
      </c>
      <c r="B3864" s="83" t="s">
        <v>5073</v>
      </c>
      <c r="C3864" s="83"/>
      <c r="D3864" s="83"/>
      <c r="E3864" s="83" t="s">
        <v>110</v>
      </c>
      <c r="F3864" s="82" t="s">
        <v>78</v>
      </c>
      <c r="G3864" s="82">
        <v>1</v>
      </c>
      <c r="H3864" s="82">
        <v>2800</v>
      </c>
      <c r="I3864" s="138">
        <f t="shared" si="171"/>
        <v>2800</v>
      </c>
      <c r="J3864" s="82"/>
      <c r="K3864" s="83"/>
    </row>
    <row r="3865" spans="1:11" ht="15" customHeight="1" x14ac:dyDescent="0.25">
      <c r="A3865" s="82" t="s">
        <v>4236</v>
      </c>
      <c r="B3865" s="83" t="s">
        <v>4237</v>
      </c>
      <c r="C3865" s="83"/>
      <c r="D3865" s="83"/>
      <c r="E3865" s="83" t="s">
        <v>110</v>
      </c>
      <c r="F3865" s="82" t="s">
        <v>78</v>
      </c>
      <c r="G3865" s="82">
        <v>2</v>
      </c>
      <c r="H3865" s="82">
        <v>700</v>
      </c>
      <c r="I3865" s="138">
        <f t="shared" si="171"/>
        <v>1400</v>
      </c>
      <c r="J3865" s="82"/>
      <c r="K3865" s="83"/>
    </row>
    <row r="3866" spans="1:11" ht="15" customHeight="1" x14ac:dyDescent="0.25">
      <c r="A3866" s="80" t="s">
        <v>4467</v>
      </c>
      <c r="B3866" s="80" t="s">
        <v>5358</v>
      </c>
      <c r="C3866" s="80"/>
      <c r="D3866" s="80"/>
      <c r="E3866" s="80"/>
      <c r="F3866" s="80"/>
      <c r="G3866" s="81"/>
      <c r="H3866" s="80"/>
      <c r="I3866" s="137"/>
      <c r="J3866" s="80"/>
      <c r="K3866" s="80"/>
    </row>
    <row r="3867" spans="1:11" ht="27" customHeight="1" x14ac:dyDescent="0.25">
      <c r="A3867" s="82" t="s">
        <v>4236</v>
      </c>
      <c r="B3867" s="83" t="s">
        <v>5359</v>
      </c>
      <c r="C3867" s="83"/>
      <c r="D3867" s="83"/>
      <c r="E3867" s="83" t="s">
        <v>4228</v>
      </c>
      <c r="F3867" s="82" t="s">
        <v>78</v>
      </c>
      <c r="G3867" s="82">
        <v>200</v>
      </c>
      <c r="H3867" s="82"/>
      <c r="I3867" s="138">
        <f>H3867*G3867</f>
        <v>0</v>
      </c>
      <c r="J3867" s="82"/>
      <c r="K3867" s="83"/>
    </row>
    <row r="3868" spans="1:11" ht="15.75" customHeight="1" x14ac:dyDescent="0.25">
      <c r="A3868" s="72" t="s">
        <v>5360</v>
      </c>
      <c r="B3868" s="73" t="s">
        <v>5361</v>
      </c>
      <c r="C3868" s="74"/>
      <c r="D3868" s="74"/>
      <c r="E3868" s="74"/>
      <c r="F3868" s="74"/>
      <c r="G3868" s="74"/>
      <c r="H3868" s="75"/>
      <c r="I3868" s="138">
        <f t="shared" ref="I3868:I3869" si="172">H3868*G3868</f>
        <v>0</v>
      </c>
      <c r="J3868" s="74"/>
      <c r="K3868" s="73"/>
    </row>
    <row r="3869" spans="1:11" ht="15" customHeight="1" x14ac:dyDescent="0.25">
      <c r="A3869" s="86"/>
      <c r="B3869" s="86" t="s">
        <v>5362</v>
      </c>
      <c r="C3869" s="86"/>
      <c r="D3869" s="86"/>
      <c r="E3869" s="86"/>
      <c r="F3869" s="86"/>
      <c r="G3869" s="87">
        <v>1</v>
      </c>
      <c r="H3869" s="86">
        <v>23000000</v>
      </c>
      <c r="I3869" s="138">
        <f t="shared" si="172"/>
        <v>23000000</v>
      </c>
      <c r="J3869" s="86"/>
      <c r="K3869" s="86"/>
    </row>
    <row r="3870" spans="1:11" ht="12.75" customHeight="1" x14ac:dyDescent="0.25">
      <c r="A3870" s="88"/>
      <c r="B3870" s="89" t="s">
        <v>5363</v>
      </c>
      <c r="C3870" s="89" t="s">
        <v>5364</v>
      </c>
      <c r="D3870" s="88"/>
      <c r="E3870" s="89"/>
      <c r="F3870" s="88" t="s">
        <v>315</v>
      </c>
      <c r="G3870" s="88">
        <v>221</v>
      </c>
      <c r="H3870" s="88"/>
      <c r="I3870" s="140">
        <f t="shared" ref="I3870:I3889" si="173">H3870*G3870</f>
        <v>0</v>
      </c>
      <c r="J3870" s="88"/>
      <c r="K3870" s="89"/>
    </row>
    <row r="3871" spans="1:11" ht="25.5" customHeight="1" x14ac:dyDescent="0.25">
      <c r="A3871" s="88"/>
      <c r="B3871" s="89" t="s">
        <v>5365</v>
      </c>
      <c r="C3871" s="89" t="s">
        <v>5366</v>
      </c>
      <c r="D3871" s="88"/>
      <c r="E3871" s="89" t="s">
        <v>5367</v>
      </c>
      <c r="F3871" s="88" t="s">
        <v>315</v>
      </c>
      <c r="G3871" s="88">
        <v>185</v>
      </c>
      <c r="H3871" s="88">
        <v>9800</v>
      </c>
      <c r="I3871" s="140">
        <f t="shared" si="173"/>
        <v>1813000</v>
      </c>
      <c r="J3871" s="88"/>
      <c r="K3871" s="89"/>
    </row>
    <row r="3872" spans="1:11" ht="25.5" customHeight="1" x14ac:dyDescent="0.25">
      <c r="A3872" s="88"/>
      <c r="B3872" s="89" t="s">
        <v>5368</v>
      </c>
      <c r="C3872" s="89" t="s">
        <v>5366</v>
      </c>
      <c r="D3872" s="88"/>
      <c r="E3872" s="89" t="s">
        <v>5367</v>
      </c>
      <c r="F3872" s="88" t="s">
        <v>315</v>
      </c>
      <c r="G3872" s="88">
        <v>0.7</v>
      </c>
      <c r="H3872" s="88"/>
      <c r="I3872" s="140">
        <f t="shared" si="173"/>
        <v>0</v>
      </c>
      <c r="J3872" s="88"/>
      <c r="K3872" s="89"/>
    </row>
    <row r="3873" spans="1:11" ht="12.75" customHeight="1" x14ac:dyDescent="0.25">
      <c r="A3873" s="88"/>
      <c r="B3873" s="89" t="s">
        <v>5369</v>
      </c>
      <c r="C3873" s="89" t="s">
        <v>5370</v>
      </c>
      <c r="D3873" s="88"/>
      <c r="E3873" s="89"/>
      <c r="F3873" s="88" t="s">
        <v>576</v>
      </c>
      <c r="G3873" s="88">
        <v>6900</v>
      </c>
      <c r="H3873" s="88"/>
      <c r="I3873" s="140">
        <f t="shared" si="173"/>
        <v>0</v>
      </c>
      <c r="J3873" s="88"/>
      <c r="K3873" s="89"/>
    </row>
    <row r="3874" spans="1:11" ht="12.75" customHeight="1" x14ac:dyDescent="0.25">
      <c r="A3874" s="88"/>
      <c r="B3874" s="89" t="s">
        <v>5371</v>
      </c>
      <c r="C3874" s="89" t="s">
        <v>5372</v>
      </c>
      <c r="D3874" s="88"/>
      <c r="E3874" s="89"/>
      <c r="F3874" s="88" t="s">
        <v>576</v>
      </c>
      <c r="G3874" s="88">
        <v>2300</v>
      </c>
      <c r="H3874" s="88"/>
      <c r="I3874" s="140">
        <f t="shared" si="173"/>
        <v>0</v>
      </c>
      <c r="J3874" s="88"/>
      <c r="K3874" s="89"/>
    </row>
    <row r="3875" spans="1:11" ht="12.75" customHeight="1" x14ac:dyDescent="0.25">
      <c r="A3875" s="88"/>
      <c r="B3875" s="89" t="s">
        <v>5373</v>
      </c>
      <c r="C3875" s="89" t="s">
        <v>5374</v>
      </c>
      <c r="D3875" s="88"/>
      <c r="E3875" s="89"/>
      <c r="F3875" s="88" t="s">
        <v>5375</v>
      </c>
      <c r="G3875" s="88">
        <v>55</v>
      </c>
      <c r="H3875" s="88"/>
      <c r="I3875" s="140">
        <f t="shared" si="173"/>
        <v>0</v>
      </c>
      <c r="J3875" s="88"/>
      <c r="K3875" s="89"/>
    </row>
    <row r="3876" spans="1:11" ht="12.75" customHeight="1" x14ac:dyDescent="0.25">
      <c r="A3876" s="88"/>
      <c r="B3876" s="89" t="s">
        <v>5376</v>
      </c>
      <c r="C3876" s="89" t="s">
        <v>5377</v>
      </c>
      <c r="D3876" s="88"/>
      <c r="E3876" s="89"/>
      <c r="F3876" s="88" t="s">
        <v>315</v>
      </c>
      <c r="G3876" s="88">
        <v>93</v>
      </c>
      <c r="H3876" s="88"/>
      <c r="I3876" s="140">
        <f t="shared" si="173"/>
        <v>0</v>
      </c>
      <c r="J3876" s="88"/>
      <c r="K3876" s="89"/>
    </row>
    <row r="3877" spans="1:11" ht="12.75" customHeight="1" x14ac:dyDescent="0.25">
      <c r="A3877" s="88"/>
      <c r="B3877" s="89" t="s">
        <v>5378</v>
      </c>
      <c r="C3877" s="89" t="s">
        <v>5379</v>
      </c>
      <c r="D3877" s="88"/>
      <c r="E3877" s="89"/>
      <c r="F3877" s="88" t="s">
        <v>158</v>
      </c>
      <c r="G3877" s="88">
        <v>19405</v>
      </c>
      <c r="H3877" s="88"/>
      <c r="I3877" s="140">
        <f t="shared" si="173"/>
        <v>0</v>
      </c>
      <c r="J3877" s="88"/>
      <c r="K3877" s="89"/>
    </row>
    <row r="3878" spans="1:11" ht="12.75" customHeight="1" x14ac:dyDescent="0.25">
      <c r="A3878" s="88"/>
      <c r="B3878" s="89" t="s">
        <v>5380</v>
      </c>
      <c r="C3878" s="89" t="s">
        <v>5381</v>
      </c>
      <c r="D3878" s="88"/>
      <c r="E3878" s="89"/>
      <c r="F3878" s="88" t="s">
        <v>89</v>
      </c>
      <c r="G3878" s="88">
        <v>172</v>
      </c>
      <c r="H3878" s="88"/>
      <c r="I3878" s="140">
        <f t="shared" si="173"/>
        <v>0</v>
      </c>
      <c r="J3878" s="88"/>
      <c r="K3878" s="89"/>
    </row>
    <row r="3879" spans="1:11" ht="12.75" customHeight="1" x14ac:dyDescent="0.25">
      <c r="A3879" s="88"/>
      <c r="B3879" s="89" t="s">
        <v>5382</v>
      </c>
      <c r="C3879" s="89" t="s">
        <v>5383</v>
      </c>
      <c r="D3879" s="88"/>
      <c r="E3879" s="89"/>
      <c r="F3879" s="88" t="s">
        <v>89</v>
      </c>
      <c r="G3879" s="88">
        <v>4</v>
      </c>
      <c r="H3879" s="88"/>
      <c r="I3879" s="140">
        <f t="shared" si="173"/>
        <v>0</v>
      </c>
      <c r="J3879" s="88"/>
      <c r="K3879" s="89"/>
    </row>
    <row r="3880" spans="1:11" ht="12.75" customHeight="1" x14ac:dyDescent="0.25">
      <c r="A3880" s="88"/>
      <c r="B3880" s="89" t="s">
        <v>5384</v>
      </c>
      <c r="C3880" s="89" t="s">
        <v>5385</v>
      </c>
      <c r="D3880" s="88"/>
      <c r="E3880" s="89"/>
      <c r="F3880" s="88" t="s">
        <v>576</v>
      </c>
      <c r="G3880" s="88">
        <v>165</v>
      </c>
      <c r="H3880" s="88"/>
      <c r="I3880" s="140">
        <f t="shared" si="173"/>
        <v>0</v>
      </c>
      <c r="J3880" s="88"/>
      <c r="K3880" s="89"/>
    </row>
    <row r="3881" spans="1:11" ht="12.75" customHeight="1" x14ac:dyDescent="0.25">
      <c r="A3881" s="88"/>
      <c r="B3881" s="89" t="s">
        <v>5386</v>
      </c>
      <c r="C3881" s="89" t="s">
        <v>5385</v>
      </c>
      <c r="D3881" s="88"/>
      <c r="E3881" s="89"/>
      <c r="F3881" s="88" t="s">
        <v>576</v>
      </c>
      <c r="G3881" s="88">
        <v>165</v>
      </c>
      <c r="H3881" s="88"/>
      <c r="I3881" s="140">
        <f t="shared" si="173"/>
        <v>0</v>
      </c>
      <c r="J3881" s="88"/>
      <c r="K3881" s="89"/>
    </row>
    <row r="3882" spans="1:11" ht="12.75" customHeight="1" x14ac:dyDescent="0.25">
      <c r="A3882" s="88"/>
      <c r="B3882" s="89" t="s">
        <v>5387</v>
      </c>
      <c r="C3882" s="89" t="s">
        <v>5388</v>
      </c>
      <c r="D3882" s="88"/>
      <c r="E3882" s="89"/>
      <c r="F3882" s="88" t="s">
        <v>158</v>
      </c>
      <c r="G3882" s="88">
        <v>340</v>
      </c>
      <c r="H3882" s="88"/>
      <c r="I3882" s="140">
        <f t="shared" si="173"/>
        <v>0</v>
      </c>
      <c r="J3882" s="88"/>
      <c r="K3882" s="89"/>
    </row>
    <row r="3883" spans="1:11" ht="12.75" customHeight="1" x14ac:dyDescent="0.25">
      <c r="A3883" s="88"/>
      <c r="B3883" s="89" t="s">
        <v>5389</v>
      </c>
      <c r="C3883" s="89" t="s">
        <v>5390</v>
      </c>
      <c r="D3883" s="88"/>
      <c r="E3883" s="89"/>
      <c r="F3883" s="88" t="s">
        <v>158</v>
      </c>
      <c r="G3883" s="88">
        <v>185</v>
      </c>
      <c r="H3883" s="88"/>
      <c r="I3883" s="140">
        <f t="shared" si="173"/>
        <v>0</v>
      </c>
      <c r="J3883" s="88"/>
      <c r="K3883" s="89"/>
    </row>
    <row r="3884" spans="1:11" ht="12.75" customHeight="1" x14ac:dyDescent="0.25">
      <c r="A3884" s="88"/>
      <c r="B3884" s="89" t="s">
        <v>5391</v>
      </c>
      <c r="C3884" s="89" t="s">
        <v>5392</v>
      </c>
      <c r="D3884" s="88"/>
      <c r="E3884" s="89"/>
      <c r="F3884" s="88" t="s">
        <v>89</v>
      </c>
      <c r="G3884" s="88">
        <v>350</v>
      </c>
      <c r="H3884" s="88"/>
      <c r="I3884" s="140">
        <f t="shared" si="173"/>
        <v>0</v>
      </c>
      <c r="J3884" s="88"/>
      <c r="K3884" s="89"/>
    </row>
    <row r="3885" spans="1:11" ht="12.75" customHeight="1" x14ac:dyDescent="0.25">
      <c r="A3885" s="88"/>
      <c r="B3885" s="89" t="s">
        <v>5393</v>
      </c>
      <c r="C3885" s="89" t="s">
        <v>1781</v>
      </c>
      <c r="D3885" s="88"/>
      <c r="E3885" s="89"/>
      <c r="F3885" s="88" t="s">
        <v>158</v>
      </c>
      <c r="G3885" s="88">
        <v>16</v>
      </c>
      <c r="H3885" s="88"/>
      <c r="I3885" s="140">
        <f t="shared" si="173"/>
        <v>0</v>
      </c>
      <c r="J3885" s="88"/>
      <c r="K3885" s="89" t="s">
        <v>5394</v>
      </c>
    </row>
    <row r="3886" spans="1:11" ht="12.75" customHeight="1" x14ac:dyDescent="0.25">
      <c r="A3886" s="88"/>
      <c r="B3886" s="89" t="s">
        <v>5395</v>
      </c>
      <c r="C3886" s="89" t="s">
        <v>5396</v>
      </c>
      <c r="D3886" s="88"/>
      <c r="E3886" s="89"/>
      <c r="F3886" s="88" t="s">
        <v>158</v>
      </c>
      <c r="G3886" s="88">
        <v>28.8</v>
      </c>
      <c r="H3886" s="88"/>
      <c r="I3886" s="140">
        <f t="shared" si="173"/>
        <v>0</v>
      </c>
      <c r="J3886" s="88"/>
      <c r="K3886" s="89" t="s">
        <v>5397</v>
      </c>
    </row>
    <row r="3887" spans="1:11" ht="12.75" customHeight="1" x14ac:dyDescent="0.25">
      <c r="A3887" s="88"/>
      <c r="B3887" s="89" t="s">
        <v>5398</v>
      </c>
      <c r="C3887" s="89" t="s">
        <v>5399</v>
      </c>
      <c r="D3887" s="88"/>
      <c r="E3887" s="89"/>
      <c r="F3887" s="88" t="s">
        <v>2199</v>
      </c>
      <c r="G3887" s="88">
        <v>8</v>
      </c>
      <c r="H3887" s="88"/>
      <c r="I3887" s="140">
        <f t="shared" si="173"/>
        <v>0</v>
      </c>
      <c r="J3887" s="88"/>
      <c r="K3887" s="89" t="s">
        <v>5400</v>
      </c>
    </row>
    <row r="3888" spans="1:11" ht="12.75" customHeight="1" x14ac:dyDescent="0.25">
      <c r="A3888" s="88"/>
      <c r="B3888" s="89" t="s">
        <v>5401</v>
      </c>
      <c r="C3888" s="89"/>
      <c r="D3888" s="88"/>
      <c r="E3888" s="89" t="s">
        <v>1764</v>
      </c>
      <c r="F3888" s="88" t="s">
        <v>89</v>
      </c>
      <c r="G3888" s="88">
        <v>4</v>
      </c>
      <c r="H3888" s="88"/>
      <c r="I3888" s="140">
        <f t="shared" si="173"/>
        <v>0</v>
      </c>
      <c r="J3888" s="88"/>
      <c r="K3888" s="89"/>
    </row>
    <row r="3889" spans="1:11" ht="12.75" customHeight="1" x14ac:dyDescent="0.25">
      <c r="A3889" s="88"/>
      <c r="B3889" s="89" t="s">
        <v>5402</v>
      </c>
      <c r="C3889" s="89"/>
      <c r="D3889" s="88"/>
      <c r="E3889" s="89"/>
      <c r="F3889" s="88" t="s">
        <v>89</v>
      </c>
      <c r="G3889" s="88">
        <v>120</v>
      </c>
      <c r="H3889" s="88"/>
      <c r="I3889" s="140">
        <f t="shared" si="173"/>
        <v>0</v>
      </c>
      <c r="J3889" s="88"/>
      <c r="K3889" s="89" t="s">
        <v>5403</v>
      </c>
    </row>
    <row r="3890" spans="1:11" ht="15" customHeight="1" x14ac:dyDescent="0.25">
      <c r="A3890" s="86"/>
      <c r="B3890" s="86" t="s">
        <v>5404</v>
      </c>
      <c r="C3890" s="86"/>
      <c r="D3890" s="86"/>
      <c r="E3890" s="86"/>
      <c r="F3890" s="86"/>
      <c r="G3890" s="87"/>
      <c r="H3890" s="86"/>
      <c r="I3890" s="141"/>
      <c r="J3890" s="86"/>
      <c r="K3890" s="86"/>
    </row>
    <row r="3891" spans="1:11" ht="12.75" customHeight="1" x14ac:dyDescent="0.25">
      <c r="A3891" s="88"/>
      <c r="B3891" s="89" t="s">
        <v>5363</v>
      </c>
      <c r="C3891" s="89" t="s">
        <v>5364</v>
      </c>
      <c r="D3891" s="88"/>
      <c r="E3891" s="89"/>
      <c r="F3891" s="88" t="s">
        <v>315</v>
      </c>
      <c r="G3891" s="88">
        <v>20</v>
      </c>
      <c r="H3891" s="88"/>
      <c r="I3891" s="140">
        <f t="shared" ref="I3891:I3910" si="174">H3891*G3891</f>
        <v>0</v>
      </c>
      <c r="J3891" s="88"/>
      <c r="K3891" s="89"/>
    </row>
    <row r="3892" spans="1:11" ht="25.5" customHeight="1" x14ac:dyDescent="0.25">
      <c r="A3892" s="88"/>
      <c r="B3892" s="89" t="s">
        <v>5365</v>
      </c>
      <c r="C3892" s="89" t="s">
        <v>5366</v>
      </c>
      <c r="D3892" s="88"/>
      <c r="E3892" s="89" t="s">
        <v>5367</v>
      </c>
      <c r="F3892" s="88" t="s">
        <v>315</v>
      </c>
      <c r="G3892" s="88">
        <v>17</v>
      </c>
      <c r="H3892" s="88">
        <v>9800</v>
      </c>
      <c r="I3892" s="140">
        <f t="shared" si="174"/>
        <v>166600</v>
      </c>
      <c r="J3892" s="88"/>
      <c r="K3892" s="89"/>
    </row>
    <row r="3893" spans="1:11" ht="25.5" customHeight="1" x14ac:dyDescent="0.25">
      <c r="A3893" s="88"/>
      <c r="B3893" s="89" t="s">
        <v>5368</v>
      </c>
      <c r="C3893" s="89" t="s">
        <v>5366</v>
      </c>
      <c r="D3893" s="88"/>
      <c r="E3893" s="89" t="s">
        <v>5367</v>
      </c>
      <c r="F3893" s="88" t="s">
        <v>315</v>
      </c>
      <c r="G3893" s="88">
        <v>0.2</v>
      </c>
      <c r="H3893" s="88"/>
      <c r="I3893" s="140">
        <f t="shared" si="174"/>
        <v>0</v>
      </c>
      <c r="J3893" s="88"/>
      <c r="K3893" s="89"/>
    </row>
    <row r="3894" spans="1:11" ht="12.75" customHeight="1" x14ac:dyDescent="0.25">
      <c r="A3894" s="88"/>
      <c r="B3894" s="89" t="s">
        <v>5369</v>
      </c>
      <c r="C3894" s="89" t="s">
        <v>5370</v>
      </c>
      <c r="D3894" s="88"/>
      <c r="E3894" s="89"/>
      <c r="F3894" s="88" t="s">
        <v>576</v>
      </c>
      <c r="G3894" s="88">
        <v>600</v>
      </c>
      <c r="H3894" s="88"/>
      <c r="I3894" s="140">
        <f t="shared" si="174"/>
        <v>0</v>
      </c>
      <c r="J3894" s="88"/>
      <c r="K3894" s="89"/>
    </row>
    <row r="3895" spans="1:11" ht="12.75" customHeight="1" x14ac:dyDescent="0.25">
      <c r="A3895" s="88"/>
      <c r="B3895" s="89" t="s">
        <v>5371</v>
      </c>
      <c r="C3895" s="89" t="s">
        <v>5372</v>
      </c>
      <c r="D3895" s="88"/>
      <c r="E3895" s="89"/>
      <c r="F3895" s="88" t="s">
        <v>576</v>
      </c>
      <c r="G3895" s="88">
        <v>200</v>
      </c>
      <c r="H3895" s="88"/>
      <c r="I3895" s="140">
        <f t="shared" si="174"/>
        <v>0</v>
      </c>
      <c r="J3895" s="88"/>
      <c r="K3895" s="89"/>
    </row>
    <row r="3896" spans="1:11" ht="12.75" customHeight="1" x14ac:dyDescent="0.25">
      <c r="A3896" s="88"/>
      <c r="B3896" s="89" t="s">
        <v>5373</v>
      </c>
      <c r="C3896" s="89" t="s">
        <v>5374</v>
      </c>
      <c r="D3896" s="88"/>
      <c r="E3896" s="89"/>
      <c r="F3896" s="88" t="s">
        <v>5375</v>
      </c>
      <c r="G3896" s="88">
        <v>6</v>
      </c>
      <c r="H3896" s="88"/>
      <c r="I3896" s="140">
        <f t="shared" si="174"/>
        <v>0</v>
      </c>
      <c r="J3896" s="88"/>
      <c r="K3896" s="89"/>
    </row>
    <row r="3897" spans="1:11" ht="12.75" customHeight="1" x14ac:dyDescent="0.25">
      <c r="A3897" s="88"/>
      <c r="B3897" s="89" t="s">
        <v>5376</v>
      </c>
      <c r="C3897" s="89" t="s">
        <v>5377</v>
      </c>
      <c r="D3897" s="88"/>
      <c r="E3897" s="89"/>
      <c r="F3897" s="88" t="s">
        <v>315</v>
      </c>
      <c r="G3897" s="88">
        <v>9</v>
      </c>
      <c r="H3897" s="88"/>
      <c r="I3897" s="140">
        <f t="shared" si="174"/>
        <v>0</v>
      </c>
      <c r="J3897" s="88"/>
      <c r="K3897" s="89"/>
    </row>
    <row r="3898" spans="1:11" ht="12.75" customHeight="1" x14ac:dyDescent="0.25">
      <c r="A3898" s="88"/>
      <c r="B3898" s="89" t="s">
        <v>5378</v>
      </c>
      <c r="C3898" s="89" t="s">
        <v>5379</v>
      </c>
      <c r="D3898" s="88"/>
      <c r="E3898" s="89"/>
      <c r="F3898" s="88" t="s">
        <v>158</v>
      </c>
      <c r="G3898" s="88">
        <v>1790</v>
      </c>
      <c r="H3898" s="88"/>
      <c r="I3898" s="140">
        <f t="shared" si="174"/>
        <v>0</v>
      </c>
      <c r="J3898" s="88"/>
      <c r="K3898" s="89"/>
    </row>
    <row r="3899" spans="1:11" ht="12.75" customHeight="1" x14ac:dyDescent="0.25">
      <c r="A3899" s="88"/>
      <c r="B3899" s="89" t="s">
        <v>5405</v>
      </c>
      <c r="C3899" s="89" t="s">
        <v>5381</v>
      </c>
      <c r="D3899" s="88"/>
      <c r="E3899" s="89"/>
      <c r="F3899" s="88" t="s">
        <v>89</v>
      </c>
      <c r="G3899" s="88">
        <v>51</v>
      </c>
      <c r="H3899" s="88"/>
      <c r="I3899" s="140">
        <f t="shared" si="174"/>
        <v>0</v>
      </c>
      <c r="J3899" s="88"/>
      <c r="K3899" s="89"/>
    </row>
    <row r="3900" spans="1:11" ht="12.75" customHeight="1" x14ac:dyDescent="0.25">
      <c r="A3900" s="88"/>
      <c r="B3900" s="89" t="s">
        <v>5382</v>
      </c>
      <c r="C3900" s="89" t="s">
        <v>5383</v>
      </c>
      <c r="D3900" s="88"/>
      <c r="E3900" s="89"/>
      <c r="F3900" s="88" t="s">
        <v>89</v>
      </c>
      <c r="G3900" s="88">
        <v>1</v>
      </c>
      <c r="H3900" s="88"/>
      <c r="I3900" s="140">
        <f t="shared" si="174"/>
        <v>0</v>
      </c>
      <c r="J3900" s="88"/>
      <c r="K3900" s="89"/>
    </row>
    <row r="3901" spans="1:11" ht="12.75" customHeight="1" x14ac:dyDescent="0.25">
      <c r="A3901" s="88"/>
      <c r="B3901" s="89" t="s">
        <v>5384</v>
      </c>
      <c r="C3901" s="89" t="s">
        <v>5385</v>
      </c>
      <c r="D3901" s="88"/>
      <c r="E3901" s="89"/>
      <c r="F3901" s="88" t="s">
        <v>576</v>
      </c>
      <c r="G3901" s="88">
        <v>16</v>
      </c>
      <c r="H3901" s="88"/>
      <c r="I3901" s="140">
        <f t="shared" si="174"/>
        <v>0</v>
      </c>
      <c r="J3901" s="88"/>
      <c r="K3901" s="89"/>
    </row>
    <row r="3902" spans="1:11" ht="12.75" customHeight="1" x14ac:dyDescent="0.25">
      <c r="A3902" s="88"/>
      <c r="B3902" s="89" t="s">
        <v>5386</v>
      </c>
      <c r="C3902" s="89" t="s">
        <v>5385</v>
      </c>
      <c r="D3902" s="88"/>
      <c r="E3902" s="89"/>
      <c r="F3902" s="88" t="s">
        <v>576</v>
      </c>
      <c r="G3902" s="88">
        <v>16</v>
      </c>
      <c r="H3902" s="88"/>
      <c r="I3902" s="140">
        <f t="shared" si="174"/>
        <v>0</v>
      </c>
      <c r="J3902" s="88"/>
      <c r="K3902" s="89"/>
    </row>
    <row r="3903" spans="1:11" ht="12.75" customHeight="1" x14ac:dyDescent="0.25">
      <c r="A3903" s="88"/>
      <c r="B3903" s="89" t="s">
        <v>5387</v>
      </c>
      <c r="C3903" s="89" t="s">
        <v>5388</v>
      </c>
      <c r="D3903" s="88"/>
      <c r="E3903" s="89"/>
      <c r="F3903" s="88" t="s">
        <v>158</v>
      </c>
      <c r="G3903" s="88">
        <v>32</v>
      </c>
      <c r="H3903" s="88"/>
      <c r="I3903" s="140">
        <f t="shared" si="174"/>
        <v>0</v>
      </c>
      <c r="J3903" s="88"/>
      <c r="K3903" s="89"/>
    </row>
    <row r="3904" spans="1:11" ht="12.75" customHeight="1" x14ac:dyDescent="0.25">
      <c r="A3904" s="88"/>
      <c r="B3904" s="89" t="s">
        <v>5389</v>
      </c>
      <c r="C3904" s="89" t="s">
        <v>5390</v>
      </c>
      <c r="D3904" s="88"/>
      <c r="E3904" s="89"/>
      <c r="F3904" s="88" t="s">
        <v>158</v>
      </c>
      <c r="G3904" s="88">
        <v>52</v>
      </c>
      <c r="H3904" s="88"/>
      <c r="I3904" s="140">
        <f t="shared" si="174"/>
        <v>0</v>
      </c>
      <c r="J3904" s="88"/>
      <c r="K3904" s="89"/>
    </row>
    <row r="3905" spans="1:11" ht="12.75" customHeight="1" x14ac:dyDescent="0.25">
      <c r="A3905" s="88"/>
      <c r="B3905" s="89" t="s">
        <v>5391</v>
      </c>
      <c r="C3905" s="89" t="s">
        <v>5392</v>
      </c>
      <c r="D3905" s="88"/>
      <c r="E3905" s="89"/>
      <c r="F3905" s="88" t="s">
        <v>89</v>
      </c>
      <c r="G3905" s="88">
        <v>110</v>
      </c>
      <c r="H3905" s="88"/>
      <c r="I3905" s="140">
        <f t="shared" si="174"/>
        <v>0</v>
      </c>
      <c r="J3905" s="88"/>
      <c r="K3905" s="89"/>
    </row>
    <row r="3906" spans="1:11" ht="12.75" customHeight="1" x14ac:dyDescent="0.25">
      <c r="A3906" s="88"/>
      <c r="B3906" s="89" t="s">
        <v>5393</v>
      </c>
      <c r="C3906" s="89" t="s">
        <v>1781</v>
      </c>
      <c r="D3906" s="88"/>
      <c r="E3906" s="89"/>
      <c r="F3906" s="88" t="s">
        <v>158</v>
      </c>
      <c r="G3906" s="88">
        <v>5</v>
      </c>
      <c r="H3906" s="88"/>
      <c r="I3906" s="140">
        <f t="shared" si="174"/>
        <v>0</v>
      </c>
      <c r="J3906" s="88"/>
      <c r="K3906" s="89" t="s">
        <v>5394</v>
      </c>
    </row>
    <row r="3907" spans="1:11" ht="12.75" customHeight="1" x14ac:dyDescent="0.25">
      <c r="A3907" s="88"/>
      <c r="B3907" s="89" t="s">
        <v>5395</v>
      </c>
      <c r="C3907" s="89" t="s">
        <v>5396</v>
      </c>
      <c r="D3907" s="88"/>
      <c r="E3907" s="89"/>
      <c r="F3907" s="88" t="s">
        <v>158</v>
      </c>
      <c r="G3907" s="88">
        <v>9</v>
      </c>
      <c r="H3907" s="88"/>
      <c r="I3907" s="140">
        <f t="shared" si="174"/>
        <v>0</v>
      </c>
      <c r="J3907" s="88"/>
      <c r="K3907" s="89" t="s">
        <v>5397</v>
      </c>
    </row>
    <row r="3908" spans="1:11" ht="12.75" customHeight="1" x14ac:dyDescent="0.25">
      <c r="A3908" s="88"/>
      <c r="B3908" s="89" t="s">
        <v>5398</v>
      </c>
      <c r="C3908" s="89" t="s">
        <v>5399</v>
      </c>
      <c r="D3908" s="88"/>
      <c r="E3908" s="89"/>
      <c r="F3908" s="88" t="s">
        <v>2199</v>
      </c>
      <c r="G3908" s="88">
        <v>2.5</v>
      </c>
      <c r="H3908" s="88"/>
      <c r="I3908" s="140">
        <f t="shared" si="174"/>
        <v>0</v>
      </c>
      <c r="J3908" s="88"/>
      <c r="K3908" s="89" t="s">
        <v>5400</v>
      </c>
    </row>
    <row r="3909" spans="1:11" ht="12.75" customHeight="1" x14ac:dyDescent="0.25">
      <c r="A3909" s="88"/>
      <c r="B3909" s="89" t="s">
        <v>5401</v>
      </c>
      <c r="C3909" s="89"/>
      <c r="D3909" s="88"/>
      <c r="E3909" s="89" t="s">
        <v>1764</v>
      </c>
      <c r="F3909" s="88" t="s">
        <v>89</v>
      </c>
      <c r="G3909" s="88">
        <v>1</v>
      </c>
      <c r="H3909" s="88"/>
      <c r="I3909" s="140">
        <f t="shared" si="174"/>
        <v>0</v>
      </c>
      <c r="J3909" s="88"/>
      <c r="K3909" s="89"/>
    </row>
    <row r="3910" spans="1:11" ht="12.75" customHeight="1" x14ac:dyDescent="0.25">
      <c r="A3910" s="88"/>
      <c r="B3910" s="89" t="s">
        <v>5402</v>
      </c>
      <c r="C3910" s="89"/>
      <c r="D3910" s="88"/>
      <c r="E3910" s="89"/>
      <c r="F3910" s="88" t="s">
        <v>89</v>
      </c>
      <c r="G3910" s="88">
        <v>90</v>
      </c>
      <c r="H3910" s="88"/>
      <c r="I3910" s="140">
        <f t="shared" si="174"/>
        <v>0</v>
      </c>
      <c r="J3910" s="88"/>
      <c r="K3910" s="89" t="s">
        <v>5403</v>
      </c>
    </row>
    <row r="3911" spans="1:11" ht="15" customHeight="1" x14ac:dyDescent="0.25">
      <c r="A3911" s="86"/>
      <c r="B3911" s="86" t="s">
        <v>5406</v>
      </c>
      <c r="C3911" s="86"/>
      <c r="D3911" s="86"/>
      <c r="E3911" s="86"/>
      <c r="F3911" s="86"/>
      <c r="G3911" s="87"/>
      <c r="H3911" s="86"/>
      <c r="I3911" s="141"/>
      <c r="J3911" s="86"/>
      <c r="K3911" s="86"/>
    </row>
    <row r="3912" spans="1:11" ht="12.75" customHeight="1" x14ac:dyDescent="0.25">
      <c r="A3912" s="88"/>
      <c r="B3912" s="89" t="s">
        <v>5407</v>
      </c>
      <c r="C3912" s="89" t="s">
        <v>5381</v>
      </c>
      <c r="D3912" s="88"/>
      <c r="E3912" s="89"/>
      <c r="F3912" s="88" t="s">
        <v>89</v>
      </c>
      <c r="G3912" s="88">
        <v>185</v>
      </c>
      <c r="H3912" s="88"/>
      <c r="I3912" s="140">
        <f>H3912*G3912</f>
        <v>0</v>
      </c>
      <c r="J3912" s="88"/>
      <c r="K3912" s="89"/>
    </row>
    <row r="3913" spans="1:11" ht="12.75" customHeight="1" x14ac:dyDescent="0.25">
      <c r="A3913" s="88"/>
      <c r="B3913" s="89" t="s">
        <v>5408</v>
      </c>
      <c r="C3913" s="89" t="s">
        <v>210</v>
      </c>
      <c r="D3913" s="88"/>
      <c r="E3913" s="89"/>
      <c r="F3913" s="88" t="s">
        <v>89</v>
      </c>
      <c r="G3913" s="88">
        <v>34</v>
      </c>
      <c r="H3913" s="88"/>
      <c r="I3913" s="140">
        <f>H3913*G3913</f>
        <v>0</v>
      </c>
      <c r="J3913" s="88"/>
      <c r="K3913" s="89"/>
    </row>
    <row r="3914" spans="1:11" ht="12.75" customHeight="1" x14ac:dyDescent="0.25">
      <c r="A3914" s="88"/>
      <c r="B3914" s="89" t="s">
        <v>5393</v>
      </c>
      <c r="C3914" s="89" t="s">
        <v>1781</v>
      </c>
      <c r="D3914" s="88"/>
      <c r="E3914" s="89"/>
      <c r="F3914" s="88" t="s">
        <v>158</v>
      </c>
      <c r="G3914" s="88">
        <v>12</v>
      </c>
      <c r="H3914" s="88"/>
      <c r="I3914" s="140">
        <f>H3914*G3914</f>
        <v>0</v>
      </c>
      <c r="J3914" s="88"/>
      <c r="K3914" s="89" t="s">
        <v>5394</v>
      </c>
    </row>
    <row r="3915" spans="1:11" ht="12.75" customHeight="1" x14ac:dyDescent="0.25">
      <c r="A3915" s="88"/>
      <c r="B3915" s="89" t="s">
        <v>5395</v>
      </c>
      <c r="C3915" s="89" t="s">
        <v>5396</v>
      </c>
      <c r="D3915" s="88"/>
      <c r="E3915" s="89"/>
      <c r="F3915" s="88" t="s">
        <v>158</v>
      </c>
      <c r="G3915" s="88">
        <v>21.6</v>
      </c>
      <c r="H3915" s="88"/>
      <c r="I3915" s="140">
        <f>H3915*G3915</f>
        <v>0</v>
      </c>
      <c r="J3915" s="88"/>
      <c r="K3915" s="89" t="s">
        <v>5397</v>
      </c>
    </row>
    <row r="3916" spans="1:11" ht="12.75" customHeight="1" x14ac:dyDescent="0.25">
      <c r="A3916" s="88"/>
      <c r="B3916" s="89" t="s">
        <v>5398</v>
      </c>
      <c r="C3916" s="89" t="s">
        <v>5399</v>
      </c>
      <c r="D3916" s="88"/>
      <c r="E3916" s="89"/>
      <c r="F3916" s="88" t="s">
        <v>2199</v>
      </c>
      <c r="G3916" s="88">
        <v>6</v>
      </c>
      <c r="H3916" s="88"/>
      <c r="I3916" s="140">
        <f>H3916*G3916</f>
        <v>0</v>
      </c>
      <c r="J3916" s="88"/>
      <c r="K3916" s="89" t="s">
        <v>5400</v>
      </c>
    </row>
    <row r="3917" spans="1:11" ht="15" customHeight="1" x14ac:dyDescent="0.25">
      <c r="A3917" s="86"/>
      <c r="B3917" s="86" t="s">
        <v>5409</v>
      </c>
      <c r="C3917" s="86"/>
      <c r="D3917" s="86"/>
      <c r="E3917" s="86"/>
      <c r="F3917" s="86"/>
      <c r="G3917" s="87"/>
      <c r="H3917" s="86"/>
      <c r="I3917" s="141"/>
      <c r="J3917" s="86"/>
      <c r="K3917" s="86"/>
    </row>
    <row r="3918" spans="1:11" ht="12.75" customHeight="1" x14ac:dyDescent="0.25">
      <c r="A3918" s="88"/>
      <c r="B3918" s="89" t="s">
        <v>5410</v>
      </c>
      <c r="C3918" s="89"/>
      <c r="D3918" s="88"/>
      <c r="E3918" s="89" t="s">
        <v>5411</v>
      </c>
      <c r="F3918" s="88" t="s">
        <v>78</v>
      </c>
      <c r="G3918" s="88">
        <v>2</v>
      </c>
      <c r="H3918" s="88">
        <v>897000</v>
      </c>
      <c r="I3918" s="140">
        <f>H3918*G3918</f>
        <v>1794000</v>
      </c>
      <c r="J3918" s="88"/>
      <c r="K3918" s="89"/>
    </row>
    <row r="3919" spans="1:11" ht="15.75" customHeight="1" x14ac:dyDescent="0.25">
      <c r="A3919" s="72" t="s">
        <v>5412</v>
      </c>
      <c r="B3919" s="73" t="s">
        <v>5413</v>
      </c>
      <c r="C3919" s="74"/>
      <c r="D3919" s="74"/>
      <c r="E3919" s="74"/>
      <c r="F3919" s="74"/>
      <c r="G3919" s="74"/>
      <c r="H3919" s="75"/>
      <c r="I3919" s="140"/>
      <c r="J3919" s="74"/>
      <c r="K3919" s="73"/>
    </row>
    <row r="3920" spans="1:11" ht="15.75" customHeight="1" x14ac:dyDescent="0.25">
      <c r="A3920" s="72"/>
      <c r="B3920" s="73" t="s">
        <v>5414</v>
      </c>
      <c r="C3920" s="74"/>
      <c r="D3920" s="74"/>
      <c r="E3920" s="74"/>
      <c r="F3920" s="74"/>
      <c r="G3920" s="74"/>
      <c r="H3920" s="75"/>
      <c r="I3920" s="140"/>
      <c r="J3920" s="74"/>
      <c r="K3920" s="73"/>
    </row>
    <row r="3921" spans="1:11" ht="15.75" customHeight="1" x14ac:dyDescent="0.25">
      <c r="A3921" s="72"/>
      <c r="B3921" s="73" t="s">
        <v>5415</v>
      </c>
      <c r="C3921" s="74"/>
      <c r="D3921" s="74" t="s">
        <v>6880</v>
      </c>
      <c r="E3921" s="70" t="s">
        <v>5411</v>
      </c>
      <c r="F3921" s="74"/>
      <c r="G3921" s="74">
        <v>1</v>
      </c>
      <c r="H3921" s="75">
        <v>3900000</v>
      </c>
      <c r="I3921" s="140">
        <f t="shared" ref="I3921" si="175">H3921*G3921</f>
        <v>3900000</v>
      </c>
      <c r="J3921" s="74"/>
      <c r="K3921" s="74" t="s">
        <v>6880</v>
      </c>
    </row>
    <row r="3922" spans="1:11" ht="41.25" customHeight="1" x14ac:dyDescent="0.25">
      <c r="A3922" s="68" t="s">
        <v>5416</v>
      </c>
      <c r="B3922" s="69" t="s">
        <v>5417</v>
      </c>
      <c r="C3922" s="70" t="s">
        <v>5418</v>
      </c>
      <c r="D3922" s="70"/>
      <c r="E3922" s="70" t="s">
        <v>5411</v>
      </c>
      <c r="F3922" s="70" t="s">
        <v>78</v>
      </c>
      <c r="G3922" s="70">
        <v>1</v>
      </c>
      <c r="H3922" s="71">
        <v>17690000</v>
      </c>
      <c r="I3922" s="134">
        <f>H3922*G3922</f>
        <v>17690000</v>
      </c>
      <c r="J3922" s="70">
        <v>7500</v>
      </c>
      <c r="K3922" s="69"/>
    </row>
    <row r="3923" spans="1:11" ht="15.75" customHeight="1" x14ac:dyDescent="0.25">
      <c r="A3923" s="68" t="s">
        <v>5419</v>
      </c>
      <c r="B3923" s="69" t="s">
        <v>5420</v>
      </c>
      <c r="C3923" s="70"/>
      <c r="D3923" s="70"/>
      <c r="E3923" s="70" t="s">
        <v>5411</v>
      </c>
      <c r="F3923" s="70" t="s">
        <v>78</v>
      </c>
      <c r="G3923" s="70">
        <v>1</v>
      </c>
      <c r="H3923" s="71">
        <v>2806000</v>
      </c>
      <c r="I3923" s="134">
        <f>H3923*G3923</f>
        <v>2806000</v>
      </c>
      <c r="J3923" s="70">
        <v>1800</v>
      </c>
      <c r="K3923" s="69" t="s">
        <v>5421</v>
      </c>
    </row>
    <row r="3924" spans="1:11" ht="28.5" customHeight="1" x14ac:dyDescent="0.25">
      <c r="A3924" s="68" t="s">
        <v>1938</v>
      </c>
      <c r="B3924" s="69" t="s">
        <v>5422</v>
      </c>
      <c r="C3924" s="70" t="s">
        <v>5423</v>
      </c>
      <c r="D3924" s="70"/>
      <c r="E3924" s="70" t="s">
        <v>5424</v>
      </c>
      <c r="F3924" s="70" t="s">
        <v>78</v>
      </c>
      <c r="G3924" s="70">
        <v>1</v>
      </c>
      <c r="H3924" s="71"/>
      <c r="I3924" s="134">
        <f>H3924*G3924</f>
        <v>0</v>
      </c>
      <c r="J3924" s="70">
        <v>11</v>
      </c>
      <c r="K3924" s="69"/>
    </row>
    <row r="3925" spans="1:11" ht="15.75" customHeight="1" x14ac:dyDescent="0.25">
      <c r="A3925" s="72"/>
      <c r="B3925" s="73" t="s">
        <v>5425</v>
      </c>
      <c r="C3925" s="74"/>
      <c r="D3925" s="74"/>
      <c r="E3925" s="74"/>
      <c r="F3925" s="74"/>
      <c r="G3925" s="74"/>
      <c r="H3925" s="75"/>
      <c r="I3925" s="135"/>
      <c r="J3925" s="74"/>
      <c r="K3925" s="73"/>
    </row>
    <row r="3926" spans="1:11" ht="15.75" customHeight="1" x14ac:dyDescent="0.25">
      <c r="A3926" s="68" t="s">
        <v>5426</v>
      </c>
      <c r="B3926" s="69" t="s">
        <v>5427</v>
      </c>
      <c r="C3926" s="70" t="s">
        <v>5428</v>
      </c>
      <c r="D3926" s="70"/>
      <c r="E3926" s="70" t="s">
        <v>2358</v>
      </c>
      <c r="F3926" s="70" t="s">
        <v>78</v>
      </c>
      <c r="G3926" s="70">
        <v>20</v>
      </c>
      <c r="H3926" s="71"/>
      <c r="I3926" s="134">
        <f t="shared" ref="I3926:I3943" si="176">H3926*G3926</f>
        <v>0</v>
      </c>
      <c r="J3926" s="70"/>
      <c r="K3926" s="69"/>
    </row>
    <row r="3927" spans="1:11" ht="15.75" customHeight="1" x14ac:dyDescent="0.25">
      <c r="A3927" s="68" t="s">
        <v>5429</v>
      </c>
      <c r="B3927" s="69" t="s">
        <v>5430</v>
      </c>
      <c r="C3927" s="70" t="s">
        <v>5428</v>
      </c>
      <c r="D3927" s="70"/>
      <c r="E3927" s="70" t="s">
        <v>2358</v>
      </c>
      <c r="F3927" s="70" t="s">
        <v>78</v>
      </c>
      <c r="G3927" s="70">
        <v>2</v>
      </c>
      <c r="H3927" s="71"/>
      <c r="I3927" s="134">
        <f t="shared" si="176"/>
        <v>0</v>
      </c>
      <c r="J3927" s="70"/>
      <c r="K3927" s="69"/>
    </row>
    <row r="3928" spans="1:11" ht="15.75" customHeight="1" x14ac:dyDescent="0.25">
      <c r="A3928" s="68" t="s">
        <v>5431</v>
      </c>
      <c r="B3928" s="69" t="s">
        <v>5432</v>
      </c>
      <c r="C3928" s="70" t="s">
        <v>5433</v>
      </c>
      <c r="D3928" s="70"/>
      <c r="E3928" s="70" t="s">
        <v>5434</v>
      </c>
      <c r="F3928" s="70" t="s">
        <v>78</v>
      </c>
      <c r="G3928" s="70">
        <v>12</v>
      </c>
      <c r="H3928" s="71"/>
      <c r="I3928" s="134">
        <f t="shared" si="176"/>
        <v>0</v>
      </c>
      <c r="J3928" s="70"/>
      <c r="K3928" s="69"/>
    </row>
    <row r="3929" spans="1:11" ht="15.75" customHeight="1" x14ac:dyDescent="0.25">
      <c r="A3929" s="68" t="s">
        <v>5435</v>
      </c>
      <c r="B3929" s="69" t="s">
        <v>5436</v>
      </c>
      <c r="C3929" s="70" t="s">
        <v>5437</v>
      </c>
      <c r="D3929" s="70"/>
      <c r="E3929" s="70" t="s">
        <v>2358</v>
      </c>
      <c r="F3929" s="70" t="s">
        <v>78</v>
      </c>
      <c r="G3929" s="70">
        <v>1</v>
      </c>
      <c r="H3929" s="71"/>
      <c r="I3929" s="134">
        <f t="shared" si="176"/>
        <v>0</v>
      </c>
      <c r="J3929" s="70"/>
      <c r="K3929" s="69"/>
    </row>
    <row r="3930" spans="1:11" ht="15.75" customHeight="1" x14ac:dyDescent="0.25">
      <c r="A3930" s="68" t="s">
        <v>5438</v>
      </c>
      <c r="B3930" s="69" t="s">
        <v>5439</v>
      </c>
      <c r="C3930" s="70" t="s">
        <v>5437</v>
      </c>
      <c r="D3930" s="70"/>
      <c r="E3930" s="70" t="s">
        <v>2358</v>
      </c>
      <c r="F3930" s="70" t="s">
        <v>78</v>
      </c>
      <c r="G3930" s="70">
        <v>1</v>
      </c>
      <c r="H3930" s="71"/>
      <c r="I3930" s="134">
        <f t="shared" si="176"/>
        <v>0</v>
      </c>
      <c r="J3930" s="70"/>
      <c r="K3930" s="69"/>
    </row>
    <row r="3931" spans="1:11" ht="15.75" customHeight="1" x14ac:dyDescent="0.25">
      <c r="A3931" s="68" t="s">
        <v>5440</v>
      </c>
      <c r="B3931" s="69" t="s">
        <v>5441</v>
      </c>
      <c r="C3931" s="70" t="s">
        <v>5442</v>
      </c>
      <c r="D3931" s="70"/>
      <c r="E3931" s="70" t="s">
        <v>2358</v>
      </c>
      <c r="F3931" s="70" t="s">
        <v>78</v>
      </c>
      <c r="G3931" s="70">
        <v>1</v>
      </c>
      <c r="H3931" s="71"/>
      <c r="I3931" s="134">
        <f t="shared" si="176"/>
        <v>0</v>
      </c>
      <c r="J3931" s="70"/>
      <c r="K3931" s="69"/>
    </row>
    <row r="3932" spans="1:11" ht="15.75" customHeight="1" x14ac:dyDescent="0.25">
      <c r="A3932" s="68" t="s">
        <v>5443</v>
      </c>
      <c r="B3932" s="69" t="s">
        <v>5444</v>
      </c>
      <c r="C3932" s="70" t="s">
        <v>5442</v>
      </c>
      <c r="D3932" s="70"/>
      <c r="E3932" s="70" t="s">
        <v>2358</v>
      </c>
      <c r="F3932" s="70" t="s">
        <v>78</v>
      </c>
      <c r="G3932" s="70">
        <v>1</v>
      </c>
      <c r="H3932" s="71"/>
      <c r="I3932" s="134">
        <f t="shared" si="176"/>
        <v>0</v>
      </c>
      <c r="J3932" s="70"/>
      <c r="K3932" s="69"/>
    </row>
    <row r="3933" spans="1:11" ht="15.75" customHeight="1" x14ac:dyDescent="0.25">
      <c r="A3933" s="68" t="s">
        <v>5445</v>
      </c>
      <c r="B3933" s="69" t="s">
        <v>5446</v>
      </c>
      <c r="C3933" s="70" t="s">
        <v>5447</v>
      </c>
      <c r="D3933" s="70"/>
      <c r="E3933" s="70" t="s">
        <v>2358</v>
      </c>
      <c r="F3933" s="70" t="s">
        <v>78</v>
      </c>
      <c r="G3933" s="70">
        <v>2</v>
      </c>
      <c r="H3933" s="71"/>
      <c r="I3933" s="134">
        <f t="shared" si="176"/>
        <v>0</v>
      </c>
      <c r="J3933" s="70"/>
      <c r="K3933" s="69"/>
    </row>
    <row r="3934" spans="1:11" ht="15.75" customHeight="1" x14ac:dyDescent="0.25">
      <c r="A3934" s="68"/>
      <c r="B3934" s="69" t="s">
        <v>5448</v>
      </c>
      <c r="C3934" s="70"/>
      <c r="D3934" s="70"/>
      <c r="E3934" s="70"/>
      <c r="F3934" s="70" t="s">
        <v>78</v>
      </c>
      <c r="G3934" s="70">
        <v>4</v>
      </c>
      <c r="H3934" s="71"/>
      <c r="I3934" s="134">
        <f t="shared" si="176"/>
        <v>0</v>
      </c>
      <c r="J3934" s="70"/>
      <c r="K3934" s="69"/>
    </row>
    <row r="3935" spans="1:11" ht="15.75" customHeight="1" x14ac:dyDescent="0.25">
      <c r="A3935" s="68"/>
      <c r="B3935" s="69" t="s">
        <v>5449</v>
      </c>
      <c r="C3935" s="70"/>
      <c r="D3935" s="70"/>
      <c r="E3935" s="70"/>
      <c r="F3935" s="70" t="s">
        <v>78</v>
      </c>
      <c r="G3935" s="70">
        <v>8</v>
      </c>
      <c r="H3935" s="71"/>
      <c r="I3935" s="134">
        <f t="shared" si="176"/>
        <v>0</v>
      </c>
      <c r="J3935" s="70"/>
      <c r="K3935" s="69"/>
    </row>
    <row r="3936" spans="1:11" ht="15.75" customHeight="1" x14ac:dyDescent="0.25">
      <c r="A3936" s="68"/>
      <c r="B3936" s="69" t="s">
        <v>5450</v>
      </c>
      <c r="C3936" s="70"/>
      <c r="D3936" s="70"/>
      <c r="E3936" s="70"/>
      <c r="F3936" s="70" t="s">
        <v>78</v>
      </c>
      <c r="G3936" s="70">
        <v>4</v>
      </c>
      <c r="H3936" s="71"/>
      <c r="I3936" s="134">
        <f t="shared" si="176"/>
        <v>0</v>
      </c>
      <c r="J3936" s="70"/>
      <c r="K3936" s="69"/>
    </row>
    <row r="3937" spans="1:11" ht="15.75" customHeight="1" x14ac:dyDescent="0.25">
      <c r="A3937" s="68"/>
      <c r="B3937" s="69" t="s">
        <v>5451</v>
      </c>
      <c r="C3937" s="70"/>
      <c r="D3937" s="70"/>
      <c r="E3937" s="70"/>
      <c r="F3937" s="70" t="s">
        <v>78</v>
      </c>
      <c r="G3937" s="70">
        <v>8</v>
      </c>
      <c r="H3937" s="71"/>
      <c r="I3937" s="134">
        <f t="shared" si="176"/>
        <v>0</v>
      </c>
      <c r="J3937" s="70"/>
      <c r="K3937" s="69"/>
    </row>
    <row r="3938" spans="1:11" ht="15.75" customHeight="1" x14ac:dyDescent="0.25">
      <c r="A3938" s="68"/>
      <c r="B3938" s="69" t="s">
        <v>5452</v>
      </c>
      <c r="C3938" s="70"/>
      <c r="D3938" s="70"/>
      <c r="E3938" s="70"/>
      <c r="F3938" s="70" t="s">
        <v>78</v>
      </c>
      <c r="G3938" s="70">
        <v>4</v>
      </c>
      <c r="H3938" s="71"/>
      <c r="I3938" s="134">
        <f t="shared" si="176"/>
        <v>0</v>
      </c>
      <c r="J3938" s="70"/>
      <c r="K3938" s="69"/>
    </row>
    <row r="3939" spans="1:11" ht="15.75" customHeight="1" x14ac:dyDescent="0.25">
      <c r="A3939" s="68"/>
      <c r="B3939" s="69" t="s">
        <v>5453</v>
      </c>
      <c r="C3939" s="70"/>
      <c r="D3939" s="70"/>
      <c r="E3939" s="70"/>
      <c r="F3939" s="70" t="s">
        <v>78</v>
      </c>
      <c r="G3939" s="70">
        <v>2</v>
      </c>
      <c r="H3939" s="71"/>
      <c r="I3939" s="134">
        <f t="shared" si="176"/>
        <v>0</v>
      </c>
      <c r="J3939" s="70"/>
      <c r="K3939" s="69"/>
    </row>
    <row r="3940" spans="1:11" ht="15.75" customHeight="1" x14ac:dyDescent="0.25">
      <c r="A3940" s="68"/>
      <c r="B3940" s="69" t="s">
        <v>5454</v>
      </c>
      <c r="C3940" s="70"/>
      <c r="D3940" s="70"/>
      <c r="E3940" s="70"/>
      <c r="F3940" s="70" t="s">
        <v>78</v>
      </c>
      <c r="G3940" s="70">
        <v>4</v>
      </c>
      <c r="H3940" s="71"/>
      <c r="I3940" s="134">
        <f t="shared" si="176"/>
        <v>0</v>
      </c>
      <c r="J3940" s="70"/>
      <c r="K3940" s="69"/>
    </row>
    <row r="3941" spans="1:11" ht="15.75" customHeight="1" x14ac:dyDescent="0.25">
      <c r="A3941" s="68"/>
      <c r="B3941" s="69" t="s">
        <v>5455</v>
      </c>
      <c r="C3941" s="70"/>
      <c r="D3941" s="70"/>
      <c r="E3941" s="70"/>
      <c r="F3941" s="70" t="s">
        <v>78</v>
      </c>
      <c r="G3941" s="70">
        <v>8</v>
      </c>
      <c r="H3941" s="71"/>
      <c r="I3941" s="134">
        <f t="shared" si="176"/>
        <v>0</v>
      </c>
      <c r="J3941" s="70"/>
      <c r="K3941" s="69"/>
    </row>
    <row r="3942" spans="1:11" ht="15.75" customHeight="1" x14ac:dyDescent="0.25">
      <c r="A3942" s="68"/>
      <c r="B3942" s="69" t="s">
        <v>5456</v>
      </c>
      <c r="C3942" s="70"/>
      <c r="D3942" s="70"/>
      <c r="E3942" s="70"/>
      <c r="F3942" s="70" t="s">
        <v>89</v>
      </c>
      <c r="G3942" s="70">
        <v>30</v>
      </c>
      <c r="H3942" s="71"/>
      <c r="I3942" s="134">
        <f t="shared" si="176"/>
        <v>0</v>
      </c>
      <c r="J3942" s="70"/>
      <c r="K3942" s="69"/>
    </row>
    <row r="3943" spans="1:11" ht="15.75" customHeight="1" x14ac:dyDescent="0.25">
      <c r="A3943" s="68"/>
      <c r="B3943" s="69" t="s">
        <v>5457</v>
      </c>
      <c r="C3943" s="70"/>
      <c r="D3943" s="70"/>
      <c r="E3943" s="70"/>
      <c r="F3943" s="70" t="s">
        <v>78</v>
      </c>
      <c r="G3943" s="70">
        <v>6</v>
      </c>
      <c r="H3943" s="71"/>
      <c r="I3943" s="134">
        <f t="shared" si="176"/>
        <v>0</v>
      </c>
      <c r="J3943" s="70"/>
      <c r="K3943" s="69"/>
    </row>
    <row r="3944" spans="1:11" ht="15.75" customHeight="1" x14ac:dyDescent="0.25">
      <c r="A3944" s="72"/>
      <c r="B3944" s="73" t="s">
        <v>5458</v>
      </c>
      <c r="C3944" s="74"/>
      <c r="D3944" s="74"/>
      <c r="E3944" s="74"/>
      <c r="F3944" s="74"/>
      <c r="G3944" s="74"/>
      <c r="H3944" s="75"/>
      <c r="I3944" s="135"/>
      <c r="J3944" s="74"/>
      <c r="K3944" s="73"/>
    </row>
    <row r="3945" spans="1:11" ht="15.75" customHeight="1" x14ac:dyDescent="0.25">
      <c r="A3945" s="68"/>
      <c r="B3945" s="69" t="s">
        <v>5459</v>
      </c>
      <c r="C3945" s="70"/>
      <c r="D3945" s="70"/>
      <c r="E3945" s="70"/>
      <c r="F3945" s="70" t="s">
        <v>89</v>
      </c>
      <c r="G3945" s="70">
        <v>24000</v>
      </c>
      <c r="H3945" s="71"/>
      <c r="I3945" s="134">
        <f>H3945*G3945</f>
        <v>0</v>
      </c>
      <c r="J3945" s="70"/>
      <c r="K3945" s="69" t="s">
        <v>5460</v>
      </c>
    </row>
    <row r="3946" spans="1:11" ht="15.75" customHeight="1" x14ac:dyDescent="0.25">
      <c r="A3946" s="68"/>
      <c r="B3946" s="69" t="s">
        <v>5461</v>
      </c>
      <c r="C3946" s="70"/>
      <c r="D3946" s="70"/>
      <c r="E3946" s="70"/>
      <c r="F3946" s="70" t="s">
        <v>78</v>
      </c>
      <c r="G3946" s="70">
        <v>768</v>
      </c>
      <c r="H3946" s="71"/>
      <c r="I3946" s="134">
        <f>H3946*G3946</f>
        <v>0</v>
      </c>
      <c r="J3946" s="70"/>
      <c r="K3946" s="69"/>
    </row>
    <row r="3947" spans="1:11" ht="15.75" customHeight="1" x14ac:dyDescent="0.25">
      <c r="A3947" s="68"/>
      <c r="B3947" s="69" t="s">
        <v>5462</v>
      </c>
      <c r="C3947" s="70"/>
      <c r="D3947" s="70"/>
      <c r="E3947" s="70"/>
      <c r="F3947" s="70" t="s">
        <v>78</v>
      </c>
      <c r="G3947" s="70">
        <v>1536</v>
      </c>
      <c r="H3947" s="71"/>
      <c r="I3947" s="134">
        <f>H3947*G3947</f>
        <v>0</v>
      </c>
      <c r="J3947" s="70"/>
      <c r="K3947" s="69"/>
    </row>
    <row r="3948" spans="1:11" ht="15.75" customHeight="1" x14ac:dyDescent="0.25">
      <c r="A3948" s="72"/>
      <c r="B3948" s="73" t="s">
        <v>5463</v>
      </c>
      <c r="C3948" s="74"/>
      <c r="D3948" s="74"/>
      <c r="E3948" s="74"/>
      <c r="F3948" s="74"/>
      <c r="G3948" s="74"/>
      <c r="H3948" s="75"/>
      <c r="I3948" s="135"/>
      <c r="J3948" s="74"/>
      <c r="K3948" s="73"/>
    </row>
    <row r="3949" spans="1:11" ht="15.75" customHeight="1" x14ac:dyDescent="0.25">
      <c r="A3949" s="68"/>
      <c r="B3949" s="69" t="s">
        <v>5459</v>
      </c>
      <c r="C3949" s="70"/>
      <c r="D3949" s="70"/>
      <c r="E3949" s="70"/>
      <c r="F3949" s="70" t="s">
        <v>89</v>
      </c>
      <c r="G3949" s="70">
        <v>2500</v>
      </c>
      <c r="H3949" s="71"/>
      <c r="I3949" s="134">
        <f>H3949*G3949</f>
        <v>0</v>
      </c>
      <c r="J3949" s="70"/>
      <c r="K3949" s="69" t="s">
        <v>5464</v>
      </c>
    </row>
    <row r="3950" spans="1:11" ht="15.75" customHeight="1" x14ac:dyDescent="0.25">
      <c r="A3950" s="68"/>
      <c r="B3950" s="69" t="s">
        <v>5461</v>
      </c>
      <c r="C3950" s="70"/>
      <c r="D3950" s="70"/>
      <c r="E3950" s="70"/>
      <c r="F3950" s="70" t="s">
        <v>78</v>
      </c>
      <c r="G3950" s="70">
        <v>392</v>
      </c>
      <c r="H3950" s="71"/>
      <c r="I3950" s="134">
        <f>H3950*G3950</f>
        <v>0</v>
      </c>
      <c r="J3950" s="70"/>
      <c r="K3950" s="69"/>
    </row>
    <row r="3951" spans="1:11" ht="15.75" customHeight="1" x14ac:dyDescent="0.25">
      <c r="A3951" s="68"/>
      <c r="B3951" s="69" t="s">
        <v>5462</v>
      </c>
      <c r="C3951" s="70"/>
      <c r="D3951" s="70"/>
      <c r="E3951" s="70"/>
      <c r="F3951" s="70" t="s">
        <v>78</v>
      </c>
      <c r="G3951" s="70">
        <v>784</v>
      </c>
      <c r="H3951" s="71"/>
      <c r="I3951" s="134">
        <f>H3951*G3951</f>
        <v>0</v>
      </c>
      <c r="J3951" s="70"/>
      <c r="K3951" s="69"/>
    </row>
    <row r="3952" spans="1:11" ht="28.5" customHeight="1" x14ac:dyDescent="0.25">
      <c r="A3952" s="72"/>
      <c r="B3952" s="73" t="s">
        <v>5465</v>
      </c>
      <c r="C3952" s="74"/>
      <c r="D3952" s="74"/>
      <c r="E3952" s="74"/>
      <c r="F3952" s="74"/>
      <c r="G3952" s="74"/>
      <c r="H3952" s="75"/>
      <c r="I3952" s="135"/>
      <c r="J3952" s="74"/>
      <c r="K3952" s="73"/>
    </row>
    <row r="3953" spans="1:11" ht="15.75" customHeight="1" x14ac:dyDescent="0.25">
      <c r="A3953" s="68"/>
      <c r="B3953" s="69" t="s">
        <v>5459</v>
      </c>
      <c r="C3953" s="70"/>
      <c r="D3953" s="70"/>
      <c r="E3953" s="70"/>
      <c r="F3953" s="70" t="s">
        <v>89</v>
      </c>
      <c r="G3953" s="70">
        <v>3250</v>
      </c>
      <c r="H3953" s="71"/>
      <c r="I3953" s="134">
        <f t="shared" ref="I3953:I3961" si="177">H3953*G3953</f>
        <v>0</v>
      </c>
      <c r="J3953" s="70"/>
      <c r="K3953" s="69" t="s">
        <v>5466</v>
      </c>
    </row>
    <row r="3954" spans="1:11" ht="15.75" customHeight="1" x14ac:dyDescent="0.25">
      <c r="A3954" s="68"/>
      <c r="B3954" s="69" t="s">
        <v>5461</v>
      </c>
      <c r="C3954" s="70"/>
      <c r="D3954" s="70"/>
      <c r="E3954" s="70"/>
      <c r="F3954" s="70" t="s">
        <v>78</v>
      </c>
      <c r="G3954" s="70">
        <v>78</v>
      </c>
      <c r="H3954" s="71"/>
      <c r="I3954" s="134">
        <f t="shared" si="177"/>
        <v>0</v>
      </c>
      <c r="J3954" s="70"/>
      <c r="K3954" s="69"/>
    </row>
    <row r="3955" spans="1:11" ht="15.75" customHeight="1" x14ac:dyDescent="0.25">
      <c r="A3955" s="68"/>
      <c r="B3955" s="69" t="s">
        <v>5462</v>
      </c>
      <c r="C3955" s="70"/>
      <c r="D3955" s="70"/>
      <c r="E3955" s="70"/>
      <c r="F3955" s="70" t="s">
        <v>78</v>
      </c>
      <c r="G3955" s="70">
        <v>156</v>
      </c>
      <c r="H3955" s="71"/>
      <c r="I3955" s="134">
        <f t="shared" si="177"/>
        <v>0</v>
      </c>
      <c r="J3955" s="70"/>
      <c r="K3955" s="69"/>
    </row>
    <row r="3956" spans="1:11" ht="15.75" customHeight="1" x14ac:dyDescent="0.25">
      <c r="A3956" s="68"/>
      <c r="B3956" s="69" t="s">
        <v>5448</v>
      </c>
      <c r="C3956" s="70"/>
      <c r="D3956" s="70"/>
      <c r="E3956" s="70"/>
      <c r="F3956" s="70" t="s">
        <v>78</v>
      </c>
      <c r="G3956" s="70">
        <v>25</v>
      </c>
      <c r="H3956" s="71"/>
      <c r="I3956" s="134">
        <f t="shared" si="177"/>
        <v>0</v>
      </c>
      <c r="J3956" s="70"/>
      <c r="K3956" s="69" t="s">
        <v>5467</v>
      </c>
    </row>
    <row r="3957" spans="1:11" ht="28.5" customHeight="1" x14ac:dyDescent="0.25">
      <c r="A3957" s="68"/>
      <c r="B3957" s="69" t="s">
        <v>5459</v>
      </c>
      <c r="C3957" s="70"/>
      <c r="D3957" s="70"/>
      <c r="E3957" s="70"/>
      <c r="F3957" s="70" t="s">
        <v>89</v>
      </c>
      <c r="G3957" s="70">
        <v>62</v>
      </c>
      <c r="H3957" s="71"/>
      <c r="I3957" s="134">
        <f t="shared" si="177"/>
        <v>0</v>
      </c>
      <c r="J3957" s="70"/>
      <c r="K3957" s="69" t="s">
        <v>5468</v>
      </c>
    </row>
    <row r="3958" spans="1:11" ht="28.5" customHeight="1" x14ac:dyDescent="0.25">
      <c r="A3958" s="68"/>
      <c r="B3958" s="69" t="s">
        <v>5469</v>
      </c>
      <c r="C3958" s="70" t="s">
        <v>5470</v>
      </c>
      <c r="D3958" s="70"/>
      <c r="E3958" s="70" t="s">
        <v>5471</v>
      </c>
      <c r="F3958" s="70" t="s">
        <v>78</v>
      </c>
      <c r="G3958" s="70">
        <v>2</v>
      </c>
      <c r="H3958" s="71"/>
      <c r="I3958" s="134">
        <f t="shared" si="177"/>
        <v>0</v>
      </c>
      <c r="J3958" s="70"/>
      <c r="K3958" s="69"/>
    </row>
    <row r="3959" spans="1:11" ht="54" customHeight="1" x14ac:dyDescent="0.25">
      <c r="A3959" s="68"/>
      <c r="B3959" s="69" t="s">
        <v>5472</v>
      </c>
      <c r="C3959" s="70" t="s">
        <v>5473</v>
      </c>
      <c r="D3959" s="70"/>
      <c r="E3959" s="70"/>
      <c r="F3959" s="70" t="s">
        <v>89</v>
      </c>
      <c r="G3959" s="70">
        <v>70</v>
      </c>
      <c r="H3959" s="71"/>
      <c r="I3959" s="134">
        <f t="shared" si="177"/>
        <v>0</v>
      </c>
      <c r="J3959" s="70"/>
      <c r="K3959" s="69"/>
    </row>
    <row r="3960" spans="1:11" ht="28.5" customHeight="1" x14ac:dyDescent="0.25">
      <c r="A3960" s="68"/>
      <c r="B3960" s="69" t="s">
        <v>5474</v>
      </c>
      <c r="C3960" s="70"/>
      <c r="D3960" s="70"/>
      <c r="E3960" s="70"/>
      <c r="F3960" s="70" t="s">
        <v>78</v>
      </c>
      <c r="G3960" s="70">
        <v>2</v>
      </c>
      <c r="H3960" s="71"/>
      <c r="I3960" s="134">
        <f t="shared" si="177"/>
        <v>0</v>
      </c>
      <c r="J3960" s="70"/>
      <c r="K3960" s="69"/>
    </row>
    <row r="3961" spans="1:11" ht="28.5" customHeight="1" x14ac:dyDescent="0.25">
      <c r="A3961" s="68"/>
      <c r="B3961" s="69" t="s">
        <v>5475</v>
      </c>
      <c r="C3961" s="70"/>
      <c r="D3961" s="70"/>
      <c r="E3961" s="70"/>
      <c r="F3961" s="70" t="s">
        <v>78</v>
      </c>
      <c r="G3961" s="70">
        <v>2</v>
      </c>
      <c r="H3961" s="71"/>
      <c r="I3961" s="134">
        <f t="shared" si="177"/>
        <v>0</v>
      </c>
      <c r="J3961" s="70"/>
      <c r="K3961" s="69"/>
    </row>
    <row r="3962" spans="1:11" ht="28.5" customHeight="1" x14ac:dyDescent="0.25">
      <c r="A3962" s="72"/>
      <c r="B3962" s="73" t="s">
        <v>5476</v>
      </c>
      <c r="C3962" s="74"/>
      <c r="D3962" s="74"/>
      <c r="E3962" s="74"/>
      <c r="F3962" s="74"/>
      <c r="G3962" s="74"/>
      <c r="H3962" s="75"/>
      <c r="I3962" s="135"/>
      <c r="J3962" s="74"/>
      <c r="K3962" s="73"/>
    </row>
    <row r="3963" spans="1:11" ht="15.75" customHeight="1" x14ac:dyDescent="0.25">
      <c r="A3963" s="68"/>
      <c r="B3963" s="69" t="s">
        <v>5459</v>
      </c>
      <c r="C3963" s="70"/>
      <c r="D3963" s="70"/>
      <c r="E3963" s="70"/>
      <c r="F3963" s="70" t="s">
        <v>89</v>
      </c>
      <c r="G3963" s="70">
        <v>400</v>
      </c>
      <c r="H3963" s="71"/>
      <c r="I3963" s="134">
        <f t="shared" ref="I3963:I3971" si="178">H3963*G3963</f>
        <v>0</v>
      </c>
      <c r="J3963" s="70"/>
      <c r="K3963" s="69" t="s">
        <v>5477</v>
      </c>
    </row>
    <row r="3964" spans="1:11" ht="15.75" customHeight="1" x14ac:dyDescent="0.25">
      <c r="A3964" s="68"/>
      <c r="B3964" s="69" t="s">
        <v>5461</v>
      </c>
      <c r="C3964" s="70"/>
      <c r="D3964" s="70"/>
      <c r="E3964" s="70"/>
      <c r="F3964" s="70" t="s">
        <v>78</v>
      </c>
      <c r="G3964" s="70">
        <v>42</v>
      </c>
      <c r="H3964" s="71"/>
      <c r="I3964" s="134">
        <f t="shared" si="178"/>
        <v>0</v>
      </c>
      <c r="J3964" s="70"/>
      <c r="K3964" s="69"/>
    </row>
    <row r="3965" spans="1:11" ht="15.75" customHeight="1" x14ac:dyDescent="0.25">
      <c r="A3965" s="68"/>
      <c r="B3965" s="69" t="s">
        <v>5462</v>
      </c>
      <c r="C3965" s="70"/>
      <c r="D3965" s="70"/>
      <c r="E3965" s="70"/>
      <c r="F3965" s="70" t="s">
        <v>78</v>
      </c>
      <c r="G3965" s="70">
        <v>84</v>
      </c>
      <c r="H3965" s="71"/>
      <c r="I3965" s="134">
        <f t="shared" si="178"/>
        <v>0</v>
      </c>
      <c r="J3965" s="70"/>
      <c r="K3965" s="69"/>
    </row>
    <row r="3966" spans="1:11" ht="15.75" customHeight="1" x14ac:dyDescent="0.25">
      <c r="A3966" s="68"/>
      <c r="B3966" s="69" t="s">
        <v>5448</v>
      </c>
      <c r="C3966" s="70"/>
      <c r="D3966" s="70"/>
      <c r="E3966" s="70"/>
      <c r="F3966" s="70" t="s">
        <v>78</v>
      </c>
      <c r="G3966" s="70">
        <v>5</v>
      </c>
      <c r="H3966" s="71"/>
      <c r="I3966" s="134">
        <f t="shared" si="178"/>
        <v>0</v>
      </c>
      <c r="J3966" s="70"/>
      <c r="K3966" s="69" t="s">
        <v>5467</v>
      </c>
    </row>
    <row r="3967" spans="1:11" ht="28.5" customHeight="1" x14ac:dyDescent="0.25">
      <c r="A3967" s="68"/>
      <c r="B3967" s="69" t="s">
        <v>5459</v>
      </c>
      <c r="C3967" s="70"/>
      <c r="D3967" s="70"/>
      <c r="E3967" s="70"/>
      <c r="F3967" s="70" t="s">
        <v>89</v>
      </c>
      <c r="G3967" s="70">
        <v>14</v>
      </c>
      <c r="H3967" s="71"/>
      <c r="I3967" s="134">
        <f t="shared" si="178"/>
        <v>0</v>
      </c>
      <c r="J3967" s="70"/>
      <c r="K3967" s="69" t="s">
        <v>5468</v>
      </c>
    </row>
    <row r="3968" spans="1:11" ht="28.5" customHeight="1" x14ac:dyDescent="0.25">
      <c r="A3968" s="68"/>
      <c r="B3968" s="69" t="s">
        <v>5469</v>
      </c>
      <c r="C3968" s="70" t="s">
        <v>5470</v>
      </c>
      <c r="D3968" s="70"/>
      <c r="E3968" s="70" t="s">
        <v>5471</v>
      </c>
      <c r="F3968" s="70" t="s">
        <v>78</v>
      </c>
      <c r="G3968" s="70">
        <v>2</v>
      </c>
      <c r="H3968" s="71"/>
      <c r="I3968" s="134">
        <f t="shared" si="178"/>
        <v>0</v>
      </c>
      <c r="J3968" s="70"/>
      <c r="K3968" s="69"/>
    </row>
    <row r="3969" spans="1:11" ht="54" customHeight="1" x14ac:dyDescent="0.25">
      <c r="A3969" s="68"/>
      <c r="B3969" s="69" t="s">
        <v>5472</v>
      </c>
      <c r="C3969" s="70" t="s">
        <v>5473</v>
      </c>
      <c r="D3969" s="70"/>
      <c r="E3969" s="70"/>
      <c r="F3969" s="70" t="s">
        <v>89</v>
      </c>
      <c r="G3969" s="70">
        <v>16</v>
      </c>
      <c r="H3969" s="71"/>
      <c r="I3969" s="134">
        <f t="shared" si="178"/>
        <v>0</v>
      </c>
      <c r="J3969" s="70"/>
      <c r="K3969" s="69"/>
    </row>
    <row r="3970" spans="1:11" ht="28.5" customHeight="1" x14ac:dyDescent="0.25">
      <c r="A3970" s="68"/>
      <c r="B3970" s="69" t="s">
        <v>5474</v>
      </c>
      <c r="C3970" s="70"/>
      <c r="D3970" s="70"/>
      <c r="E3970" s="70"/>
      <c r="F3970" s="70" t="s">
        <v>78</v>
      </c>
      <c r="G3970" s="70">
        <v>2</v>
      </c>
      <c r="H3970" s="71"/>
      <c r="I3970" s="134">
        <f t="shared" si="178"/>
        <v>0</v>
      </c>
      <c r="J3970" s="70"/>
      <c r="K3970" s="69"/>
    </row>
    <row r="3971" spans="1:11" ht="28.5" customHeight="1" x14ac:dyDescent="0.25">
      <c r="A3971" s="68"/>
      <c r="B3971" s="69" t="s">
        <v>5475</v>
      </c>
      <c r="C3971" s="70"/>
      <c r="D3971" s="70"/>
      <c r="E3971" s="70"/>
      <c r="F3971" s="70" t="s">
        <v>78</v>
      </c>
      <c r="G3971" s="70">
        <v>2</v>
      </c>
      <c r="H3971" s="71"/>
      <c r="I3971" s="134">
        <f t="shared" si="178"/>
        <v>0</v>
      </c>
      <c r="J3971" s="70"/>
      <c r="K3971" s="69"/>
    </row>
    <row r="3972" spans="1:11" ht="15.75" customHeight="1" x14ac:dyDescent="0.25">
      <c r="A3972" s="72"/>
      <c r="B3972" s="73" t="s">
        <v>5478</v>
      </c>
      <c r="C3972" s="74"/>
      <c r="D3972" s="74"/>
      <c r="E3972" s="74"/>
      <c r="F3972" s="74"/>
      <c r="G3972" s="74"/>
      <c r="H3972" s="75"/>
      <c r="I3972" s="135"/>
      <c r="J3972" s="74"/>
      <c r="K3972" s="73"/>
    </row>
    <row r="3973" spans="1:11" ht="15.75" customHeight="1" x14ac:dyDescent="0.25">
      <c r="A3973" s="68"/>
      <c r="B3973" s="69" t="s">
        <v>5479</v>
      </c>
      <c r="C3973" s="70"/>
      <c r="D3973" s="70"/>
      <c r="E3973" s="70"/>
      <c r="F3973" s="70" t="s">
        <v>89</v>
      </c>
      <c r="G3973" s="70">
        <v>180</v>
      </c>
      <c r="H3973" s="71"/>
      <c r="I3973" s="134">
        <f t="shared" ref="I3973:I3982" si="179">H3973*G3973</f>
        <v>0</v>
      </c>
      <c r="J3973" s="70"/>
      <c r="K3973" s="69"/>
    </row>
    <row r="3974" spans="1:11" ht="15.75" customHeight="1" x14ac:dyDescent="0.25">
      <c r="A3974" s="68"/>
      <c r="B3974" s="69" t="s">
        <v>5480</v>
      </c>
      <c r="C3974" s="70"/>
      <c r="D3974" s="70"/>
      <c r="E3974" s="70"/>
      <c r="F3974" s="70" t="s">
        <v>78</v>
      </c>
      <c r="G3974" s="70">
        <v>384</v>
      </c>
      <c r="H3974" s="71"/>
      <c r="I3974" s="134">
        <f t="shared" si="179"/>
        <v>0</v>
      </c>
      <c r="J3974" s="70"/>
      <c r="K3974" s="69"/>
    </row>
    <row r="3975" spans="1:11" ht="15.75" customHeight="1" x14ac:dyDescent="0.25">
      <c r="A3975" s="68"/>
      <c r="B3975" s="69" t="s">
        <v>5481</v>
      </c>
      <c r="C3975" s="70"/>
      <c r="D3975" s="70"/>
      <c r="E3975" s="70"/>
      <c r="F3975" s="70" t="s">
        <v>78</v>
      </c>
      <c r="G3975" s="70">
        <v>2</v>
      </c>
      <c r="H3975" s="71"/>
      <c r="I3975" s="134">
        <f t="shared" si="179"/>
        <v>0</v>
      </c>
      <c r="J3975" s="70"/>
      <c r="K3975" s="69"/>
    </row>
    <row r="3976" spans="1:11" ht="15.75" customHeight="1" x14ac:dyDescent="0.25">
      <c r="A3976" s="68"/>
      <c r="B3976" s="69" t="s">
        <v>5482</v>
      </c>
      <c r="C3976" s="70"/>
      <c r="D3976" s="70"/>
      <c r="E3976" s="70"/>
      <c r="F3976" s="70" t="s">
        <v>78</v>
      </c>
      <c r="G3976" s="70">
        <v>12</v>
      </c>
      <c r="H3976" s="71"/>
      <c r="I3976" s="134">
        <f t="shared" si="179"/>
        <v>0</v>
      </c>
      <c r="J3976" s="70"/>
      <c r="K3976" s="69"/>
    </row>
    <row r="3977" spans="1:11" ht="15.75" customHeight="1" x14ac:dyDescent="0.25">
      <c r="A3977" s="68"/>
      <c r="B3977" s="69" t="s">
        <v>5483</v>
      </c>
      <c r="C3977" s="70"/>
      <c r="D3977" s="70"/>
      <c r="E3977" s="70"/>
      <c r="F3977" s="70" t="s">
        <v>78</v>
      </c>
      <c r="G3977" s="70">
        <v>8</v>
      </c>
      <c r="H3977" s="71"/>
      <c r="I3977" s="134">
        <f t="shared" si="179"/>
        <v>0</v>
      </c>
      <c r="J3977" s="70"/>
      <c r="K3977" s="69"/>
    </row>
    <row r="3978" spans="1:11" ht="28.5" customHeight="1" x14ac:dyDescent="0.25">
      <c r="A3978" s="68"/>
      <c r="B3978" s="69" t="s">
        <v>5480</v>
      </c>
      <c r="C3978" s="70"/>
      <c r="D3978" s="70"/>
      <c r="E3978" s="70"/>
      <c r="F3978" s="70" t="s">
        <v>78</v>
      </c>
      <c r="G3978" s="70">
        <v>4</v>
      </c>
      <c r="H3978" s="71"/>
      <c r="I3978" s="134">
        <f t="shared" si="179"/>
        <v>0</v>
      </c>
      <c r="J3978" s="70"/>
      <c r="K3978" s="69" t="s">
        <v>5484</v>
      </c>
    </row>
    <row r="3979" spans="1:11" ht="15.75" customHeight="1" x14ac:dyDescent="0.25">
      <c r="A3979" s="68"/>
      <c r="B3979" s="69" t="s">
        <v>5448</v>
      </c>
      <c r="C3979" s="70"/>
      <c r="D3979" s="70"/>
      <c r="E3979" s="70"/>
      <c r="F3979" s="70" t="s">
        <v>78</v>
      </c>
      <c r="G3979" s="70">
        <v>4</v>
      </c>
      <c r="H3979" s="71"/>
      <c r="I3979" s="134">
        <f t="shared" si="179"/>
        <v>0</v>
      </c>
      <c r="J3979" s="70"/>
      <c r="K3979" s="69"/>
    </row>
    <row r="3980" spans="1:11" ht="15.75" customHeight="1" x14ac:dyDescent="0.25">
      <c r="A3980" s="68"/>
      <c r="B3980" s="69" t="s">
        <v>5450</v>
      </c>
      <c r="C3980" s="70"/>
      <c r="D3980" s="70"/>
      <c r="E3980" s="70"/>
      <c r="F3980" s="70" t="s">
        <v>78</v>
      </c>
      <c r="G3980" s="70">
        <v>4</v>
      </c>
      <c r="H3980" s="71"/>
      <c r="I3980" s="134">
        <f t="shared" si="179"/>
        <v>0</v>
      </c>
      <c r="J3980" s="70"/>
      <c r="K3980" s="69"/>
    </row>
    <row r="3981" spans="1:11" ht="15.75" customHeight="1" x14ac:dyDescent="0.25">
      <c r="A3981" s="68"/>
      <c r="B3981" s="69" t="s">
        <v>5485</v>
      </c>
      <c r="C3981" s="70"/>
      <c r="D3981" s="70"/>
      <c r="E3981" s="70"/>
      <c r="F3981" s="70" t="s">
        <v>78</v>
      </c>
      <c r="G3981" s="70">
        <v>2</v>
      </c>
      <c r="H3981" s="71"/>
      <c r="I3981" s="134">
        <f t="shared" si="179"/>
        <v>0</v>
      </c>
      <c r="J3981" s="70"/>
      <c r="K3981" s="69"/>
    </row>
    <row r="3982" spans="1:11" ht="15.75" customHeight="1" x14ac:dyDescent="0.25">
      <c r="A3982" s="68"/>
      <c r="B3982" s="69" t="s">
        <v>5486</v>
      </c>
      <c r="C3982" s="70"/>
      <c r="D3982" s="70"/>
      <c r="E3982" s="70"/>
      <c r="F3982" s="70" t="s">
        <v>78</v>
      </c>
      <c r="G3982" s="70">
        <v>2</v>
      </c>
      <c r="H3982" s="71"/>
      <c r="I3982" s="134">
        <f t="shared" si="179"/>
        <v>0</v>
      </c>
      <c r="J3982" s="70"/>
      <c r="K3982" s="69"/>
    </row>
    <row r="3983" spans="1:11" ht="28.5" customHeight="1" x14ac:dyDescent="0.25">
      <c r="A3983" s="72"/>
      <c r="B3983" s="73" t="s">
        <v>5487</v>
      </c>
      <c r="C3983" s="74"/>
      <c r="D3983" s="74"/>
      <c r="E3983" s="74"/>
      <c r="F3983" s="74"/>
      <c r="G3983" s="74"/>
      <c r="H3983" s="75"/>
      <c r="I3983" s="135"/>
      <c r="J3983" s="74"/>
      <c r="K3983" s="73"/>
    </row>
    <row r="3984" spans="1:11" ht="15.75" customHeight="1" x14ac:dyDescent="0.25">
      <c r="A3984" s="68"/>
      <c r="B3984" s="69" t="s">
        <v>5488</v>
      </c>
      <c r="C3984" s="70"/>
      <c r="D3984" s="70"/>
      <c r="E3984" s="70"/>
      <c r="F3984" s="70" t="s">
        <v>89</v>
      </c>
      <c r="G3984" s="70">
        <v>64</v>
      </c>
      <c r="H3984" s="71"/>
      <c r="I3984" s="134">
        <f t="shared" ref="I3984:I3992" si="180">H3984*G3984</f>
        <v>0</v>
      </c>
      <c r="J3984" s="70"/>
      <c r="K3984" s="69"/>
    </row>
    <row r="3985" spans="1:11" ht="15.75" customHeight="1" x14ac:dyDescent="0.25">
      <c r="A3985" s="68"/>
      <c r="B3985" s="69" t="s">
        <v>5480</v>
      </c>
      <c r="C3985" s="70"/>
      <c r="D3985" s="70"/>
      <c r="E3985" s="70"/>
      <c r="F3985" s="70" t="s">
        <v>78</v>
      </c>
      <c r="G3985" s="70">
        <v>100</v>
      </c>
      <c r="H3985" s="71"/>
      <c r="I3985" s="134">
        <f t="shared" si="180"/>
        <v>0</v>
      </c>
      <c r="J3985" s="70"/>
      <c r="K3985" s="69"/>
    </row>
    <row r="3986" spans="1:11" ht="15.75" customHeight="1" x14ac:dyDescent="0.25">
      <c r="A3986" s="68"/>
      <c r="B3986" s="69" t="s">
        <v>5489</v>
      </c>
      <c r="C3986" s="70"/>
      <c r="D3986" s="70"/>
      <c r="E3986" s="70"/>
      <c r="F3986" s="70" t="s">
        <v>78</v>
      </c>
      <c r="G3986" s="70">
        <v>2</v>
      </c>
      <c r="H3986" s="71"/>
      <c r="I3986" s="134">
        <f t="shared" si="180"/>
        <v>0</v>
      </c>
      <c r="J3986" s="70"/>
      <c r="K3986" s="69"/>
    </row>
    <row r="3987" spans="1:11" ht="15.75" customHeight="1" x14ac:dyDescent="0.25">
      <c r="A3987" s="68"/>
      <c r="B3987" s="69" t="s">
        <v>5490</v>
      </c>
      <c r="C3987" s="70"/>
      <c r="D3987" s="70"/>
      <c r="E3987" s="70"/>
      <c r="F3987" s="70" t="s">
        <v>78</v>
      </c>
      <c r="G3987" s="70">
        <v>8</v>
      </c>
      <c r="H3987" s="71"/>
      <c r="I3987" s="134">
        <f t="shared" si="180"/>
        <v>0</v>
      </c>
      <c r="J3987" s="70"/>
      <c r="K3987" s="69"/>
    </row>
    <row r="3988" spans="1:11" ht="28.5" customHeight="1" x14ac:dyDescent="0.25">
      <c r="A3988" s="68"/>
      <c r="B3988" s="69" t="s">
        <v>5480</v>
      </c>
      <c r="C3988" s="70"/>
      <c r="D3988" s="70"/>
      <c r="E3988" s="70"/>
      <c r="F3988" s="70" t="s">
        <v>78</v>
      </c>
      <c r="G3988" s="70">
        <v>4</v>
      </c>
      <c r="H3988" s="71"/>
      <c r="I3988" s="134">
        <f t="shared" si="180"/>
        <v>0</v>
      </c>
      <c r="J3988" s="70"/>
      <c r="K3988" s="69" t="s">
        <v>5484</v>
      </c>
    </row>
    <row r="3989" spans="1:11" ht="15.75" customHeight="1" x14ac:dyDescent="0.25">
      <c r="A3989" s="68"/>
      <c r="B3989" s="69" t="s">
        <v>5448</v>
      </c>
      <c r="C3989" s="70"/>
      <c r="D3989" s="70"/>
      <c r="E3989" s="70"/>
      <c r="F3989" s="70" t="s">
        <v>78</v>
      </c>
      <c r="G3989" s="70">
        <v>4</v>
      </c>
      <c r="H3989" s="71"/>
      <c r="I3989" s="134">
        <f t="shared" si="180"/>
        <v>0</v>
      </c>
      <c r="J3989" s="70"/>
      <c r="K3989" s="69"/>
    </row>
    <row r="3990" spans="1:11" ht="15.75" customHeight="1" x14ac:dyDescent="0.25">
      <c r="A3990" s="68"/>
      <c r="B3990" s="69" t="s">
        <v>5450</v>
      </c>
      <c r="C3990" s="70"/>
      <c r="D3990" s="70"/>
      <c r="E3990" s="70"/>
      <c r="F3990" s="70" t="s">
        <v>78</v>
      </c>
      <c r="G3990" s="70">
        <v>4</v>
      </c>
      <c r="H3990" s="71"/>
      <c r="I3990" s="134">
        <f t="shared" si="180"/>
        <v>0</v>
      </c>
      <c r="J3990" s="70"/>
      <c r="K3990" s="69"/>
    </row>
    <row r="3991" spans="1:11" ht="15.75" customHeight="1" x14ac:dyDescent="0.25">
      <c r="A3991" s="68"/>
      <c r="B3991" s="69" t="s">
        <v>5491</v>
      </c>
      <c r="C3991" s="70"/>
      <c r="D3991" s="70"/>
      <c r="E3991" s="70"/>
      <c r="F3991" s="70" t="s">
        <v>78</v>
      </c>
      <c r="G3991" s="70">
        <v>2</v>
      </c>
      <c r="H3991" s="71"/>
      <c r="I3991" s="134">
        <f t="shared" si="180"/>
        <v>0</v>
      </c>
      <c r="J3991" s="70"/>
      <c r="K3991" s="69"/>
    </row>
    <row r="3992" spans="1:11" ht="15.75" customHeight="1" x14ac:dyDescent="0.25">
      <c r="A3992" s="68"/>
      <c r="B3992" s="69" t="s">
        <v>5492</v>
      </c>
      <c r="C3992" s="70"/>
      <c r="D3992" s="70"/>
      <c r="E3992" s="70"/>
      <c r="F3992" s="70" t="s">
        <v>78</v>
      </c>
      <c r="G3992" s="70">
        <v>2</v>
      </c>
      <c r="H3992" s="71"/>
      <c r="I3992" s="134">
        <f t="shared" si="180"/>
        <v>0</v>
      </c>
      <c r="J3992" s="70"/>
      <c r="K3992" s="69"/>
    </row>
    <row r="3993" spans="1:11" ht="28.5" customHeight="1" x14ac:dyDescent="0.25">
      <c r="A3993" s="72"/>
      <c r="B3993" s="73" t="s">
        <v>5493</v>
      </c>
      <c r="C3993" s="74"/>
      <c r="D3993" s="74"/>
      <c r="E3993" s="74"/>
      <c r="F3993" s="74"/>
      <c r="G3993" s="74"/>
      <c r="H3993" s="75"/>
      <c r="I3993" s="135"/>
      <c r="J3993" s="74"/>
      <c r="K3993" s="73"/>
    </row>
    <row r="3994" spans="1:11" ht="15.75" customHeight="1" x14ac:dyDescent="0.25">
      <c r="A3994" s="68"/>
      <c r="B3994" s="69" t="s">
        <v>5494</v>
      </c>
      <c r="C3994" s="70"/>
      <c r="D3994" s="70"/>
      <c r="E3994" s="70"/>
      <c r="F3994" s="70" t="s">
        <v>89</v>
      </c>
      <c r="G3994" s="70">
        <v>181</v>
      </c>
      <c r="H3994" s="71"/>
      <c r="I3994" s="134">
        <f t="shared" ref="I3994:I4003" si="181">H3994*G3994</f>
        <v>0</v>
      </c>
      <c r="J3994" s="70"/>
      <c r="K3994" s="69"/>
    </row>
    <row r="3995" spans="1:11" ht="15.75" customHeight="1" x14ac:dyDescent="0.25">
      <c r="A3995" s="68"/>
      <c r="B3995" s="69" t="s">
        <v>5480</v>
      </c>
      <c r="C3995" s="70"/>
      <c r="D3995" s="70"/>
      <c r="E3995" s="70"/>
      <c r="F3995" s="70" t="s">
        <v>78</v>
      </c>
      <c r="G3995" s="70">
        <v>26</v>
      </c>
      <c r="H3995" s="71"/>
      <c r="I3995" s="134">
        <f t="shared" si="181"/>
        <v>0</v>
      </c>
      <c r="J3995" s="70"/>
      <c r="K3995" s="69" t="s">
        <v>5495</v>
      </c>
    </row>
    <row r="3996" spans="1:11" ht="15.75" customHeight="1" x14ac:dyDescent="0.25">
      <c r="A3996" s="68"/>
      <c r="B3996" s="69" t="s">
        <v>5496</v>
      </c>
      <c r="C3996" s="70"/>
      <c r="D3996" s="70"/>
      <c r="E3996" s="70"/>
      <c r="F3996" s="70" t="s">
        <v>78</v>
      </c>
      <c r="G3996" s="70">
        <v>2</v>
      </c>
      <c r="H3996" s="71"/>
      <c r="I3996" s="134">
        <f t="shared" si="181"/>
        <v>0</v>
      </c>
      <c r="J3996" s="70"/>
      <c r="K3996" s="69"/>
    </row>
    <row r="3997" spans="1:11" ht="15.75" customHeight="1" x14ac:dyDescent="0.25">
      <c r="A3997" s="68"/>
      <c r="B3997" s="69" t="s">
        <v>5497</v>
      </c>
      <c r="C3997" s="70"/>
      <c r="D3997" s="70"/>
      <c r="E3997" s="70"/>
      <c r="F3997" s="70" t="s">
        <v>78</v>
      </c>
      <c r="G3997" s="70">
        <v>12</v>
      </c>
      <c r="H3997" s="71"/>
      <c r="I3997" s="134">
        <f t="shared" si="181"/>
        <v>0</v>
      </c>
      <c r="J3997" s="70"/>
      <c r="K3997" s="69"/>
    </row>
    <row r="3998" spans="1:11" ht="15.75" customHeight="1" x14ac:dyDescent="0.25">
      <c r="A3998" s="68"/>
      <c r="B3998" s="69" t="s">
        <v>5498</v>
      </c>
      <c r="C3998" s="70"/>
      <c r="D3998" s="70"/>
      <c r="E3998" s="70"/>
      <c r="F3998" s="70" t="s">
        <v>78</v>
      </c>
      <c r="G3998" s="70">
        <v>8</v>
      </c>
      <c r="H3998" s="71"/>
      <c r="I3998" s="134">
        <f t="shared" si="181"/>
        <v>0</v>
      </c>
      <c r="J3998" s="70"/>
      <c r="K3998" s="69"/>
    </row>
    <row r="3999" spans="1:11" ht="28.5" customHeight="1" x14ac:dyDescent="0.25">
      <c r="A3999" s="68"/>
      <c r="B3999" s="69" t="s">
        <v>5480</v>
      </c>
      <c r="C3999" s="70"/>
      <c r="D3999" s="70"/>
      <c r="E3999" s="70"/>
      <c r="F3999" s="70" t="s">
        <v>78</v>
      </c>
      <c r="G3999" s="70">
        <v>4</v>
      </c>
      <c r="H3999" s="71"/>
      <c r="I3999" s="134">
        <f t="shared" si="181"/>
        <v>0</v>
      </c>
      <c r="J3999" s="70"/>
      <c r="K3999" s="69" t="s">
        <v>5484</v>
      </c>
    </row>
    <row r="4000" spans="1:11" ht="15.75" customHeight="1" x14ac:dyDescent="0.25">
      <c r="A4000" s="68"/>
      <c r="B4000" s="69" t="s">
        <v>5448</v>
      </c>
      <c r="C4000" s="70"/>
      <c r="D4000" s="70"/>
      <c r="E4000" s="70"/>
      <c r="F4000" s="70" t="s">
        <v>78</v>
      </c>
      <c r="G4000" s="70">
        <v>4</v>
      </c>
      <c r="H4000" s="71"/>
      <c r="I4000" s="134">
        <f t="shared" si="181"/>
        <v>0</v>
      </c>
      <c r="J4000" s="70"/>
      <c r="K4000" s="69"/>
    </row>
    <row r="4001" spans="1:11" ht="15.75" customHeight="1" x14ac:dyDescent="0.25">
      <c r="A4001" s="68"/>
      <c r="B4001" s="69" t="s">
        <v>5450</v>
      </c>
      <c r="C4001" s="70"/>
      <c r="D4001" s="70"/>
      <c r="E4001" s="70"/>
      <c r="F4001" s="70" t="s">
        <v>78</v>
      </c>
      <c r="G4001" s="70">
        <v>4</v>
      </c>
      <c r="H4001" s="71"/>
      <c r="I4001" s="134">
        <f t="shared" si="181"/>
        <v>0</v>
      </c>
      <c r="J4001" s="70"/>
      <c r="K4001" s="69"/>
    </row>
    <row r="4002" spans="1:11" ht="15.75" customHeight="1" x14ac:dyDescent="0.25">
      <c r="A4002" s="68"/>
      <c r="B4002" s="69" t="s">
        <v>5499</v>
      </c>
      <c r="C4002" s="70"/>
      <c r="D4002" s="70"/>
      <c r="E4002" s="70"/>
      <c r="F4002" s="70" t="s">
        <v>78</v>
      </c>
      <c r="G4002" s="70">
        <v>2</v>
      </c>
      <c r="H4002" s="71"/>
      <c r="I4002" s="134">
        <f t="shared" si="181"/>
        <v>0</v>
      </c>
      <c r="J4002" s="70"/>
      <c r="K4002" s="69"/>
    </row>
    <row r="4003" spans="1:11" ht="15.75" customHeight="1" x14ac:dyDescent="0.25">
      <c r="A4003" s="68"/>
      <c r="B4003" s="69" t="s">
        <v>5500</v>
      </c>
      <c r="C4003" s="70"/>
      <c r="D4003" s="70"/>
      <c r="E4003" s="70"/>
      <c r="F4003" s="70" t="s">
        <v>89</v>
      </c>
      <c r="G4003" s="70">
        <v>1</v>
      </c>
      <c r="H4003" s="71"/>
      <c r="I4003" s="134">
        <f t="shared" si="181"/>
        <v>0</v>
      </c>
      <c r="J4003" s="70"/>
      <c r="K4003" s="69"/>
    </row>
    <row r="4004" spans="1:11" ht="28.5" customHeight="1" x14ac:dyDescent="0.25">
      <c r="A4004" s="72"/>
      <c r="B4004" s="73" t="s">
        <v>5501</v>
      </c>
      <c r="C4004" s="74"/>
      <c r="D4004" s="74"/>
      <c r="E4004" s="74"/>
      <c r="F4004" s="74"/>
      <c r="G4004" s="74"/>
      <c r="H4004" s="75"/>
      <c r="I4004" s="135"/>
      <c r="J4004" s="74"/>
      <c r="K4004" s="73"/>
    </row>
    <row r="4005" spans="1:11" ht="15.75" customHeight="1" x14ac:dyDescent="0.25">
      <c r="A4005" s="68"/>
      <c r="B4005" s="69" t="s">
        <v>5494</v>
      </c>
      <c r="C4005" s="70"/>
      <c r="D4005" s="70"/>
      <c r="E4005" s="70"/>
      <c r="F4005" s="70" t="s">
        <v>89</v>
      </c>
      <c r="G4005" s="70">
        <v>63</v>
      </c>
      <c r="H4005" s="71"/>
      <c r="I4005" s="134">
        <f t="shared" ref="I4005:I4013" si="182">H4005*G4005</f>
        <v>0</v>
      </c>
      <c r="J4005" s="70"/>
      <c r="K4005" s="69"/>
    </row>
    <row r="4006" spans="1:11" ht="15.75" customHeight="1" x14ac:dyDescent="0.25">
      <c r="A4006" s="68"/>
      <c r="B4006" s="69" t="s">
        <v>5480</v>
      </c>
      <c r="C4006" s="70"/>
      <c r="D4006" s="70"/>
      <c r="E4006" s="70"/>
      <c r="F4006" s="70" t="s">
        <v>78</v>
      </c>
      <c r="G4006" s="70">
        <v>14</v>
      </c>
      <c r="H4006" s="71"/>
      <c r="I4006" s="134">
        <f t="shared" si="182"/>
        <v>0</v>
      </c>
      <c r="J4006" s="70"/>
      <c r="K4006" s="69" t="s">
        <v>5495</v>
      </c>
    </row>
    <row r="4007" spans="1:11" ht="15.75" customHeight="1" x14ac:dyDescent="0.25">
      <c r="A4007" s="68"/>
      <c r="B4007" s="69" t="s">
        <v>5496</v>
      </c>
      <c r="C4007" s="70"/>
      <c r="D4007" s="70"/>
      <c r="E4007" s="70"/>
      <c r="F4007" s="70" t="s">
        <v>78</v>
      </c>
      <c r="G4007" s="70">
        <v>2</v>
      </c>
      <c r="H4007" s="71"/>
      <c r="I4007" s="134">
        <f t="shared" si="182"/>
        <v>0</v>
      </c>
      <c r="J4007" s="70"/>
      <c r="K4007" s="69"/>
    </row>
    <row r="4008" spans="1:11" ht="15.75" customHeight="1" x14ac:dyDescent="0.25">
      <c r="A4008" s="68"/>
      <c r="B4008" s="69" t="s">
        <v>5497</v>
      </c>
      <c r="C4008" s="70"/>
      <c r="D4008" s="70"/>
      <c r="E4008" s="70"/>
      <c r="F4008" s="70" t="s">
        <v>78</v>
      </c>
      <c r="G4008" s="70">
        <v>8</v>
      </c>
      <c r="H4008" s="71"/>
      <c r="I4008" s="134">
        <f t="shared" si="182"/>
        <v>0</v>
      </c>
      <c r="J4008" s="70"/>
      <c r="K4008" s="69"/>
    </row>
    <row r="4009" spans="1:11" ht="28.5" customHeight="1" x14ac:dyDescent="0.25">
      <c r="A4009" s="68"/>
      <c r="B4009" s="69" t="s">
        <v>5480</v>
      </c>
      <c r="C4009" s="70"/>
      <c r="D4009" s="70"/>
      <c r="E4009" s="70"/>
      <c r="F4009" s="70" t="s">
        <v>78</v>
      </c>
      <c r="G4009" s="70">
        <v>4</v>
      </c>
      <c r="H4009" s="71"/>
      <c r="I4009" s="134">
        <f t="shared" si="182"/>
        <v>0</v>
      </c>
      <c r="J4009" s="70"/>
      <c r="K4009" s="69" t="s">
        <v>5484</v>
      </c>
    </row>
    <row r="4010" spans="1:11" ht="15.75" customHeight="1" x14ac:dyDescent="0.25">
      <c r="A4010" s="68"/>
      <c r="B4010" s="69" t="s">
        <v>5448</v>
      </c>
      <c r="C4010" s="70"/>
      <c r="D4010" s="70"/>
      <c r="E4010" s="70"/>
      <c r="F4010" s="70" t="s">
        <v>78</v>
      </c>
      <c r="G4010" s="70">
        <v>4</v>
      </c>
      <c r="H4010" s="71"/>
      <c r="I4010" s="134">
        <f t="shared" si="182"/>
        <v>0</v>
      </c>
      <c r="J4010" s="70"/>
      <c r="K4010" s="69"/>
    </row>
    <row r="4011" spans="1:11" ht="15.75" customHeight="1" x14ac:dyDescent="0.25">
      <c r="A4011" s="68"/>
      <c r="B4011" s="69" t="s">
        <v>5450</v>
      </c>
      <c r="C4011" s="70"/>
      <c r="D4011" s="70"/>
      <c r="E4011" s="70"/>
      <c r="F4011" s="70" t="s">
        <v>78</v>
      </c>
      <c r="G4011" s="70">
        <v>4</v>
      </c>
      <c r="H4011" s="71"/>
      <c r="I4011" s="134">
        <f t="shared" si="182"/>
        <v>0</v>
      </c>
      <c r="J4011" s="70"/>
      <c r="K4011" s="69"/>
    </row>
    <row r="4012" spans="1:11" ht="15.75" customHeight="1" x14ac:dyDescent="0.25">
      <c r="A4012" s="68"/>
      <c r="B4012" s="69" t="s">
        <v>5499</v>
      </c>
      <c r="C4012" s="70"/>
      <c r="D4012" s="70"/>
      <c r="E4012" s="70"/>
      <c r="F4012" s="70" t="s">
        <v>78</v>
      </c>
      <c r="G4012" s="70">
        <v>2</v>
      </c>
      <c r="H4012" s="71"/>
      <c r="I4012" s="134">
        <f t="shared" si="182"/>
        <v>0</v>
      </c>
      <c r="J4012" s="70"/>
      <c r="K4012" s="69"/>
    </row>
    <row r="4013" spans="1:11" ht="15.75" customHeight="1" x14ac:dyDescent="0.25">
      <c r="A4013" s="68"/>
      <c r="B4013" s="69" t="s">
        <v>5500</v>
      </c>
      <c r="C4013" s="70"/>
      <c r="D4013" s="70"/>
      <c r="E4013" s="70"/>
      <c r="F4013" s="70" t="s">
        <v>89</v>
      </c>
      <c r="G4013" s="70">
        <v>1</v>
      </c>
      <c r="H4013" s="71"/>
      <c r="I4013" s="134">
        <f t="shared" si="182"/>
        <v>0</v>
      </c>
      <c r="J4013" s="70"/>
      <c r="K4013" s="69"/>
    </row>
    <row r="4014" spans="1:11" ht="15.75" customHeight="1" x14ac:dyDescent="0.25">
      <c r="A4014" s="72"/>
      <c r="B4014" s="73" t="s">
        <v>5502</v>
      </c>
      <c r="C4014" s="74"/>
      <c r="D4014" s="74"/>
      <c r="E4014" s="74"/>
      <c r="F4014" s="74"/>
      <c r="G4014" s="74"/>
      <c r="H4014" s="75"/>
      <c r="I4014" s="135"/>
      <c r="J4014" s="74"/>
      <c r="K4014" s="73"/>
    </row>
    <row r="4015" spans="1:11" ht="15.75" customHeight="1" x14ac:dyDescent="0.25">
      <c r="A4015" s="68"/>
      <c r="B4015" s="69" t="s">
        <v>5503</v>
      </c>
      <c r="C4015" s="70"/>
      <c r="D4015" s="70"/>
      <c r="E4015" s="70"/>
      <c r="F4015" s="70" t="s">
        <v>89</v>
      </c>
      <c r="G4015" s="70">
        <v>55</v>
      </c>
      <c r="H4015" s="71"/>
      <c r="I4015" s="134">
        <f t="shared" ref="I4015:I4047" si="183">H4015*G4015</f>
        <v>0</v>
      </c>
      <c r="J4015" s="70"/>
      <c r="K4015" s="69"/>
    </row>
    <row r="4016" spans="1:11" ht="15.75" customHeight="1" x14ac:dyDescent="0.25">
      <c r="A4016" s="68"/>
      <c r="B4016" s="69" t="s">
        <v>5504</v>
      </c>
      <c r="C4016" s="70"/>
      <c r="D4016" s="70"/>
      <c r="E4016" s="70"/>
      <c r="F4016" s="70" t="s">
        <v>89</v>
      </c>
      <c r="G4016" s="70">
        <v>58</v>
      </c>
      <c r="H4016" s="71"/>
      <c r="I4016" s="134">
        <f t="shared" si="183"/>
        <v>0</v>
      </c>
      <c r="J4016" s="70"/>
      <c r="K4016" s="69"/>
    </row>
    <row r="4017" spans="1:11" ht="15.75" customHeight="1" x14ac:dyDescent="0.25">
      <c r="A4017" s="68"/>
      <c r="B4017" s="69" t="s">
        <v>5505</v>
      </c>
      <c r="C4017" s="70"/>
      <c r="D4017" s="70"/>
      <c r="E4017" s="70"/>
      <c r="F4017" s="70" t="s">
        <v>89</v>
      </c>
      <c r="G4017" s="70">
        <v>1</v>
      </c>
      <c r="H4017" s="71"/>
      <c r="I4017" s="134">
        <f t="shared" si="183"/>
        <v>0</v>
      </c>
      <c r="J4017" s="70"/>
      <c r="K4017" s="69"/>
    </row>
    <row r="4018" spans="1:11" ht="15.75" customHeight="1" x14ac:dyDescent="0.25">
      <c r="A4018" s="68"/>
      <c r="B4018" s="69" t="s">
        <v>5506</v>
      </c>
      <c r="C4018" s="70"/>
      <c r="D4018" s="70"/>
      <c r="E4018" s="70"/>
      <c r="F4018" s="70" t="s">
        <v>89</v>
      </c>
      <c r="G4018" s="70">
        <v>26</v>
      </c>
      <c r="H4018" s="71"/>
      <c r="I4018" s="134">
        <f t="shared" si="183"/>
        <v>0</v>
      </c>
      <c r="J4018" s="70"/>
      <c r="K4018" s="69"/>
    </row>
    <row r="4019" spans="1:11" ht="15.75" customHeight="1" x14ac:dyDescent="0.25">
      <c r="A4019" s="68"/>
      <c r="B4019" s="69" t="s">
        <v>5507</v>
      </c>
      <c r="C4019" s="70"/>
      <c r="D4019" s="70"/>
      <c r="E4019" s="70"/>
      <c r="F4019" s="70" t="s">
        <v>78</v>
      </c>
      <c r="G4019" s="70">
        <v>2</v>
      </c>
      <c r="H4019" s="71"/>
      <c r="I4019" s="134">
        <f t="shared" si="183"/>
        <v>0</v>
      </c>
      <c r="J4019" s="70"/>
      <c r="K4019" s="69"/>
    </row>
    <row r="4020" spans="1:11" ht="15.75" customHeight="1" x14ac:dyDescent="0.25">
      <c r="A4020" s="68"/>
      <c r="B4020" s="69" t="s">
        <v>5508</v>
      </c>
      <c r="C4020" s="70"/>
      <c r="D4020" s="70"/>
      <c r="E4020" s="70"/>
      <c r="F4020" s="70" t="s">
        <v>78</v>
      </c>
      <c r="G4020" s="70">
        <v>42</v>
      </c>
      <c r="H4020" s="71"/>
      <c r="I4020" s="134">
        <f t="shared" si="183"/>
        <v>0</v>
      </c>
      <c r="J4020" s="70"/>
      <c r="K4020" s="69"/>
    </row>
    <row r="4021" spans="1:11" ht="15.75" customHeight="1" x14ac:dyDescent="0.25">
      <c r="A4021" s="68"/>
      <c r="B4021" s="69" t="s">
        <v>5509</v>
      </c>
      <c r="C4021" s="70"/>
      <c r="D4021" s="70"/>
      <c r="E4021" s="70"/>
      <c r="F4021" s="70" t="s">
        <v>78</v>
      </c>
      <c r="G4021" s="70">
        <v>18</v>
      </c>
      <c r="H4021" s="71"/>
      <c r="I4021" s="134">
        <f t="shared" si="183"/>
        <v>0</v>
      </c>
      <c r="J4021" s="70"/>
      <c r="K4021" s="69"/>
    </row>
    <row r="4022" spans="1:11" ht="15.75" customHeight="1" x14ac:dyDescent="0.25">
      <c r="A4022" s="68"/>
      <c r="B4022" s="69" t="s">
        <v>5510</v>
      </c>
      <c r="C4022" s="70"/>
      <c r="D4022" s="70"/>
      <c r="E4022" s="70"/>
      <c r="F4022" s="70" t="s">
        <v>78</v>
      </c>
      <c r="G4022" s="70">
        <v>7</v>
      </c>
      <c r="H4022" s="71"/>
      <c r="I4022" s="134">
        <f t="shared" si="183"/>
        <v>0</v>
      </c>
      <c r="J4022" s="70"/>
      <c r="K4022" s="69"/>
    </row>
    <row r="4023" spans="1:11" ht="15.75" customHeight="1" x14ac:dyDescent="0.25">
      <c r="A4023" s="68"/>
      <c r="B4023" s="69" t="s">
        <v>5479</v>
      </c>
      <c r="C4023" s="70"/>
      <c r="D4023" s="70"/>
      <c r="E4023" s="70"/>
      <c r="F4023" s="70" t="s">
        <v>89</v>
      </c>
      <c r="G4023" s="70">
        <v>3</v>
      </c>
      <c r="H4023" s="71"/>
      <c r="I4023" s="134">
        <f t="shared" si="183"/>
        <v>0</v>
      </c>
      <c r="J4023" s="70"/>
      <c r="K4023" s="69"/>
    </row>
    <row r="4024" spans="1:11" ht="15.75" customHeight="1" x14ac:dyDescent="0.25">
      <c r="A4024" s="68"/>
      <c r="B4024" s="69" t="s">
        <v>5488</v>
      </c>
      <c r="C4024" s="70"/>
      <c r="D4024" s="70"/>
      <c r="E4024" s="70"/>
      <c r="F4024" s="70" t="s">
        <v>89</v>
      </c>
      <c r="G4024" s="70">
        <v>2</v>
      </c>
      <c r="H4024" s="71"/>
      <c r="I4024" s="134">
        <f t="shared" si="183"/>
        <v>0</v>
      </c>
      <c r="J4024" s="70"/>
      <c r="K4024" s="69"/>
    </row>
    <row r="4025" spans="1:11" ht="15.75" customHeight="1" x14ac:dyDescent="0.25">
      <c r="A4025" s="68"/>
      <c r="B4025" s="69" t="s">
        <v>5494</v>
      </c>
      <c r="C4025" s="70"/>
      <c r="D4025" s="70"/>
      <c r="E4025" s="70"/>
      <c r="F4025" s="70" t="s">
        <v>89</v>
      </c>
      <c r="G4025" s="70">
        <v>4</v>
      </c>
      <c r="H4025" s="71"/>
      <c r="I4025" s="134">
        <f t="shared" si="183"/>
        <v>0</v>
      </c>
      <c r="J4025" s="70"/>
      <c r="K4025" s="69"/>
    </row>
    <row r="4026" spans="1:11" ht="15.75" customHeight="1" x14ac:dyDescent="0.25">
      <c r="A4026" s="68"/>
      <c r="B4026" s="69" t="s">
        <v>5500</v>
      </c>
      <c r="C4026" s="70"/>
      <c r="D4026" s="70"/>
      <c r="E4026" s="70"/>
      <c r="F4026" s="70" t="s">
        <v>89</v>
      </c>
      <c r="G4026" s="70">
        <v>1</v>
      </c>
      <c r="H4026" s="71"/>
      <c r="I4026" s="134">
        <f t="shared" si="183"/>
        <v>0</v>
      </c>
      <c r="J4026" s="70"/>
      <c r="K4026" s="69"/>
    </row>
    <row r="4027" spans="1:11" ht="15.75" customHeight="1" x14ac:dyDescent="0.25">
      <c r="A4027" s="68"/>
      <c r="B4027" s="69" t="s">
        <v>5490</v>
      </c>
      <c r="C4027" s="70"/>
      <c r="D4027" s="70"/>
      <c r="E4027" s="70"/>
      <c r="F4027" s="70" t="s">
        <v>78</v>
      </c>
      <c r="G4027" s="70">
        <v>2</v>
      </c>
      <c r="H4027" s="71"/>
      <c r="I4027" s="134">
        <f t="shared" si="183"/>
        <v>0</v>
      </c>
      <c r="J4027" s="70"/>
      <c r="K4027" s="69"/>
    </row>
    <row r="4028" spans="1:11" ht="15.75" customHeight="1" x14ac:dyDescent="0.25">
      <c r="A4028" s="68"/>
      <c r="B4028" s="69" t="s">
        <v>5497</v>
      </c>
      <c r="C4028" s="70"/>
      <c r="D4028" s="70"/>
      <c r="E4028" s="70"/>
      <c r="F4028" s="70" t="s">
        <v>78</v>
      </c>
      <c r="G4028" s="70">
        <v>3</v>
      </c>
      <c r="H4028" s="71"/>
      <c r="I4028" s="134">
        <f t="shared" si="183"/>
        <v>0</v>
      </c>
      <c r="J4028" s="70"/>
      <c r="K4028" s="69"/>
    </row>
    <row r="4029" spans="1:11" ht="15.75" customHeight="1" x14ac:dyDescent="0.25">
      <c r="A4029" s="68"/>
      <c r="B4029" s="69" t="s">
        <v>5511</v>
      </c>
      <c r="C4029" s="70"/>
      <c r="D4029" s="70"/>
      <c r="E4029" s="70"/>
      <c r="F4029" s="70" t="s">
        <v>78</v>
      </c>
      <c r="G4029" s="70">
        <v>2</v>
      </c>
      <c r="H4029" s="71"/>
      <c r="I4029" s="134">
        <f t="shared" si="183"/>
        <v>0</v>
      </c>
      <c r="J4029" s="70"/>
      <c r="K4029" s="69"/>
    </row>
    <row r="4030" spans="1:11" ht="15.75" customHeight="1" x14ac:dyDescent="0.25">
      <c r="A4030" s="68"/>
      <c r="B4030" s="69" t="s">
        <v>5499</v>
      </c>
      <c r="C4030" s="70"/>
      <c r="D4030" s="70"/>
      <c r="E4030" s="70"/>
      <c r="F4030" s="70" t="s">
        <v>78</v>
      </c>
      <c r="G4030" s="70">
        <v>4</v>
      </c>
      <c r="H4030" s="71"/>
      <c r="I4030" s="134">
        <f t="shared" si="183"/>
        <v>0</v>
      </c>
      <c r="J4030" s="70"/>
      <c r="K4030" s="69"/>
    </row>
    <row r="4031" spans="1:11" ht="15.75" customHeight="1" x14ac:dyDescent="0.25">
      <c r="A4031" s="68"/>
      <c r="B4031" s="69" t="s">
        <v>5512</v>
      </c>
      <c r="C4031" s="70"/>
      <c r="D4031" s="70"/>
      <c r="E4031" s="70"/>
      <c r="F4031" s="70" t="s">
        <v>78</v>
      </c>
      <c r="G4031" s="70">
        <v>2</v>
      </c>
      <c r="H4031" s="71"/>
      <c r="I4031" s="134">
        <f t="shared" si="183"/>
        <v>0</v>
      </c>
      <c r="J4031" s="70"/>
      <c r="K4031" s="69"/>
    </row>
    <row r="4032" spans="1:11" ht="15.75" customHeight="1" x14ac:dyDescent="0.25">
      <c r="A4032" s="68"/>
      <c r="B4032" s="69" t="s">
        <v>5513</v>
      </c>
      <c r="C4032" s="70"/>
      <c r="D4032" s="70"/>
      <c r="E4032" s="70"/>
      <c r="F4032" s="70" t="s">
        <v>78</v>
      </c>
      <c r="G4032" s="70">
        <v>2</v>
      </c>
      <c r="H4032" s="71"/>
      <c r="I4032" s="134">
        <f t="shared" si="183"/>
        <v>0</v>
      </c>
      <c r="J4032" s="70"/>
      <c r="K4032" s="69"/>
    </row>
    <row r="4033" spans="1:11" ht="15.75" customHeight="1" x14ac:dyDescent="0.25">
      <c r="A4033" s="68"/>
      <c r="B4033" s="69" t="s">
        <v>5514</v>
      </c>
      <c r="C4033" s="70"/>
      <c r="D4033" s="70"/>
      <c r="E4033" s="70"/>
      <c r="F4033" s="70" t="s">
        <v>78</v>
      </c>
      <c r="G4033" s="70">
        <v>2</v>
      </c>
      <c r="H4033" s="71"/>
      <c r="I4033" s="134">
        <f t="shared" si="183"/>
        <v>0</v>
      </c>
      <c r="J4033" s="70"/>
      <c r="K4033" s="69"/>
    </row>
    <row r="4034" spans="1:11" ht="15.75" customHeight="1" x14ac:dyDescent="0.25">
      <c r="A4034" s="68"/>
      <c r="B4034" s="69" t="s">
        <v>5515</v>
      </c>
      <c r="C4034" s="70"/>
      <c r="D4034" s="70"/>
      <c r="E4034" s="70"/>
      <c r="F4034" s="70" t="s">
        <v>78</v>
      </c>
      <c r="G4034" s="70">
        <v>2</v>
      </c>
      <c r="H4034" s="71"/>
      <c r="I4034" s="134">
        <f t="shared" si="183"/>
        <v>0</v>
      </c>
      <c r="J4034" s="70"/>
      <c r="K4034" s="69"/>
    </row>
    <row r="4035" spans="1:11" ht="15.75" customHeight="1" x14ac:dyDescent="0.25">
      <c r="A4035" s="68"/>
      <c r="B4035" s="69" t="s">
        <v>5491</v>
      </c>
      <c r="C4035" s="70"/>
      <c r="D4035" s="70"/>
      <c r="E4035" s="70"/>
      <c r="F4035" s="70" t="s">
        <v>78</v>
      </c>
      <c r="G4035" s="70">
        <v>2</v>
      </c>
      <c r="H4035" s="71"/>
      <c r="I4035" s="134">
        <f t="shared" si="183"/>
        <v>0</v>
      </c>
      <c r="J4035" s="70"/>
      <c r="K4035" s="69"/>
    </row>
    <row r="4036" spans="1:11" ht="15.75" customHeight="1" x14ac:dyDescent="0.25">
      <c r="A4036" s="68"/>
      <c r="B4036" s="69" t="s">
        <v>5492</v>
      </c>
      <c r="C4036" s="70"/>
      <c r="D4036" s="70"/>
      <c r="E4036" s="70"/>
      <c r="F4036" s="70" t="s">
        <v>78</v>
      </c>
      <c r="G4036" s="70">
        <v>2</v>
      </c>
      <c r="H4036" s="71"/>
      <c r="I4036" s="134">
        <f t="shared" si="183"/>
        <v>0</v>
      </c>
      <c r="J4036" s="70"/>
      <c r="K4036" s="69"/>
    </row>
    <row r="4037" spans="1:11" ht="15.75" customHeight="1" x14ac:dyDescent="0.25">
      <c r="A4037" s="68"/>
      <c r="B4037" s="69" t="s">
        <v>5485</v>
      </c>
      <c r="C4037" s="70"/>
      <c r="D4037" s="70"/>
      <c r="E4037" s="70"/>
      <c r="F4037" s="70" t="s">
        <v>78</v>
      </c>
      <c r="G4037" s="70">
        <v>4</v>
      </c>
      <c r="H4037" s="71"/>
      <c r="I4037" s="134">
        <f t="shared" si="183"/>
        <v>0</v>
      </c>
      <c r="J4037" s="70"/>
      <c r="K4037" s="69"/>
    </row>
    <row r="4038" spans="1:11" ht="15.75" customHeight="1" x14ac:dyDescent="0.25">
      <c r="A4038" s="68"/>
      <c r="B4038" s="69" t="s">
        <v>5486</v>
      </c>
      <c r="C4038" s="70"/>
      <c r="D4038" s="70"/>
      <c r="E4038" s="70"/>
      <c r="F4038" s="70" t="s">
        <v>78</v>
      </c>
      <c r="G4038" s="70">
        <v>4</v>
      </c>
      <c r="H4038" s="71"/>
      <c r="I4038" s="134">
        <f t="shared" si="183"/>
        <v>0</v>
      </c>
      <c r="J4038" s="70"/>
      <c r="K4038" s="69"/>
    </row>
    <row r="4039" spans="1:11" ht="15.75" customHeight="1" x14ac:dyDescent="0.25">
      <c r="A4039" s="68"/>
      <c r="B4039" s="69" t="s">
        <v>5516</v>
      </c>
      <c r="C4039" s="70" t="s">
        <v>5517</v>
      </c>
      <c r="D4039" s="70"/>
      <c r="E4039" s="70"/>
      <c r="F4039" s="70" t="s">
        <v>78</v>
      </c>
      <c r="G4039" s="70">
        <v>2</v>
      </c>
      <c r="H4039" s="71"/>
      <c r="I4039" s="134">
        <f t="shared" si="183"/>
        <v>0</v>
      </c>
      <c r="J4039" s="70"/>
      <c r="K4039" s="69"/>
    </row>
    <row r="4040" spans="1:11" ht="15.75" customHeight="1" x14ac:dyDescent="0.25">
      <c r="A4040" s="68"/>
      <c r="B4040" s="69" t="s">
        <v>5518</v>
      </c>
      <c r="C4040" s="70" t="s">
        <v>5517</v>
      </c>
      <c r="D4040" s="70"/>
      <c r="E4040" s="70"/>
      <c r="F4040" s="70" t="s">
        <v>78</v>
      </c>
      <c r="G4040" s="70">
        <v>4</v>
      </c>
      <c r="H4040" s="71"/>
      <c r="I4040" s="134">
        <f t="shared" si="183"/>
        <v>0</v>
      </c>
      <c r="J4040" s="70"/>
      <c r="K4040" s="69"/>
    </row>
    <row r="4041" spans="1:11" ht="15.75" customHeight="1" x14ac:dyDescent="0.25">
      <c r="A4041" s="68"/>
      <c r="B4041" s="69" t="s">
        <v>5519</v>
      </c>
      <c r="C4041" s="70" t="s">
        <v>5517</v>
      </c>
      <c r="D4041" s="70"/>
      <c r="E4041" s="70"/>
      <c r="F4041" s="70" t="s">
        <v>78</v>
      </c>
      <c r="G4041" s="70">
        <v>6</v>
      </c>
      <c r="H4041" s="71"/>
      <c r="I4041" s="134">
        <f t="shared" si="183"/>
        <v>0</v>
      </c>
      <c r="J4041" s="70"/>
      <c r="K4041" s="69"/>
    </row>
    <row r="4042" spans="1:11" ht="15.75" customHeight="1" x14ac:dyDescent="0.25">
      <c r="A4042" s="68"/>
      <c r="B4042" s="69" t="s">
        <v>5520</v>
      </c>
      <c r="C4042" s="70"/>
      <c r="D4042" s="70"/>
      <c r="E4042" s="70"/>
      <c r="F4042" s="70" t="s">
        <v>78</v>
      </c>
      <c r="G4042" s="70">
        <v>48</v>
      </c>
      <c r="H4042" s="71"/>
      <c r="I4042" s="134">
        <f t="shared" si="183"/>
        <v>0</v>
      </c>
      <c r="J4042" s="70"/>
      <c r="K4042" s="69"/>
    </row>
    <row r="4043" spans="1:11" ht="15.75" customHeight="1" x14ac:dyDescent="0.25">
      <c r="A4043" s="68"/>
      <c r="B4043" s="69" t="s">
        <v>5521</v>
      </c>
      <c r="C4043" s="70"/>
      <c r="D4043" s="70"/>
      <c r="E4043" s="70"/>
      <c r="F4043" s="70" t="s">
        <v>78</v>
      </c>
      <c r="G4043" s="70">
        <v>48</v>
      </c>
      <c r="H4043" s="71"/>
      <c r="I4043" s="134">
        <f t="shared" si="183"/>
        <v>0</v>
      </c>
      <c r="J4043" s="70"/>
      <c r="K4043" s="69"/>
    </row>
    <row r="4044" spans="1:11" ht="15.75" customHeight="1" x14ac:dyDescent="0.25">
      <c r="A4044" s="68"/>
      <c r="B4044" s="69" t="s">
        <v>5522</v>
      </c>
      <c r="C4044" s="70"/>
      <c r="D4044" s="70"/>
      <c r="E4044" s="70"/>
      <c r="F4044" s="70" t="s">
        <v>78</v>
      </c>
      <c r="G4044" s="70">
        <v>48</v>
      </c>
      <c r="H4044" s="71"/>
      <c r="I4044" s="134">
        <f t="shared" si="183"/>
        <v>0</v>
      </c>
      <c r="J4044" s="70"/>
      <c r="K4044" s="69"/>
    </row>
    <row r="4045" spans="1:11" ht="15.75" customHeight="1" x14ac:dyDescent="0.25">
      <c r="A4045" s="68"/>
      <c r="B4045" s="69" t="s">
        <v>5523</v>
      </c>
      <c r="C4045" s="70"/>
      <c r="D4045" s="70"/>
      <c r="E4045" s="70"/>
      <c r="F4045" s="70" t="s">
        <v>78</v>
      </c>
      <c r="G4045" s="70">
        <v>48</v>
      </c>
      <c r="H4045" s="71"/>
      <c r="I4045" s="134">
        <f t="shared" si="183"/>
        <v>0</v>
      </c>
      <c r="J4045" s="70"/>
      <c r="K4045" s="69"/>
    </row>
    <row r="4046" spans="1:11" ht="15.75" customHeight="1" x14ac:dyDescent="0.25">
      <c r="A4046" s="68"/>
      <c r="B4046" s="69" t="s">
        <v>5524</v>
      </c>
      <c r="C4046" s="70"/>
      <c r="D4046" s="70"/>
      <c r="E4046" s="70"/>
      <c r="F4046" s="70" t="s">
        <v>78</v>
      </c>
      <c r="G4046" s="70">
        <v>48</v>
      </c>
      <c r="H4046" s="71"/>
      <c r="I4046" s="134">
        <f t="shared" si="183"/>
        <v>0</v>
      </c>
      <c r="J4046" s="70"/>
      <c r="K4046" s="69"/>
    </row>
    <row r="4047" spans="1:11" ht="15.75" customHeight="1" x14ac:dyDescent="0.25">
      <c r="A4047" s="68"/>
      <c r="B4047" s="69" t="s">
        <v>5525</v>
      </c>
      <c r="C4047" s="70"/>
      <c r="D4047" s="70"/>
      <c r="E4047" s="70"/>
      <c r="F4047" s="70" t="s">
        <v>78</v>
      </c>
      <c r="G4047" s="70">
        <v>48</v>
      </c>
      <c r="H4047" s="71"/>
      <c r="I4047" s="134">
        <f t="shared" si="183"/>
        <v>0</v>
      </c>
      <c r="J4047" s="70"/>
      <c r="K4047" s="69"/>
    </row>
    <row r="4048" spans="1:11" ht="15.75" customHeight="1" x14ac:dyDescent="0.25">
      <c r="A4048" s="72"/>
      <c r="B4048" s="73" t="s">
        <v>5526</v>
      </c>
      <c r="C4048" s="74"/>
      <c r="D4048" s="74"/>
      <c r="E4048" s="74"/>
      <c r="F4048" s="74"/>
      <c r="G4048" s="74"/>
      <c r="H4048" s="75"/>
      <c r="I4048" s="135"/>
      <c r="J4048" s="74"/>
      <c r="K4048" s="73"/>
    </row>
    <row r="4049" spans="1:11" ht="15.75" customHeight="1" x14ac:dyDescent="0.25">
      <c r="A4049" s="68"/>
      <c r="B4049" s="69" t="s">
        <v>5527</v>
      </c>
      <c r="C4049" s="70"/>
      <c r="D4049" s="70"/>
      <c r="E4049" s="70"/>
      <c r="F4049" s="70" t="s">
        <v>315</v>
      </c>
      <c r="G4049" s="70">
        <v>16</v>
      </c>
      <c r="H4049" s="71"/>
      <c r="I4049" s="134">
        <f>H4049*G4049</f>
        <v>0</v>
      </c>
      <c r="J4049" s="70"/>
      <c r="K4049" s="69"/>
    </row>
    <row r="4050" spans="1:11" ht="15.75" customHeight="1" x14ac:dyDescent="0.25">
      <c r="A4050" s="68"/>
      <c r="B4050" s="69" t="s">
        <v>5528</v>
      </c>
      <c r="C4050" s="70" t="s">
        <v>5529</v>
      </c>
      <c r="D4050" s="70"/>
      <c r="E4050" s="70"/>
      <c r="F4050" s="70" t="s">
        <v>158</v>
      </c>
      <c r="G4050" s="70">
        <v>511.7</v>
      </c>
      <c r="H4050" s="71"/>
      <c r="I4050" s="134">
        <f>H4050*G4050</f>
        <v>0</v>
      </c>
      <c r="J4050" s="70"/>
      <c r="K4050" s="69" t="s">
        <v>5530</v>
      </c>
    </row>
    <row r="4051" spans="1:11" ht="15.75" customHeight="1" x14ac:dyDescent="0.25">
      <c r="A4051" s="68"/>
      <c r="B4051" s="69" t="s">
        <v>5531</v>
      </c>
      <c r="C4051" s="70" t="s">
        <v>5532</v>
      </c>
      <c r="D4051" s="70"/>
      <c r="E4051" s="70"/>
      <c r="F4051" s="70" t="s">
        <v>2199</v>
      </c>
      <c r="G4051" s="70">
        <v>44</v>
      </c>
      <c r="H4051" s="71"/>
      <c r="I4051" s="134">
        <f>H4051*G4051</f>
        <v>0</v>
      </c>
      <c r="J4051" s="70"/>
      <c r="K4051" s="69"/>
    </row>
    <row r="4052" spans="1:11" ht="15.75" customHeight="1" x14ac:dyDescent="0.25">
      <c r="A4052" s="72"/>
      <c r="B4052" s="73" t="s">
        <v>5533</v>
      </c>
      <c r="C4052" s="74"/>
      <c r="D4052" s="74"/>
      <c r="E4052" s="74"/>
      <c r="F4052" s="74"/>
      <c r="G4052" s="74"/>
      <c r="H4052" s="75"/>
      <c r="I4052" s="135"/>
      <c r="J4052" s="74"/>
      <c r="K4052" s="73"/>
    </row>
    <row r="4053" spans="1:11" ht="15.75" customHeight="1" x14ac:dyDescent="0.25">
      <c r="A4053" s="72"/>
      <c r="B4053" s="73" t="s">
        <v>5534</v>
      </c>
      <c r="C4053" s="74"/>
      <c r="D4053" s="74"/>
      <c r="E4053" s="74" t="s">
        <v>5535</v>
      </c>
      <c r="F4053" s="74"/>
      <c r="G4053" s="74"/>
      <c r="H4053" s="75"/>
      <c r="I4053" s="135"/>
      <c r="J4053" s="74"/>
      <c r="K4053" s="73"/>
    </row>
    <row r="4054" spans="1:11" ht="15.75" customHeight="1" x14ac:dyDescent="0.25">
      <c r="A4054" s="68"/>
      <c r="B4054" s="69" t="s">
        <v>5536</v>
      </c>
      <c r="C4054" s="70" t="s">
        <v>5537</v>
      </c>
      <c r="D4054" s="70"/>
      <c r="E4054" s="70"/>
      <c r="F4054" s="70" t="s">
        <v>576</v>
      </c>
      <c r="G4054" s="70">
        <v>126</v>
      </c>
      <c r="H4054" s="71"/>
      <c r="I4054" s="134">
        <f>H4054*G4054</f>
        <v>0</v>
      </c>
      <c r="J4054" s="70"/>
      <c r="K4054" s="69" t="s">
        <v>5538</v>
      </c>
    </row>
    <row r="4055" spans="1:11" ht="15.75" customHeight="1" x14ac:dyDescent="0.25">
      <c r="A4055" s="68"/>
      <c r="B4055" s="69" t="s">
        <v>5536</v>
      </c>
      <c r="C4055" s="70" t="s">
        <v>5537</v>
      </c>
      <c r="D4055" s="70"/>
      <c r="E4055" s="70"/>
      <c r="F4055" s="70" t="s">
        <v>576</v>
      </c>
      <c r="G4055" s="70">
        <v>7</v>
      </c>
      <c r="H4055" s="71"/>
      <c r="I4055" s="134">
        <f>H4055*G4055</f>
        <v>0</v>
      </c>
      <c r="J4055" s="70"/>
      <c r="K4055" s="69" t="s">
        <v>5539</v>
      </c>
    </row>
    <row r="4056" spans="1:11" ht="15.75" customHeight="1" x14ac:dyDescent="0.25">
      <c r="A4056" s="72"/>
      <c r="B4056" s="73" t="s">
        <v>5540</v>
      </c>
      <c r="C4056" s="74"/>
      <c r="D4056" s="74"/>
      <c r="E4056" s="74" t="s">
        <v>5535</v>
      </c>
      <c r="F4056" s="74"/>
      <c r="G4056" s="74"/>
      <c r="H4056" s="75"/>
      <c r="I4056" s="135"/>
      <c r="J4056" s="74"/>
      <c r="K4056" s="73"/>
    </row>
    <row r="4057" spans="1:11" ht="15.75" customHeight="1" x14ac:dyDescent="0.25">
      <c r="A4057" s="68"/>
      <c r="B4057" s="69" t="s">
        <v>5541</v>
      </c>
      <c r="C4057" s="70" t="s">
        <v>5542</v>
      </c>
      <c r="D4057" s="70"/>
      <c r="E4057" s="70"/>
      <c r="F4057" s="70" t="s">
        <v>89</v>
      </c>
      <c r="G4057" s="70">
        <v>45</v>
      </c>
      <c r="H4057" s="71"/>
      <c r="I4057" s="134">
        <f t="shared" ref="I4057:I4068" si="184">H4057*G4057</f>
        <v>0</v>
      </c>
      <c r="J4057" s="70"/>
      <c r="K4057" s="69" t="s">
        <v>5543</v>
      </c>
    </row>
    <row r="4058" spans="1:11" ht="15.75" customHeight="1" x14ac:dyDescent="0.25">
      <c r="A4058" s="68"/>
      <c r="B4058" s="69" t="s">
        <v>5541</v>
      </c>
      <c r="C4058" s="70" t="s">
        <v>5542</v>
      </c>
      <c r="D4058" s="70"/>
      <c r="E4058" s="70"/>
      <c r="F4058" s="70" t="s">
        <v>89</v>
      </c>
      <c r="G4058" s="70">
        <v>4</v>
      </c>
      <c r="H4058" s="71"/>
      <c r="I4058" s="134">
        <f t="shared" si="184"/>
        <v>0</v>
      </c>
      <c r="J4058" s="70"/>
      <c r="K4058" s="69" t="s">
        <v>5544</v>
      </c>
    </row>
    <row r="4059" spans="1:11" ht="28.5" customHeight="1" x14ac:dyDescent="0.25">
      <c r="A4059" s="68"/>
      <c r="B4059" s="69" t="s">
        <v>5545</v>
      </c>
      <c r="C4059" s="70" t="s">
        <v>5546</v>
      </c>
      <c r="D4059" s="70"/>
      <c r="E4059" s="70"/>
      <c r="F4059" s="70" t="s">
        <v>89</v>
      </c>
      <c r="G4059" s="70">
        <v>190</v>
      </c>
      <c r="H4059" s="71"/>
      <c r="I4059" s="134">
        <f t="shared" si="184"/>
        <v>0</v>
      </c>
      <c r="J4059" s="70"/>
      <c r="K4059" s="69" t="s">
        <v>5547</v>
      </c>
    </row>
    <row r="4060" spans="1:11" ht="28.5" customHeight="1" x14ac:dyDescent="0.25">
      <c r="A4060" s="68"/>
      <c r="B4060" s="69" t="s">
        <v>5545</v>
      </c>
      <c r="C4060" s="70" t="s">
        <v>5546</v>
      </c>
      <c r="D4060" s="70"/>
      <c r="E4060" s="70"/>
      <c r="F4060" s="70" t="s">
        <v>89</v>
      </c>
      <c r="G4060" s="70">
        <v>45</v>
      </c>
      <c r="H4060" s="71"/>
      <c r="I4060" s="134">
        <f t="shared" si="184"/>
        <v>0</v>
      </c>
      <c r="J4060" s="70"/>
      <c r="K4060" s="69" t="s">
        <v>5548</v>
      </c>
    </row>
    <row r="4061" spans="1:11" ht="15.75" customHeight="1" x14ac:dyDescent="0.25">
      <c r="A4061" s="68"/>
      <c r="B4061" s="69" t="s">
        <v>5545</v>
      </c>
      <c r="C4061" s="70" t="s">
        <v>5546</v>
      </c>
      <c r="D4061" s="70"/>
      <c r="E4061" s="70"/>
      <c r="F4061" s="70" t="s">
        <v>89</v>
      </c>
      <c r="G4061" s="70">
        <v>7</v>
      </c>
      <c r="H4061" s="71"/>
      <c r="I4061" s="134">
        <f t="shared" si="184"/>
        <v>0</v>
      </c>
      <c r="J4061" s="70"/>
      <c r="K4061" s="69" t="s">
        <v>5549</v>
      </c>
    </row>
    <row r="4062" spans="1:11" ht="28.5" customHeight="1" x14ac:dyDescent="0.25">
      <c r="A4062" s="68"/>
      <c r="B4062" s="69" t="s">
        <v>5550</v>
      </c>
      <c r="C4062" s="70" t="s">
        <v>5551</v>
      </c>
      <c r="D4062" s="70"/>
      <c r="E4062" s="70"/>
      <c r="F4062" s="70" t="s">
        <v>89</v>
      </c>
      <c r="G4062" s="70">
        <v>725</v>
      </c>
      <c r="H4062" s="71"/>
      <c r="I4062" s="134">
        <f t="shared" si="184"/>
        <v>0</v>
      </c>
      <c r="J4062" s="70"/>
      <c r="K4062" s="69" t="s">
        <v>5552</v>
      </c>
    </row>
    <row r="4063" spans="1:11" ht="15.75" customHeight="1" x14ac:dyDescent="0.25">
      <c r="A4063" s="68"/>
      <c r="B4063" s="69" t="s">
        <v>5553</v>
      </c>
      <c r="C4063" s="70"/>
      <c r="D4063" s="70"/>
      <c r="E4063" s="70"/>
      <c r="F4063" s="70" t="s">
        <v>78</v>
      </c>
      <c r="G4063" s="70">
        <v>41</v>
      </c>
      <c r="H4063" s="71"/>
      <c r="I4063" s="134">
        <f t="shared" si="184"/>
        <v>0</v>
      </c>
      <c r="J4063" s="70"/>
      <c r="K4063" s="69"/>
    </row>
    <row r="4064" spans="1:11" ht="15.75" customHeight="1" x14ac:dyDescent="0.25">
      <c r="A4064" s="68"/>
      <c r="B4064" s="69" t="s">
        <v>5554</v>
      </c>
      <c r="C4064" s="70" t="s">
        <v>5555</v>
      </c>
      <c r="D4064" s="70"/>
      <c r="E4064" s="70" t="s">
        <v>5535</v>
      </c>
      <c r="F4064" s="70" t="s">
        <v>2199</v>
      </c>
      <c r="G4064" s="70">
        <v>51</v>
      </c>
      <c r="H4064" s="71"/>
      <c r="I4064" s="134">
        <f t="shared" si="184"/>
        <v>0</v>
      </c>
      <c r="J4064" s="70"/>
      <c r="K4064" s="69"/>
    </row>
    <row r="4065" spans="1:11" ht="15.75" customHeight="1" x14ac:dyDescent="0.25">
      <c r="A4065" s="68"/>
      <c r="B4065" s="69" t="s">
        <v>5556</v>
      </c>
      <c r="C4065" s="70"/>
      <c r="D4065" s="70"/>
      <c r="E4065" s="70" t="s">
        <v>5557</v>
      </c>
      <c r="F4065" s="70" t="s">
        <v>78</v>
      </c>
      <c r="G4065" s="70">
        <v>4</v>
      </c>
      <c r="H4065" s="71"/>
      <c r="I4065" s="134">
        <f t="shared" si="184"/>
        <v>0</v>
      </c>
      <c r="J4065" s="70"/>
      <c r="K4065" s="69"/>
    </row>
    <row r="4066" spans="1:11" ht="28.5" customHeight="1" x14ac:dyDescent="0.25">
      <c r="A4066" s="68"/>
      <c r="B4066" s="69" t="s">
        <v>5558</v>
      </c>
      <c r="C4066" s="70"/>
      <c r="D4066" s="70"/>
      <c r="E4066" s="70" t="s">
        <v>5557</v>
      </c>
      <c r="F4066" s="70" t="s">
        <v>78</v>
      </c>
      <c r="G4066" s="70">
        <v>86</v>
      </c>
      <c r="H4066" s="71"/>
      <c r="I4066" s="134">
        <f t="shared" si="184"/>
        <v>0</v>
      </c>
      <c r="J4066" s="70"/>
      <c r="K4066" s="69" t="s">
        <v>5559</v>
      </c>
    </row>
    <row r="4067" spans="1:11" ht="15.75" customHeight="1" x14ac:dyDescent="0.25">
      <c r="A4067" s="68"/>
      <c r="B4067" s="69" t="s">
        <v>5560</v>
      </c>
      <c r="C4067" s="70"/>
      <c r="D4067" s="70"/>
      <c r="E4067" s="70" t="s">
        <v>5557</v>
      </c>
      <c r="F4067" s="70" t="s">
        <v>78</v>
      </c>
      <c r="G4067" s="70">
        <v>4</v>
      </c>
      <c r="H4067" s="71"/>
      <c r="I4067" s="134">
        <f t="shared" si="184"/>
        <v>0</v>
      </c>
      <c r="J4067" s="70"/>
      <c r="K4067" s="69"/>
    </row>
    <row r="4068" spans="1:11" ht="28.5" customHeight="1" x14ac:dyDescent="0.25">
      <c r="A4068" s="68"/>
      <c r="B4068" s="69" t="s">
        <v>5561</v>
      </c>
      <c r="C4068" s="70"/>
      <c r="D4068" s="70"/>
      <c r="E4068" s="70" t="s">
        <v>5557</v>
      </c>
      <c r="F4068" s="70" t="s">
        <v>78</v>
      </c>
      <c r="G4068" s="70">
        <v>17</v>
      </c>
      <c r="H4068" s="71"/>
      <c r="I4068" s="134">
        <f t="shared" si="184"/>
        <v>0</v>
      </c>
      <c r="J4068" s="70"/>
      <c r="K4068" s="69" t="s">
        <v>5559</v>
      </c>
    </row>
    <row r="4069" spans="1:11" ht="15.75" customHeight="1" x14ac:dyDescent="0.25">
      <c r="A4069" s="72"/>
      <c r="B4069" s="73" t="s">
        <v>5562</v>
      </c>
      <c r="C4069" s="74"/>
      <c r="D4069" s="74"/>
      <c r="E4069" s="74"/>
      <c r="F4069" s="74"/>
      <c r="G4069" s="74"/>
      <c r="H4069" s="75"/>
      <c r="I4069" s="135"/>
      <c r="J4069" s="74"/>
      <c r="K4069" s="73"/>
    </row>
    <row r="4070" spans="1:11" ht="15.75" customHeight="1" x14ac:dyDescent="0.25">
      <c r="A4070" s="68"/>
      <c r="B4070" s="69" t="s">
        <v>5563</v>
      </c>
      <c r="C4070" s="70" t="s">
        <v>5564</v>
      </c>
      <c r="D4070" s="70"/>
      <c r="E4070" s="70"/>
      <c r="F4070" s="70" t="s">
        <v>78</v>
      </c>
      <c r="G4070" s="70">
        <v>14</v>
      </c>
      <c r="H4070" s="71"/>
      <c r="I4070" s="134">
        <f t="shared" ref="I4070:I4092" si="185">H4070*G4070</f>
        <v>0</v>
      </c>
      <c r="J4070" s="70"/>
      <c r="K4070" s="69" t="s">
        <v>5565</v>
      </c>
    </row>
    <row r="4071" spans="1:11" ht="15.75" customHeight="1" x14ac:dyDescent="0.25">
      <c r="A4071" s="68"/>
      <c r="B4071" s="69" t="s">
        <v>5566</v>
      </c>
      <c r="C4071" s="70" t="s">
        <v>5567</v>
      </c>
      <c r="D4071" s="70"/>
      <c r="E4071" s="70"/>
      <c r="F4071" s="70" t="s">
        <v>78</v>
      </c>
      <c r="G4071" s="70">
        <v>30</v>
      </c>
      <c r="H4071" s="71"/>
      <c r="I4071" s="134">
        <f t="shared" si="185"/>
        <v>0</v>
      </c>
      <c r="J4071" s="70"/>
      <c r="K4071" s="69" t="s">
        <v>5565</v>
      </c>
    </row>
    <row r="4072" spans="1:11" ht="15.75" customHeight="1" x14ac:dyDescent="0.25">
      <c r="A4072" s="68"/>
      <c r="B4072" s="69" t="s">
        <v>5568</v>
      </c>
      <c r="C4072" s="70" t="s">
        <v>5569</v>
      </c>
      <c r="D4072" s="70"/>
      <c r="E4072" s="70"/>
      <c r="F4072" s="70" t="s">
        <v>78</v>
      </c>
      <c r="G4072" s="70">
        <v>28</v>
      </c>
      <c r="H4072" s="71"/>
      <c r="I4072" s="134">
        <f t="shared" si="185"/>
        <v>0</v>
      </c>
      <c r="J4072" s="70"/>
      <c r="K4072" s="69" t="s">
        <v>5565</v>
      </c>
    </row>
    <row r="4073" spans="1:11" ht="15.75" customHeight="1" x14ac:dyDescent="0.25">
      <c r="A4073" s="68"/>
      <c r="B4073" s="69" t="s">
        <v>5570</v>
      </c>
      <c r="C4073" s="70" t="s">
        <v>5571</v>
      </c>
      <c r="D4073" s="70"/>
      <c r="E4073" s="70"/>
      <c r="F4073" s="70" t="s">
        <v>78</v>
      </c>
      <c r="G4073" s="70">
        <v>8</v>
      </c>
      <c r="H4073" s="71"/>
      <c r="I4073" s="134">
        <f t="shared" si="185"/>
        <v>0</v>
      </c>
      <c r="J4073" s="70"/>
      <c r="K4073" s="69"/>
    </row>
    <row r="4074" spans="1:11" ht="15.75" customHeight="1" x14ac:dyDescent="0.25">
      <c r="A4074" s="68"/>
      <c r="B4074" s="69" t="s">
        <v>5572</v>
      </c>
      <c r="C4074" s="70"/>
      <c r="D4074" s="70"/>
      <c r="E4074" s="70"/>
      <c r="F4074" s="70" t="s">
        <v>89</v>
      </c>
      <c r="G4074" s="70">
        <v>30</v>
      </c>
      <c r="H4074" s="71"/>
      <c r="I4074" s="134">
        <f t="shared" si="185"/>
        <v>0</v>
      </c>
      <c r="J4074" s="70"/>
      <c r="K4074" s="69"/>
    </row>
    <row r="4075" spans="1:11" ht="15.75" customHeight="1" x14ac:dyDescent="0.25">
      <c r="A4075" s="68"/>
      <c r="B4075" s="69" t="s">
        <v>5573</v>
      </c>
      <c r="C4075" s="70"/>
      <c r="D4075" s="70"/>
      <c r="E4075" s="70"/>
      <c r="F4075" s="70" t="s">
        <v>89</v>
      </c>
      <c r="G4075" s="70">
        <v>4</v>
      </c>
      <c r="H4075" s="71"/>
      <c r="I4075" s="134">
        <f t="shared" si="185"/>
        <v>0</v>
      </c>
      <c r="J4075" s="70"/>
      <c r="K4075" s="69"/>
    </row>
    <row r="4076" spans="1:11" ht="15.75" customHeight="1" x14ac:dyDescent="0.25">
      <c r="A4076" s="68"/>
      <c r="B4076" s="69" t="s">
        <v>5574</v>
      </c>
      <c r="C4076" s="70"/>
      <c r="D4076" s="70"/>
      <c r="E4076" s="70"/>
      <c r="F4076" s="70" t="s">
        <v>89</v>
      </c>
      <c r="G4076" s="70">
        <v>4</v>
      </c>
      <c r="H4076" s="71"/>
      <c r="I4076" s="134">
        <f t="shared" si="185"/>
        <v>0</v>
      </c>
      <c r="J4076" s="70"/>
      <c r="K4076" s="69"/>
    </row>
    <row r="4077" spans="1:11" ht="15.75" customHeight="1" x14ac:dyDescent="0.25">
      <c r="A4077" s="68"/>
      <c r="B4077" s="69" t="s">
        <v>5575</v>
      </c>
      <c r="C4077" s="70"/>
      <c r="D4077" s="70"/>
      <c r="E4077" s="70"/>
      <c r="F4077" s="70" t="s">
        <v>78</v>
      </c>
      <c r="G4077" s="70">
        <v>400</v>
      </c>
      <c r="H4077" s="71"/>
      <c r="I4077" s="134">
        <f t="shared" si="185"/>
        <v>0</v>
      </c>
      <c r="J4077" s="70"/>
      <c r="K4077" s="69"/>
    </row>
    <row r="4078" spans="1:11" ht="15.75" customHeight="1" x14ac:dyDescent="0.25">
      <c r="A4078" s="68"/>
      <c r="B4078" s="69" t="s">
        <v>5576</v>
      </c>
      <c r="C4078" s="70"/>
      <c r="D4078" s="70"/>
      <c r="E4078" s="70"/>
      <c r="F4078" s="70" t="s">
        <v>78</v>
      </c>
      <c r="G4078" s="70">
        <v>400</v>
      </c>
      <c r="H4078" s="71"/>
      <c r="I4078" s="134">
        <f t="shared" si="185"/>
        <v>0</v>
      </c>
      <c r="J4078" s="70"/>
      <c r="K4078" s="69"/>
    </row>
    <row r="4079" spans="1:11" ht="15.75" customHeight="1" x14ac:dyDescent="0.25">
      <c r="A4079" s="68"/>
      <c r="B4079" s="69" t="s">
        <v>5522</v>
      </c>
      <c r="C4079" s="70"/>
      <c r="D4079" s="70"/>
      <c r="E4079" s="70"/>
      <c r="F4079" s="70" t="s">
        <v>78</v>
      </c>
      <c r="G4079" s="70">
        <v>20</v>
      </c>
      <c r="H4079" s="71"/>
      <c r="I4079" s="134">
        <f t="shared" si="185"/>
        <v>0</v>
      </c>
      <c r="J4079" s="70"/>
      <c r="K4079" s="69"/>
    </row>
    <row r="4080" spans="1:11" ht="15.75" customHeight="1" x14ac:dyDescent="0.25">
      <c r="A4080" s="68"/>
      <c r="B4080" s="69" t="s">
        <v>5524</v>
      </c>
      <c r="C4080" s="70"/>
      <c r="D4080" s="70"/>
      <c r="E4080" s="70"/>
      <c r="F4080" s="70" t="s">
        <v>78</v>
      </c>
      <c r="G4080" s="70">
        <v>20</v>
      </c>
      <c r="H4080" s="71"/>
      <c r="I4080" s="134">
        <f t="shared" si="185"/>
        <v>0</v>
      </c>
      <c r="J4080" s="70"/>
      <c r="K4080" s="69"/>
    </row>
    <row r="4081" spans="1:11" ht="15.75" customHeight="1" x14ac:dyDescent="0.25">
      <c r="A4081" s="68"/>
      <c r="B4081" s="69" t="s">
        <v>5577</v>
      </c>
      <c r="C4081" s="70"/>
      <c r="D4081" s="70"/>
      <c r="E4081" s="70"/>
      <c r="F4081" s="70" t="s">
        <v>78</v>
      </c>
      <c r="G4081" s="70">
        <v>100</v>
      </c>
      <c r="H4081" s="71"/>
      <c r="I4081" s="134">
        <f t="shared" si="185"/>
        <v>0</v>
      </c>
      <c r="J4081" s="70"/>
      <c r="K4081" s="69"/>
    </row>
    <row r="4082" spans="1:11" ht="15.75" customHeight="1" x14ac:dyDescent="0.25">
      <c r="A4082" s="68"/>
      <c r="B4082" s="69" t="s">
        <v>5578</v>
      </c>
      <c r="C4082" s="70"/>
      <c r="D4082" s="70"/>
      <c r="E4082" s="70"/>
      <c r="F4082" s="70" t="s">
        <v>78</v>
      </c>
      <c r="G4082" s="70">
        <v>10</v>
      </c>
      <c r="H4082" s="71"/>
      <c r="I4082" s="134">
        <f t="shared" si="185"/>
        <v>0</v>
      </c>
      <c r="J4082" s="70"/>
      <c r="K4082" s="69"/>
    </row>
    <row r="4083" spans="1:11" ht="15.75" customHeight="1" x14ac:dyDescent="0.25">
      <c r="A4083" s="68"/>
      <c r="B4083" s="69" t="s">
        <v>5579</v>
      </c>
      <c r="C4083" s="70"/>
      <c r="D4083" s="70"/>
      <c r="E4083" s="70"/>
      <c r="F4083" s="70" t="s">
        <v>78</v>
      </c>
      <c r="G4083" s="70">
        <v>10</v>
      </c>
      <c r="H4083" s="71"/>
      <c r="I4083" s="134">
        <f t="shared" si="185"/>
        <v>0</v>
      </c>
      <c r="J4083" s="70"/>
      <c r="K4083" s="69"/>
    </row>
    <row r="4084" spans="1:11" ht="15.75" customHeight="1" x14ac:dyDescent="0.25">
      <c r="A4084" s="68"/>
      <c r="B4084" s="69" t="s">
        <v>5580</v>
      </c>
      <c r="C4084" s="70"/>
      <c r="D4084" s="70"/>
      <c r="E4084" s="70"/>
      <c r="F4084" s="70" t="s">
        <v>78</v>
      </c>
      <c r="G4084" s="70">
        <v>6</v>
      </c>
      <c r="H4084" s="71"/>
      <c r="I4084" s="134">
        <f t="shared" si="185"/>
        <v>0</v>
      </c>
      <c r="J4084" s="70"/>
      <c r="K4084" s="69"/>
    </row>
    <row r="4085" spans="1:11" ht="15.75" customHeight="1" x14ac:dyDescent="0.25">
      <c r="A4085" s="68"/>
      <c r="B4085" s="69" t="s">
        <v>5581</v>
      </c>
      <c r="C4085" s="70" t="s">
        <v>5582</v>
      </c>
      <c r="D4085" s="70"/>
      <c r="E4085" s="70"/>
      <c r="F4085" s="70" t="s">
        <v>89</v>
      </c>
      <c r="G4085" s="70">
        <v>10</v>
      </c>
      <c r="H4085" s="71"/>
      <c r="I4085" s="134">
        <f t="shared" si="185"/>
        <v>0</v>
      </c>
      <c r="J4085" s="70"/>
      <c r="K4085" s="69"/>
    </row>
    <row r="4086" spans="1:11" ht="15.75" customHeight="1" x14ac:dyDescent="0.25">
      <c r="A4086" s="68"/>
      <c r="B4086" s="69" t="s">
        <v>5583</v>
      </c>
      <c r="C4086" s="70" t="s">
        <v>5584</v>
      </c>
      <c r="D4086" s="70"/>
      <c r="E4086" s="70"/>
      <c r="F4086" s="70" t="s">
        <v>89</v>
      </c>
      <c r="G4086" s="70">
        <v>1</v>
      </c>
      <c r="H4086" s="71"/>
      <c r="I4086" s="134">
        <f t="shared" si="185"/>
        <v>0</v>
      </c>
      <c r="J4086" s="70"/>
      <c r="K4086" s="69"/>
    </row>
    <row r="4087" spans="1:11" ht="15.75" customHeight="1" x14ac:dyDescent="0.25">
      <c r="A4087" s="68"/>
      <c r="B4087" s="69" t="s">
        <v>5393</v>
      </c>
      <c r="C4087" s="70" t="s">
        <v>1781</v>
      </c>
      <c r="D4087" s="70"/>
      <c r="E4087" s="70"/>
      <c r="F4087" s="70" t="s">
        <v>158</v>
      </c>
      <c r="G4087" s="70">
        <v>1</v>
      </c>
      <c r="H4087" s="71"/>
      <c r="I4087" s="134">
        <f t="shared" si="185"/>
        <v>0</v>
      </c>
      <c r="J4087" s="70"/>
      <c r="K4087" s="69" t="s">
        <v>5394</v>
      </c>
    </row>
    <row r="4088" spans="1:11" ht="15.75" customHeight="1" x14ac:dyDescent="0.25">
      <c r="A4088" s="68"/>
      <c r="B4088" s="69" t="s">
        <v>5395</v>
      </c>
      <c r="C4088" s="70" t="s">
        <v>5396</v>
      </c>
      <c r="D4088" s="70"/>
      <c r="E4088" s="70"/>
      <c r="F4088" s="70" t="s">
        <v>158</v>
      </c>
      <c r="G4088" s="70">
        <v>1.8</v>
      </c>
      <c r="H4088" s="71"/>
      <c r="I4088" s="134">
        <f t="shared" si="185"/>
        <v>0</v>
      </c>
      <c r="J4088" s="70"/>
      <c r="K4088" s="69" t="s">
        <v>5397</v>
      </c>
    </row>
    <row r="4089" spans="1:11" ht="15.75" customHeight="1" x14ac:dyDescent="0.25">
      <c r="A4089" s="68"/>
      <c r="B4089" s="69" t="s">
        <v>5398</v>
      </c>
      <c r="C4089" s="70" t="s">
        <v>5399</v>
      </c>
      <c r="D4089" s="70"/>
      <c r="E4089" s="70"/>
      <c r="F4089" s="70" t="s">
        <v>2199</v>
      </c>
      <c r="G4089" s="70">
        <v>0.5</v>
      </c>
      <c r="H4089" s="71"/>
      <c r="I4089" s="134">
        <f t="shared" si="185"/>
        <v>0</v>
      </c>
      <c r="J4089" s="70"/>
      <c r="K4089" s="69" t="s">
        <v>5400</v>
      </c>
    </row>
    <row r="4090" spans="1:11" ht="54" customHeight="1" x14ac:dyDescent="0.25">
      <c r="A4090" s="76" t="s">
        <v>5585</v>
      </c>
      <c r="B4090" s="77" t="s">
        <v>5586</v>
      </c>
      <c r="C4090" s="78"/>
      <c r="D4090" s="78"/>
      <c r="E4090" s="78"/>
      <c r="F4090" s="78" t="s">
        <v>1878</v>
      </c>
      <c r="G4090" s="78">
        <v>0.19600000000000001</v>
      </c>
      <c r="H4090" s="79"/>
      <c r="I4090" s="136">
        <f t="shared" si="185"/>
        <v>0</v>
      </c>
      <c r="J4090" s="78"/>
      <c r="K4090" s="77" t="s">
        <v>5587</v>
      </c>
    </row>
    <row r="4091" spans="1:11" ht="54" customHeight="1" x14ac:dyDescent="0.25">
      <c r="A4091" s="76" t="s">
        <v>581</v>
      </c>
      <c r="B4091" s="77" t="s">
        <v>5588</v>
      </c>
      <c r="C4091" s="78"/>
      <c r="D4091" s="78"/>
      <c r="E4091" s="78"/>
      <c r="F4091" s="78" t="s">
        <v>78</v>
      </c>
      <c r="G4091" s="78">
        <v>2</v>
      </c>
      <c r="H4091" s="79"/>
      <c r="I4091" s="136">
        <f t="shared" si="185"/>
        <v>0</v>
      </c>
      <c r="J4091" s="78"/>
      <c r="K4091" s="77" t="s">
        <v>5589</v>
      </c>
    </row>
    <row r="4092" spans="1:11" ht="41.25" customHeight="1" x14ac:dyDescent="0.25">
      <c r="A4092" s="76" t="s">
        <v>5590</v>
      </c>
      <c r="B4092" s="77" t="s">
        <v>5591</v>
      </c>
      <c r="C4092" s="78"/>
      <c r="D4092" s="78"/>
      <c r="E4092" s="78"/>
      <c r="F4092" s="78" t="s">
        <v>89</v>
      </c>
      <c r="G4092" s="78">
        <v>9.8039000000000005</v>
      </c>
      <c r="H4092" s="79"/>
      <c r="I4092" s="136">
        <f t="shared" si="185"/>
        <v>0</v>
      </c>
      <c r="J4092" s="78"/>
      <c r="K4092" s="77" t="s">
        <v>5592</v>
      </c>
    </row>
    <row r="4093" spans="1:11" ht="15.75" customHeight="1" x14ac:dyDescent="0.25"/>
    <row r="4094" spans="1:11" ht="15.75" customHeight="1" x14ac:dyDescent="0.25">
      <c r="A4094" s="150" t="s">
        <v>5593</v>
      </c>
      <c r="B4094" s="150"/>
      <c r="C4094" s="150"/>
      <c r="D4094" s="150"/>
      <c r="E4094" s="150"/>
      <c r="F4094" s="150"/>
      <c r="G4094" s="150"/>
      <c r="H4094" s="150"/>
      <c r="I4094" s="150"/>
      <c r="J4094" s="150"/>
      <c r="K4094" s="150"/>
    </row>
    <row r="4095" spans="1:11" ht="15.75" customHeight="1" x14ac:dyDescent="0.25">
      <c r="A4095" s="147" t="s">
        <v>5594</v>
      </c>
      <c r="B4095" s="147"/>
      <c r="C4095" s="147"/>
      <c r="D4095" s="147"/>
      <c r="E4095" s="147"/>
      <c r="F4095" s="147"/>
      <c r="G4095" s="147"/>
      <c r="H4095" s="147"/>
      <c r="I4095" s="147"/>
      <c r="J4095" s="147"/>
      <c r="K4095" s="147"/>
    </row>
    <row r="4096" spans="1:11" ht="54" customHeight="1" x14ac:dyDescent="0.25">
      <c r="A4096" s="76" t="s">
        <v>5595</v>
      </c>
      <c r="B4096" s="77" t="s">
        <v>5596</v>
      </c>
      <c r="C4096" s="78"/>
      <c r="D4096" s="78"/>
      <c r="E4096" s="78" t="s">
        <v>14</v>
      </c>
      <c r="F4096" s="78" t="s">
        <v>315</v>
      </c>
      <c r="G4096" s="78">
        <v>15581.052600000001</v>
      </c>
      <c r="H4096" s="79">
        <v>1600</v>
      </c>
      <c r="I4096" s="136">
        <f t="shared" ref="I4096:I4114" si="186">H4096*G4096</f>
        <v>24929684.16</v>
      </c>
      <c r="J4096" s="78"/>
      <c r="K4096" s="77" t="s">
        <v>5597</v>
      </c>
    </row>
    <row r="4097" spans="1:11" ht="144.75" customHeight="1" x14ac:dyDescent="0.25">
      <c r="A4097" s="76" t="s">
        <v>34</v>
      </c>
      <c r="B4097" s="77" t="s">
        <v>5598</v>
      </c>
      <c r="C4097" s="78"/>
      <c r="D4097" s="78"/>
      <c r="E4097" s="78" t="s">
        <v>14</v>
      </c>
      <c r="F4097" s="78" t="s">
        <v>315</v>
      </c>
      <c r="G4097" s="78">
        <v>40.878900000000002</v>
      </c>
      <c r="H4097" s="79">
        <v>4000</v>
      </c>
      <c r="I4097" s="136">
        <f t="shared" si="186"/>
        <v>163515.6</v>
      </c>
      <c r="J4097" s="78"/>
      <c r="K4097" s="77" t="s">
        <v>5599</v>
      </c>
    </row>
    <row r="4098" spans="1:11" ht="170.25" customHeight="1" x14ac:dyDescent="0.25">
      <c r="A4098" s="76" t="s">
        <v>5600</v>
      </c>
      <c r="B4098" s="77" t="s">
        <v>5601</v>
      </c>
      <c r="C4098" s="78"/>
      <c r="D4098" s="78"/>
      <c r="E4098" s="78" t="s">
        <v>14</v>
      </c>
      <c r="F4098" s="78" t="s">
        <v>315</v>
      </c>
      <c r="G4098" s="78">
        <v>1016.8785</v>
      </c>
      <c r="H4098" s="79">
        <v>4000</v>
      </c>
      <c r="I4098" s="136">
        <f t="shared" si="186"/>
        <v>4067514</v>
      </c>
      <c r="J4098" s="78"/>
      <c r="K4098" s="77" t="s">
        <v>5602</v>
      </c>
    </row>
    <row r="4099" spans="1:11" ht="157.5" customHeight="1" x14ac:dyDescent="0.25">
      <c r="A4099" s="76" t="s">
        <v>5603</v>
      </c>
      <c r="B4099" s="77" t="s">
        <v>5604</v>
      </c>
      <c r="C4099" s="78"/>
      <c r="D4099" s="78"/>
      <c r="E4099" s="78" t="s">
        <v>5363</v>
      </c>
      <c r="F4099" s="78" t="s">
        <v>315</v>
      </c>
      <c r="G4099" s="78">
        <v>889.23599999999999</v>
      </c>
      <c r="H4099" s="79">
        <v>8500</v>
      </c>
      <c r="I4099" s="136">
        <f t="shared" si="186"/>
        <v>7558506</v>
      </c>
      <c r="J4099" s="78"/>
      <c r="K4099" s="77" t="s">
        <v>5605</v>
      </c>
    </row>
    <row r="4100" spans="1:11" ht="183" customHeight="1" x14ac:dyDescent="0.25">
      <c r="A4100" s="76" t="s">
        <v>27</v>
      </c>
      <c r="B4100" s="77" t="s">
        <v>5606</v>
      </c>
      <c r="C4100" s="78"/>
      <c r="D4100" s="78"/>
      <c r="E4100" s="78" t="s">
        <v>5607</v>
      </c>
      <c r="F4100" s="78" t="s">
        <v>315</v>
      </c>
      <c r="G4100" s="78">
        <v>28.389399999999998</v>
      </c>
      <c r="H4100" s="79">
        <v>25000</v>
      </c>
      <c r="I4100" s="136">
        <f t="shared" si="186"/>
        <v>709735</v>
      </c>
      <c r="J4100" s="78"/>
      <c r="K4100" s="77" t="s">
        <v>5608</v>
      </c>
    </row>
    <row r="4101" spans="1:11" ht="183" customHeight="1" x14ac:dyDescent="0.25">
      <c r="A4101" s="76" t="s">
        <v>23</v>
      </c>
      <c r="B4101" s="77" t="s">
        <v>5609</v>
      </c>
      <c r="C4101" s="78"/>
      <c r="D4101" s="78"/>
      <c r="E4101" s="78" t="s">
        <v>5363</v>
      </c>
      <c r="F4101" s="78" t="s">
        <v>315</v>
      </c>
      <c r="G4101" s="78">
        <v>3946.1732999999999</v>
      </c>
      <c r="H4101" s="79">
        <v>8500</v>
      </c>
      <c r="I4101" s="136">
        <f t="shared" si="186"/>
        <v>33542473.050000001</v>
      </c>
      <c r="J4101" s="78"/>
      <c r="K4101" s="77" t="s">
        <v>5610</v>
      </c>
    </row>
    <row r="4102" spans="1:11" ht="132" customHeight="1" x14ac:dyDescent="0.25">
      <c r="A4102" s="76" t="s">
        <v>5611</v>
      </c>
      <c r="B4102" s="77" t="s">
        <v>5612</v>
      </c>
      <c r="C4102" s="78"/>
      <c r="D4102" s="78"/>
      <c r="E4102" s="78" t="s">
        <v>5613</v>
      </c>
      <c r="F4102" s="78" t="s">
        <v>1878</v>
      </c>
      <c r="G4102" s="78">
        <v>259.68579999999997</v>
      </c>
      <c r="H4102" s="79">
        <v>110000</v>
      </c>
      <c r="I4102" s="136">
        <f t="shared" si="186"/>
        <v>28565437.999999996</v>
      </c>
      <c r="J4102" s="78"/>
      <c r="K4102" s="77" t="s">
        <v>5614</v>
      </c>
    </row>
    <row r="4103" spans="1:11" ht="183" customHeight="1" x14ac:dyDescent="0.25">
      <c r="A4103" s="76" t="s">
        <v>5615</v>
      </c>
      <c r="B4103" s="77" t="s">
        <v>5616</v>
      </c>
      <c r="C4103" s="78"/>
      <c r="D4103" s="78"/>
      <c r="E4103" s="78" t="s">
        <v>5613</v>
      </c>
      <c r="F4103" s="78" t="s">
        <v>1878</v>
      </c>
      <c r="G4103" s="78">
        <v>240.66630000000001</v>
      </c>
      <c r="H4103" s="79">
        <v>110000</v>
      </c>
      <c r="I4103" s="136">
        <f t="shared" si="186"/>
        <v>26473293</v>
      </c>
      <c r="J4103" s="78"/>
      <c r="K4103" s="77" t="s">
        <v>5617</v>
      </c>
    </row>
    <row r="4104" spans="1:11" ht="170.25" customHeight="1" x14ac:dyDescent="0.25">
      <c r="A4104" s="76" t="s">
        <v>5618</v>
      </c>
      <c r="B4104" s="77" t="s">
        <v>5619</v>
      </c>
      <c r="C4104" s="78"/>
      <c r="D4104" s="78"/>
      <c r="E4104" s="78" t="s">
        <v>5613</v>
      </c>
      <c r="F4104" s="78" t="s">
        <v>1878</v>
      </c>
      <c r="G4104" s="78">
        <v>41.4011</v>
      </c>
      <c r="H4104" s="79">
        <v>110000</v>
      </c>
      <c r="I4104" s="136">
        <f t="shared" si="186"/>
        <v>4554121</v>
      </c>
      <c r="J4104" s="78"/>
      <c r="K4104" s="77" t="s">
        <v>5620</v>
      </c>
    </row>
    <row r="4105" spans="1:11" ht="105.75" customHeight="1" x14ac:dyDescent="0.25">
      <c r="A4105" s="76" t="s">
        <v>5621</v>
      </c>
      <c r="B4105" s="77" t="s">
        <v>5622</v>
      </c>
      <c r="C4105" s="78"/>
      <c r="D4105" s="78"/>
      <c r="E4105" s="78" t="s">
        <v>5613</v>
      </c>
      <c r="F4105" s="78" t="s">
        <v>1878</v>
      </c>
      <c r="G4105" s="78">
        <v>10.4733</v>
      </c>
      <c r="H4105" s="79">
        <v>140000</v>
      </c>
      <c r="I4105" s="136">
        <f t="shared" si="186"/>
        <v>1466262</v>
      </c>
      <c r="J4105" s="78"/>
      <c r="K4105" s="77" t="s">
        <v>5623</v>
      </c>
    </row>
    <row r="4106" spans="1:11" ht="183" customHeight="1" x14ac:dyDescent="0.25">
      <c r="A4106" s="76" t="s">
        <v>5624</v>
      </c>
      <c r="B4106" s="77" t="s">
        <v>5625</v>
      </c>
      <c r="C4106" s="78"/>
      <c r="D4106" s="78"/>
      <c r="E4106" s="78" t="s">
        <v>5626</v>
      </c>
      <c r="F4106" s="78" t="s">
        <v>1878</v>
      </c>
      <c r="G4106" s="78">
        <v>55.457900000000002</v>
      </c>
      <c r="H4106" s="79">
        <v>282000</v>
      </c>
      <c r="I4106" s="136">
        <f t="shared" si="186"/>
        <v>15639127.800000001</v>
      </c>
      <c r="J4106" s="78"/>
      <c r="K4106" s="77" t="s">
        <v>5627</v>
      </c>
    </row>
    <row r="4107" spans="1:11" ht="183" customHeight="1" x14ac:dyDescent="0.25">
      <c r="A4107" s="76" t="s">
        <v>5628</v>
      </c>
      <c r="B4107" s="77" t="s">
        <v>5629</v>
      </c>
      <c r="C4107" s="78"/>
      <c r="D4107" s="78"/>
      <c r="E4107" s="78" t="s">
        <v>5626</v>
      </c>
      <c r="F4107" s="78" t="s">
        <v>1878</v>
      </c>
      <c r="G4107" s="78">
        <v>2.7433999999999998</v>
      </c>
      <c r="H4107" s="79">
        <v>48000</v>
      </c>
      <c r="I4107" s="136">
        <f t="shared" si="186"/>
        <v>131683.19999999998</v>
      </c>
      <c r="J4107" s="78"/>
      <c r="K4107" s="77" t="s">
        <v>5630</v>
      </c>
    </row>
    <row r="4108" spans="1:11" ht="67.5" customHeight="1" x14ac:dyDescent="0.25">
      <c r="A4108" s="76" t="s">
        <v>5631</v>
      </c>
      <c r="B4108" s="77" t="s">
        <v>5632</v>
      </c>
      <c r="C4108" s="78"/>
      <c r="D4108" s="78"/>
      <c r="E4108" s="78" t="s">
        <v>5613</v>
      </c>
      <c r="F4108" s="78" t="s">
        <v>1878</v>
      </c>
      <c r="G4108" s="78">
        <v>10.0304</v>
      </c>
      <c r="H4108" s="79">
        <v>140000</v>
      </c>
      <c r="I4108" s="136">
        <f t="shared" si="186"/>
        <v>1404256</v>
      </c>
      <c r="J4108" s="78"/>
      <c r="K4108" s="77" t="s">
        <v>5633</v>
      </c>
    </row>
    <row r="4109" spans="1:11" ht="54" customHeight="1" x14ac:dyDescent="0.25">
      <c r="A4109" s="76" t="s">
        <v>5634</v>
      </c>
      <c r="B4109" s="77" t="s">
        <v>5635</v>
      </c>
      <c r="C4109" s="78"/>
      <c r="D4109" s="78"/>
      <c r="E4109" s="78" t="s">
        <v>5613</v>
      </c>
      <c r="F4109" s="78" t="s">
        <v>1878</v>
      </c>
      <c r="G4109" s="78">
        <v>14.285</v>
      </c>
      <c r="H4109" s="79">
        <v>110000</v>
      </c>
      <c r="I4109" s="136">
        <f t="shared" si="186"/>
        <v>1571350</v>
      </c>
      <c r="J4109" s="78"/>
      <c r="K4109" s="77" t="s">
        <v>5636</v>
      </c>
    </row>
    <row r="4110" spans="1:11" ht="54" customHeight="1" x14ac:dyDescent="0.25">
      <c r="A4110" s="76" t="s">
        <v>5637</v>
      </c>
      <c r="B4110" s="77" t="s">
        <v>5638</v>
      </c>
      <c r="C4110" s="78"/>
      <c r="D4110" s="78"/>
      <c r="E4110" s="78" t="s">
        <v>5626</v>
      </c>
      <c r="F4110" s="78" t="s">
        <v>576</v>
      </c>
      <c r="G4110" s="78">
        <v>17378</v>
      </c>
      <c r="H4110" s="79">
        <v>2000</v>
      </c>
      <c r="I4110" s="136">
        <f t="shared" si="186"/>
        <v>34756000</v>
      </c>
      <c r="J4110" s="78"/>
      <c r="K4110" s="77" t="s">
        <v>5639</v>
      </c>
    </row>
    <row r="4111" spans="1:11" ht="54" customHeight="1" x14ac:dyDescent="0.25">
      <c r="A4111" s="76" t="s">
        <v>5640</v>
      </c>
      <c r="B4111" s="77" t="s">
        <v>5641</v>
      </c>
      <c r="C4111" s="78"/>
      <c r="D4111" s="78"/>
      <c r="E4111" s="78" t="s">
        <v>5363</v>
      </c>
      <c r="F4111" s="78" t="s">
        <v>315</v>
      </c>
      <c r="G4111" s="78">
        <v>177.875</v>
      </c>
      <c r="H4111" s="79">
        <v>7000</v>
      </c>
      <c r="I4111" s="136">
        <f t="shared" si="186"/>
        <v>1245125</v>
      </c>
      <c r="J4111" s="78"/>
      <c r="K4111" s="77" t="s">
        <v>5642</v>
      </c>
    </row>
    <row r="4112" spans="1:11" ht="41.25" customHeight="1" x14ac:dyDescent="0.25">
      <c r="A4112" s="76" t="s">
        <v>5643</v>
      </c>
      <c r="B4112" s="77" t="s">
        <v>5644</v>
      </c>
      <c r="C4112" s="78"/>
      <c r="D4112" s="78"/>
      <c r="E4112" s="78"/>
      <c r="F4112" s="78" t="s">
        <v>89</v>
      </c>
      <c r="G4112" s="78">
        <v>1440</v>
      </c>
      <c r="H4112" s="79"/>
      <c r="I4112" s="136">
        <f t="shared" si="186"/>
        <v>0</v>
      </c>
      <c r="J4112" s="78"/>
      <c r="K4112" s="77" t="s">
        <v>5645</v>
      </c>
    </row>
    <row r="4113" spans="1:11" ht="67.5" customHeight="1" x14ac:dyDescent="0.25">
      <c r="A4113" s="76" t="s">
        <v>5646</v>
      </c>
      <c r="B4113" s="77" t="s">
        <v>5647</v>
      </c>
      <c r="C4113" s="78"/>
      <c r="D4113" s="78"/>
      <c r="E4113" s="78" t="s">
        <v>5648</v>
      </c>
      <c r="F4113" s="78" t="s">
        <v>576</v>
      </c>
      <c r="G4113" s="78">
        <v>6065.9444999999996</v>
      </c>
      <c r="H4113" s="79"/>
      <c r="I4113" s="136">
        <f t="shared" si="186"/>
        <v>0</v>
      </c>
      <c r="J4113" s="78"/>
      <c r="K4113" s="77" t="s">
        <v>5649</v>
      </c>
    </row>
    <row r="4114" spans="1:11" ht="67.5" customHeight="1" x14ac:dyDescent="0.25">
      <c r="A4114" s="76" t="s">
        <v>5650</v>
      </c>
      <c r="B4114" s="77" t="s">
        <v>5651</v>
      </c>
      <c r="C4114" s="78"/>
      <c r="D4114" s="78"/>
      <c r="E4114" s="78" t="s">
        <v>5613</v>
      </c>
      <c r="F4114" s="78" t="s">
        <v>1878</v>
      </c>
      <c r="G4114" s="78">
        <v>34.936999999999998</v>
      </c>
      <c r="H4114" s="79">
        <v>110000</v>
      </c>
      <c r="I4114" s="136">
        <f t="shared" si="186"/>
        <v>3843069.9999999995</v>
      </c>
      <c r="J4114" s="78"/>
      <c r="K4114" s="77" t="s">
        <v>5652</v>
      </c>
    </row>
    <row r="4115" spans="1:11" ht="15.75" customHeight="1" x14ac:dyDescent="0.25">
      <c r="A4115" s="147" t="s">
        <v>5653</v>
      </c>
      <c r="B4115" s="147"/>
      <c r="C4115" s="147"/>
      <c r="D4115" s="147"/>
      <c r="E4115" s="147"/>
      <c r="F4115" s="147"/>
      <c r="G4115" s="147"/>
      <c r="H4115" s="147"/>
      <c r="I4115" s="147"/>
      <c r="J4115" s="147"/>
      <c r="K4115" s="147"/>
    </row>
    <row r="4116" spans="1:11" ht="41.25" customHeight="1" x14ac:dyDescent="0.25">
      <c r="A4116" s="76" t="s">
        <v>5585</v>
      </c>
      <c r="B4116" s="77" t="s">
        <v>5654</v>
      </c>
      <c r="C4116" s="78"/>
      <c r="D4116" s="78"/>
      <c r="E4116" s="78" t="s">
        <v>5655</v>
      </c>
      <c r="F4116" s="78" t="s">
        <v>1878</v>
      </c>
      <c r="G4116" s="78">
        <v>555.91</v>
      </c>
      <c r="H4116" s="79"/>
      <c r="I4116" s="136">
        <f t="shared" ref="I4116:I4124" si="187">H4116*G4116</f>
        <v>0</v>
      </c>
      <c r="J4116" s="78"/>
      <c r="K4116" s="77" t="s">
        <v>5656</v>
      </c>
    </row>
    <row r="4117" spans="1:11" ht="41.25" customHeight="1" x14ac:dyDescent="0.25">
      <c r="A4117" s="76" t="s">
        <v>581</v>
      </c>
      <c r="B4117" s="77" t="s">
        <v>5657</v>
      </c>
      <c r="C4117" s="78"/>
      <c r="D4117" s="78"/>
      <c r="E4117" s="78" t="s">
        <v>5655</v>
      </c>
      <c r="F4117" s="78" t="s">
        <v>1878</v>
      </c>
      <c r="G4117" s="78">
        <v>409.06</v>
      </c>
      <c r="H4117" s="79">
        <v>210000</v>
      </c>
      <c r="I4117" s="136">
        <f t="shared" si="187"/>
        <v>85902600</v>
      </c>
      <c r="J4117" s="78"/>
      <c r="K4117" s="77" t="s">
        <v>5658</v>
      </c>
    </row>
    <row r="4118" spans="1:11" ht="54" customHeight="1" x14ac:dyDescent="0.25">
      <c r="A4118" s="76" t="s">
        <v>20</v>
      </c>
      <c r="B4118" s="77" t="s">
        <v>5659</v>
      </c>
      <c r="C4118" s="78"/>
      <c r="D4118" s="78"/>
      <c r="E4118" s="78" t="s">
        <v>5655</v>
      </c>
      <c r="F4118" s="78" t="s">
        <v>1878</v>
      </c>
      <c r="G4118" s="78">
        <v>164.19399999999999</v>
      </c>
      <c r="H4118" s="79">
        <v>210000</v>
      </c>
      <c r="I4118" s="136">
        <f t="shared" si="187"/>
        <v>34480740</v>
      </c>
      <c r="J4118" s="78"/>
      <c r="K4118" s="77" t="s">
        <v>5660</v>
      </c>
    </row>
    <row r="4119" spans="1:11" ht="41.25" customHeight="1" x14ac:dyDescent="0.25">
      <c r="A4119" s="76" t="s">
        <v>36</v>
      </c>
      <c r="B4119" s="77" t="s">
        <v>5661</v>
      </c>
      <c r="C4119" s="78"/>
      <c r="D4119" s="78"/>
      <c r="E4119" s="78" t="s">
        <v>5655</v>
      </c>
      <c r="F4119" s="78" t="s">
        <v>1878</v>
      </c>
      <c r="G4119" s="78">
        <v>262.32</v>
      </c>
      <c r="H4119" s="79">
        <v>210000</v>
      </c>
      <c r="I4119" s="136">
        <f t="shared" si="187"/>
        <v>55087200</v>
      </c>
      <c r="J4119" s="78"/>
      <c r="K4119" s="77" t="s">
        <v>5662</v>
      </c>
    </row>
    <row r="4120" spans="1:11" ht="41.25" customHeight="1" x14ac:dyDescent="0.25">
      <c r="A4120" s="76" t="s">
        <v>5663</v>
      </c>
      <c r="B4120" s="77" t="s">
        <v>5664</v>
      </c>
      <c r="C4120" s="78"/>
      <c r="D4120" s="78"/>
      <c r="E4120" s="78" t="s">
        <v>5655</v>
      </c>
      <c r="F4120" s="78" t="s">
        <v>1878</v>
      </c>
      <c r="G4120" s="78">
        <v>319.5</v>
      </c>
      <c r="H4120" s="79">
        <v>210000</v>
      </c>
      <c r="I4120" s="136">
        <f t="shared" si="187"/>
        <v>67095000</v>
      </c>
      <c r="J4120" s="78"/>
      <c r="K4120" s="77" t="s">
        <v>5665</v>
      </c>
    </row>
    <row r="4121" spans="1:11" ht="41.25" customHeight="1" x14ac:dyDescent="0.25">
      <c r="A4121" s="76" t="s">
        <v>5666</v>
      </c>
      <c r="B4121" s="77" t="s">
        <v>5667</v>
      </c>
      <c r="C4121" s="78"/>
      <c r="D4121" s="78"/>
      <c r="E4121" s="78" t="s">
        <v>5655</v>
      </c>
      <c r="F4121" s="78" t="s">
        <v>1878</v>
      </c>
      <c r="G4121" s="78">
        <v>182.53</v>
      </c>
      <c r="H4121" s="79">
        <v>210000</v>
      </c>
      <c r="I4121" s="136">
        <f t="shared" si="187"/>
        <v>38331300</v>
      </c>
      <c r="J4121" s="78"/>
      <c r="K4121" s="77" t="s">
        <v>5668</v>
      </c>
    </row>
    <row r="4122" spans="1:11" ht="41.25" customHeight="1" x14ac:dyDescent="0.25">
      <c r="A4122" s="76" t="s">
        <v>5603</v>
      </c>
      <c r="B4122" s="77" t="s">
        <v>5669</v>
      </c>
      <c r="C4122" s="78"/>
      <c r="D4122" s="78"/>
      <c r="E4122" s="78" t="s">
        <v>5655</v>
      </c>
      <c r="F4122" s="78" t="s">
        <v>1878</v>
      </c>
      <c r="G4122" s="78">
        <v>527.28</v>
      </c>
      <c r="H4122" s="79">
        <v>210000</v>
      </c>
      <c r="I4122" s="136">
        <f t="shared" si="187"/>
        <v>110728800</v>
      </c>
      <c r="J4122" s="78"/>
      <c r="K4122" s="77" t="s">
        <v>5670</v>
      </c>
    </row>
    <row r="4123" spans="1:11" ht="41.25" customHeight="1" x14ac:dyDescent="0.25">
      <c r="A4123" s="76" t="s">
        <v>29</v>
      </c>
      <c r="B4123" s="77" t="s">
        <v>5671</v>
      </c>
      <c r="C4123" s="78"/>
      <c r="D4123" s="78"/>
      <c r="E4123" s="78" t="s">
        <v>5672</v>
      </c>
      <c r="F4123" s="78" t="s">
        <v>1878</v>
      </c>
      <c r="G4123" s="78">
        <v>6.48</v>
      </c>
      <c r="H4123" s="79">
        <v>210000</v>
      </c>
      <c r="I4123" s="136">
        <f t="shared" si="187"/>
        <v>1360800</v>
      </c>
      <c r="J4123" s="78"/>
      <c r="K4123" s="77" t="s">
        <v>5673</v>
      </c>
    </row>
    <row r="4124" spans="1:11" ht="67.5" customHeight="1" x14ac:dyDescent="0.25">
      <c r="A4124" s="76" t="s">
        <v>24</v>
      </c>
      <c r="B4124" s="77" t="s">
        <v>5674</v>
      </c>
      <c r="C4124" s="78"/>
      <c r="D4124" s="78"/>
      <c r="E4124" s="78" t="s">
        <v>5675</v>
      </c>
      <c r="F4124" s="78" t="s">
        <v>158</v>
      </c>
      <c r="G4124" s="78">
        <v>59732.01</v>
      </c>
      <c r="H4124" s="79">
        <v>1100</v>
      </c>
      <c r="I4124" s="136">
        <f t="shared" si="187"/>
        <v>65705211</v>
      </c>
      <c r="J4124" s="78"/>
      <c r="K4124" s="77" t="s">
        <v>5676</v>
      </c>
    </row>
    <row r="4125" spans="1:11" ht="15.75" customHeight="1" x14ac:dyDescent="0.25">
      <c r="A4125" s="147" t="s">
        <v>5677</v>
      </c>
      <c r="B4125" s="147"/>
      <c r="C4125" s="147"/>
      <c r="D4125" s="147"/>
      <c r="E4125" s="147"/>
      <c r="F4125" s="147"/>
      <c r="G4125" s="147"/>
      <c r="H4125" s="147"/>
      <c r="I4125" s="147"/>
      <c r="J4125" s="147"/>
      <c r="K4125" s="147"/>
    </row>
    <row r="4126" spans="1:11" ht="67.5" customHeight="1" x14ac:dyDescent="0.25">
      <c r="A4126" s="76" t="s">
        <v>581</v>
      </c>
      <c r="B4126" s="77" t="s">
        <v>5678</v>
      </c>
      <c r="C4126" s="78"/>
      <c r="D4126" s="78"/>
      <c r="E4126" s="78" t="s">
        <v>5679</v>
      </c>
      <c r="F4126" s="78" t="s">
        <v>576</v>
      </c>
      <c r="G4126" s="78">
        <v>2179.4270000000001</v>
      </c>
      <c r="H4126" s="79">
        <v>3500</v>
      </c>
      <c r="I4126" s="136">
        <f t="shared" ref="I4126:I4157" si="188">H4126*G4126</f>
        <v>7627994.5000000009</v>
      </c>
      <c r="J4126" s="78"/>
      <c r="K4126" s="77" t="s">
        <v>5680</v>
      </c>
    </row>
    <row r="4127" spans="1:11" ht="67.5" customHeight="1" x14ac:dyDescent="0.25">
      <c r="A4127" s="76" t="s">
        <v>20</v>
      </c>
      <c r="B4127" s="77" t="s">
        <v>5681</v>
      </c>
      <c r="C4127" s="78"/>
      <c r="D4127" s="78"/>
      <c r="E4127" s="78" t="s">
        <v>5682</v>
      </c>
      <c r="F4127" s="78" t="s">
        <v>315</v>
      </c>
      <c r="G4127" s="78">
        <v>10.6768</v>
      </c>
      <c r="H4127" s="79">
        <v>14000</v>
      </c>
      <c r="I4127" s="136">
        <f t="shared" si="188"/>
        <v>149475.20000000001</v>
      </c>
      <c r="J4127" s="78"/>
      <c r="K4127" s="77" t="s">
        <v>5683</v>
      </c>
    </row>
    <row r="4128" spans="1:11" ht="54" customHeight="1" x14ac:dyDescent="0.25">
      <c r="A4128" s="76" t="s">
        <v>36</v>
      </c>
      <c r="B4128" s="77" t="s">
        <v>5684</v>
      </c>
      <c r="C4128" s="78"/>
      <c r="D4128" s="78"/>
      <c r="E4128" s="78" t="s">
        <v>5685</v>
      </c>
      <c r="F4128" s="78" t="s">
        <v>576</v>
      </c>
      <c r="G4128" s="78">
        <v>1481.35</v>
      </c>
      <c r="H4128" s="79">
        <v>58000</v>
      </c>
      <c r="I4128" s="136">
        <f t="shared" si="188"/>
        <v>85918300</v>
      </c>
      <c r="J4128" s="78"/>
      <c r="K4128" s="77" t="s">
        <v>5683</v>
      </c>
    </row>
    <row r="4129" spans="1:11" ht="67.5" customHeight="1" x14ac:dyDescent="0.25">
      <c r="A4129" s="76" t="s">
        <v>5663</v>
      </c>
      <c r="B4129" s="77" t="s">
        <v>5686</v>
      </c>
      <c r="C4129" s="78"/>
      <c r="D4129" s="78"/>
      <c r="E4129" s="78" t="s">
        <v>5685</v>
      </c>
      <c r="F4129" s="78" t="s">
        <v>576</v>
      </c>
      <c r="G4129" s="78">
        <v>1284.49</v>
      </c>
      <c r="H4129" s="79">
        <v>58000</v>
      </c>
      <c r="I4129" s="136">
        <f t="shared" si="188"/>
        <v>74500420</v>
      </c>
      <c r="J4129" s="78"/>
      <c r="K4129" s="77" t="s">
        <v>5687</v>
      </c>
    </row>
    <row r="4130" spans="1:11" ht="54" customHeight="1" x14ac:dyDescent="0.25">
      <c r="A4130" s="76" t="s">
        <v>5666</v>
      </c>
      <c r="B4130" s="77" t="s">
        <v>5688</v>
      </c>
      <c r="C4130" s="78"/>
      <c r="D4130" s="78"/>
      <c r="E4130" s="78" t="s">
        <v>5689</v>
      </c>
      <c r="F4130" s="78" t="s">
        <v>576</v>
      </c>
      <c r="G4130" s="78">
        <v>82.71</v>
      </c>
      <c r="H4130" s="79">
        <v>58000</v>
      </c>
      <c r="I4130" s="136">
        <f t="shared" si="188"/>
        <v>4797180</v>
      </c>
      <c r="J4130" s="78"/>
      <c r="K4130" s="77" t="s">
        <v>5683</v>
      </c>
    </row>
    <row r="4131" spans="1:11" ht="54" customHeight="1" x14ac:dyDescent="0.25">
      <c r="A4131" s="76" t="s">
        <v>34</v>
      </c>
      <c r="B4131" s="77" t="s">
        <v>5690</v>
      </c>
      <c r="C4131" s="78"/>
      <c r="D4131" s="78"/>
      <c r="E4131" s="78"/>
      <c r="F4131" s="78" t="s">
        <v>89</v>
      </c>
      <c r="G4131" s="78">
        <v>6613.82</v>
      </c>
      <c r="H4131" s="79">
        <v>200</v>
      </c>
      <c r="I4131" s="136">
        <f t="shared" si="188"/>
        <v>1322764</v>
      </c>
      <c r="J4131" s="78"/>
      <c r="K4131" s="77" t="s">
        <v>5691</v>
      </c>
    </row>
    <row r="4132" spans="1:11" ht="54" customHeight="1" x14ac:dyDescent="0.25">
      <c r="A4132" s="76" t="s">
        <v>5600</v>
      </c>
      <c r="B4132" s="77" t="s">
        <v>5692</v>
      </c>
      <c r="C4132" s="78"/>
      <c r="D4132" s="78"/>
      <c r="E4132" s="78"/>
      <c r="F4132" s="78" t="s">
        <v>576</v>
      </c>
      <c r="G4132" s="78">
        <v>2671.44</v>
      </c>
      <c r="H4132" s="79">
        <v>2400</v>
      </c>
      <c r="I4132" s="136">
        <f t="shared" si="188"/>
        <v>6411456</v>
      </c>
      <c r="J4132" s="78"/>
      <c r="K4132" s="77" t="s">
        <v>5693</v>
      </c>
    </row>
    <row r="4133" spans="1:11" ht="54" customHeight="1" x14ac:dyDescent="0.25">
      <c r="A4133" s="76" t="s">
        <v>5694</v>
      </c>
      <c r="B4133" s="77" t="s">
        <v>5695</v>
      </c>
      <c r="C4133" s="78"/>
      <c r="D4133" s="78"/>
      <c r="E4133" s="78" t="s">
        <v>5696</v>
      </c>
      <c r="F4133" s="78" t="s">
        <v>576</v>
      </c>
      <c r="G4133" s="78">
        <v>2671.44</v>
      </c>
      <c r="H4133" s="79">
        <v>2400</v>
      </c>
      <c r="I4133" s="136">
        <f t="shared" si="188"/>
        <v>6411456</v>
      </c>
      <c r="J4133" s="78"/>
      <c r="K4133" s="77" t="s">
        <v>5683</v>
      </c>
    </row>
    <row r="4134" spans="1:11" ht="67.5" customHeight="1" x14ac:dyDescent="0.25">
      <c r="A4134" s="76" t="s">
        <v>5697</v>
      </c>
      <c r="B4134" s="77" t="s">
        <v>5698</v>
      </c>
      <c r="C4134" s="78"/>
      <c r="D4134" s="78"/>
      <c r="E4134" s="78" t="s">
        <v>5699</v>
      </c>
      <c r="F4134" s="78" t="s">
        <v>576</v>
      </c>
      <c r="G4134" s="78">
        <v>4326.6899999999996</v>
      </c>
      <c r="H4134" s="79">
        <v>6500</v>
      </c>
      <c r="I4134" s="136">
        <f t="shared" si="188"/>
        <v>28123484.999999996</v>
      </c>
      <c r="J4134" s="78"/>
      <c r="K4134" s="77" t="s">
        <v>5700</v>
      </c>
    </row>
    <row r="4135" spans="1:11" ht="54" customHeight="1" x14ac:dyDescent="0.25">
      <c r="A4135" s="76" t="s">
        <v>5611</v>
      </c>
      <c r="B4135" s="77" t="s">
        <v>5701</v>
      </c>
      <c r="C4135" s="78"/>
      <c r="D4135" s="78"/>
      <c r="E4135" s="78" t="s">
        <v>5685</v>
      </c>
      <c r="F4135" s="78" t="s">
        <v>576</v>
      </c>
      <c r="G4135" s="78">
        <v>55.1</v>
      </c>
      <c r="H4135" s="79">
        <v>58000</v>
      </c>
      <c r="I4135" s="136">
        <f t="shared" si="188"/>
        <v>3195800</v>
      </c>
      <c r="J4135" s="78"/>
      <c r="K4135" s="77" t="s">
        <v>5683</v>
      </c>
    </row>
    <row r="4136" spans="1:11" ht="132" customHeight="1" x14ac:dyDescent="0.25">
      <c r="A4136" s="76" t="s">
        <v>5618</v>
      </c>
      <c r="B4136" s="77" t="s">
        <v>5702</v>
      </c>
      <c r="C4136" s="78"/>
      <c r="D4136" s="78"/>
      <c r="E4136" s="78" t="s">
        <v>5363</v>
      </c>
      <c r="F4136" s="78" t="s">
        <v>315</v>
      </c>
      <c r="G4136" s="78">
        <v>344.7953</v>
      </c>
      <c r="H4136" s="79">
        <v>7000</v>
      </c>
      <c r="I4136" s="136">
        <f t="shared" si="188"/>
        <v>2413567.1</v>
      </c>
      <c r="J4136" s="78"/>
      <c r="K4136" s="77" t="s">
        <v>5703</v>
      </c>
    </row>
    <row r="4137" spans="1:11" ht="93" customHeight="1" x14ac:dyDescent="0.25">
      <c r="A4137" s="76" t="s">
        <v>5624</v>
      </c>
      <c r="B4137" s="77" t="s">
        <v>5704</v>
      </c>
      <c r="C4137" s="78"/>
      <c r="D4137" s="78"/>
      <c r="E4137" s="78" t="s">
        <v>5613</v>
      </c>
      <c r="F4137" s="78" t="s">
        <v>576</v>
      </c>
      <c r="G4137" s="78">
        <v>4693.2376999999997</v>
      </c>
      <c r="H4137" s="79">
        <v>110</v>
      </c>
      <c r="I4137" s="136">
        <f t="shared" si="188"/>
        <v>516256.14699999994</v>
      </c>
      <c r="J4137" s="78"/>
      <c r="K4137" s="77" t="s">
        <v>5705</v>
      </c>
    </row>
    <row r="4138" spans="1:11" ht="41.25" customHeight="1" x14ac:dyDescent="0.25">
      <c r="A4138" s="76" t="s">
        <v>29</v>
      </c>
      <c r="B4138" s="77" t="s">
        <v>5706</v>
      </c>
      <c r="C4138" s="78"/>
      <c r="D4138" s="78"/>
      <c r="E4138" s="78" t="s">
        <v>14</v>
      </c>
      <c r="F4138" s="78" t="s">
        <v>1878</v>
      </c>
      <c r="G4138" s="78">
        <v>13.6937</v>
      </c>
      <c r="H4138" s="79">
        <v>3500</v>
      </c>
      <c r="I4138" s="136">
        <f t="shared" si="188"/>
        <v>47927.95</v>
      </c>
      <c r="J4138" s="78"/>
      <c r="K4138" s="77" t="s">
        <v>5707</v>
      </c>
    </row>
    <row r="4139" spans="1:11" ht="93" customHeight="1" x14ac:dyDescent="0.25">
      <c r="A4139" s="76" t="s">
        <v>5708</v>
      </c>
      <c r="B4139" s="77" t="s">
        <v>5709</v>
      </c>
      <c r="C4139" s="78"/>
      <c r="D4139" s="78"/>
      <c r="E4139" s="78" t="s">
        <v>5363</v>
      </c>
      <c r="F4139" s="78" t="s">
        <v>315</v>
      </c>
      <c r="G4139" s="78">
        <v>47.286200000000001</v>
      </c>
      <c r="H4139" s="79">
        <v>7000</v>
      </c>
      <c r="I4139" s="136">
        <f t="shared" si="188"/>
        <v>331003.40000000002</v>
      </c>
      <c r="J4139" s="78"/>
      <c r="K4139" s="77" t="s">
        <v>5710</v>
      </c>
    </row>
    <row r="4140" spans="1:11" ht="54" customHeight="1" x14ac:dyDescent="0.25">
      <c r="A4140" s="76" t="s">
        <v>5711</v>
      </c>
      <c r="B4140" s="77" t="s">
        <v>5638</v>
      </c>
      <c r="C4140" s="78"/>
      <c r="D4140" s="78"/>
      <c r="E4140" s="78" t="s">
        <v>5626</v>
      </c>
      <c r="F4140" s="78" t="s">
        <v>576</v>
      </c>
      <c r="G4140" s="78">
        <v>1006.2192</v>
      </c>
      <c r="H4140" s="79">
        <v>500</v>
      </c>
      <c r="I4140" s="136">
        <f t="shared" si="188"/>
        <v>503109.6</v>
      </c>
      <c r="J4140" s="78"/>
      <c r="K4140" s="77" t="s">
        <v>5712</v>
      </c>
    </row>
    <row r="4141" spans="1:11" ht="67.5" customHeight="1" x14ac:dyDescent="0.25">
      <c r="A4141" s="76" t="s">
        <v>5713</v>
      </c>
      <c r="B4141" s="77" t="s">
        <v>5714</v>
      </c>
      <c r="C4141" s="78"/>
      <c r="D4141" s="78"/>
      <c r="E4141" s="78" t="s">
        <v>5626</v>
      </c>
      <c r="F4141" s="78" t="s">
        <v>158</v>
      </c>
      <c r="G4141" s="78">
        <v>8485.3086000000003</v>
      </c>
      <c r="H4141" s="79">
        <v>232.9</v>
      </c>
      <c r="I4141" s="136">
        <f t="shared" si="188"/>
        <v>1976228.3729400001</v>
      </c>
      <c r="J4141" s="78"/>
      <c r="K4141" s="77" t="s">
        <v>5715</v>
      </c>
    </row>
    <row r="4142" spans="1:11" ht="41.25" customHeight="1" x14ac:dyDescent="0.25">
      <c r="A4142" s="76" t="s">
        <v>5716</v>
      </c>
      <c r="B4142" s="77" t="s">
        <v>5717</v>
      </c>
      <c r="C4142" s="78"/>
      <c r="D4142" s="78"/>
      <c r="E4142" s="78" t="s">
        <v>5696</v>
      </c>
      <c r="F4142" s="78" t="s">
        <v>576</v>
      </c>
      <c r="G4142" s="78">
        <v>1681.2048</v>
      </c>
      <c r="H4142" s="79">
        <v>8000</v>
      </c>
      <c r="I4142" s="136">
        <f t="shared" si="188"/>
        <v>13449638.4</v>
      </c>
      <c r="J4142" s="78"/>
      <c r="K4142" s="77" t="s">
        <v>5718</v>
      </c>
    </row>
    <row r="4143" spans="1:11" ht="41.25" customHeight="1" x14ac:dyDescent="0.25">
      <c r="A4143" s="76" t="s">
        <v>5719</v>
      </c>
      <c r="B4143" s="77" t="s">
        <v>5720</v>
      </c>
      <c r="C4143" s="78"/>
      <c r="D4143" s="78"/>
      <c r="E4143" s="78" t="s">
        <v>5626</v>
      </c>
      <c r="F4143" s="78" t="s">
        <v>158</v>
      </c>
      <c r="G4143" s="78">
        <v>69.182199999999995</v>
      </c>
      <c r="H4143" s="79">
        <v>111</v>
      </c>
      <c r="I4143" s="136">
        <f t="shared" si="188"/>
        <v>7679.2241999999997</v>
      </c>
      <c r="J4143" s="78"/>
      <c r="K4143" s="77" t="s">
        <v>5721</v>
      </c>
    </row>
    <row r="4144" spans="1:11" ht="80.25" customHeight="1" x14ac:dyDescent="0.25">
      <c r="A4144" s="76" t="s">
        <v>5722</v>
      </c>
      <c r="B4144" s="77" t="s">
        <v>5723</v>
      </c>
      <c r="C4144" s="78"/>
      <c r="D4144" s="78"/>
      <c r="E4144" s="78" t="s">
        <v>5682</v>
      </c>
      <c r="F4144" s="78" t="s">
        <v>315</v>
      </c>
      <c r="G4144" s="78">
        <v>353.49849999999998</v>
      </c>
      <c r="H4144" s="79">
        <v>14000</v>
      </c>
      <c r="I4144" s="136">
        <f t="shared" si="188"/>
        <v>4948979</v>
      </c>
      <c r="J4144" s="78"/>
      <c r="K4144" s="77" t="s">
        <v>5724</v>
      </c>
    </row>
    <row r="4145" spans="1:11" ht="54" customHeight="1" x14ac:dyDescent="0.25">
      <c r="A4145" s="76" t="s">
        <v>5725</v>
      </c>
      <c r="B4145" s="77" t="s">
        <v>5726</v>
      </c>
      <c r="C4145" s="78"/>
      <c r="D4145" s="78"/>
      <c r="E4145" s="78" t="s">
        <v>5363</v>
      </c>
      <c r="F4145" s="78" t="s">
        <v>315</v>
      </c>
      <c r="G4145" s="78">
        <v>34.561900000000001</v>
      </c>
      <c r="H4145" s="79">
        <v>8500</v>
      </c>
      <c r="I4145" s="136">
        <f t="shared" si="188"/>
        <v>293776.15000000002</v>
      </c>
      <c r="J4145" s="78"/>
      <c r="K4145" s="77" t="s">
        <v>5727</v>
      </c>
    </row>
    <row r="4146" spans="1:11" ht="54" customHeight="1" x14ac:dyDescent="0.25">
      <c r="A4146" s="76" t="s">
        <v>5728</v>
      </c>
      <c r="B4146" s="77" t="s">
        <v>5729</v>
      </c>
      <c r="C4146" s="78"/>
      <c r="D4146" s="78"/>
      <c r="E4146" s="78" t="s">
        <v>5626</v>
      </c>
      <c r="F4146" s="78" t="s">
        <v>1878</v>
      </c>
      <c r="G4146" s="78">
        <v>24.0702</v>
      </c>
      <c r="H4146" s="79">
        <v>49000</v>
      </c>
      <c r="I4146" s="136">
        <f t="shared" si="188"/>
        <v>1179439.8</v>
      </c>
      <c r="J4146" s="78"/>
      <c r="K4146" s="77" t="s">
        <v>5730</v>
      </c>
    </row>
    <row r="4147" spans="1:11" ht="41.25" customHeight="1" x14ac:dyDescent="0.25">
      <c r="A4147" s="76" t="s">
        <v>5731</v>
      </c>
      <c r="B4147" s="77" t="s">
        <v>5732</v>
      </c>
      <c r="C4147" s="78"/>
      <c r="D4147" s="78"/>
      <c r="E4147" s="78" t="s">
        <v>5363</v>
      </c>
      <c r="F4147" s="78" t="s">
        <v>315</v>
      </c>
      <c r="G4147" s="78">
        <v>99.476500000000001</v>
      </c>
      <c r="H4147" s="79">
        <v>7000</v>
      </c>
      <c r="I4147" s="136">
        <f t="shared" si="188"/>
        <v>696335.5</v>
      </c>
      <c r="J4147" s="78"/>
      <c r="K4147" s="77" t="s">
        <v>5733</v>
      </c>
    </row>
    <row r="4148" spans="1:11" ht="67.5" customHeight="1" x14ac:dyDescent="0.25">
      <c r="A4148" s="76" t="s">
        <v>558</v>
      </c>
      <c r="B4148" s="77" t="s">
        <v>5734</v>
      </c>
      <c r="C4148" s="78"/>
      <c r="D4148" s="78"/>
      <c r="E4148" s="78" t="s">
        <v>5682</v>
      </c>
      <c r="F4148" s="78" t="s">
        <v>315</v>
      </c>
      <c r="G4148" s="78">
        <v>200.90360000000001</v>
      </c>
      <c r="H4148" s="79">
        <v>14000</v>
      </c>
      <c r="I4148" s="136">
        <f t="shared" si="188"/>
        <v>2812650.4000000004</v>
      </c>
      <c r="J4148" s="78"/>
      <c r="K4148" s="77" t="s">
        <v>5718</v>
      </c>
    </row>
    <row r="4149" spans="1:11" ht="41.25" customHeight="1" x14ac:dyDescent="0.25">
      <c r="A4149" s="76" t="s">
        <v>565</v>
      </c>
      <c r="B4149" s="77" t="s">
        <v>5735</v>
      </c>
      <c r="C4149" s="78"/>
      <c r="D4149" s="78"/>
      <c r="E4149" s="78" t="s">
        <v>5607</v>
      </c>
      <c r="F4149" s="78" t="s">
        <v>315</v>
      </c>
      <c r="G4149" s="78">
        <v>0.33700000000000002</v>
      </c>
      <c r="H4149" s="79">
        <v>25000</v>
      </c>
      <c r="I4149" s="136">
        <f t="shared" si="188"/>
        <v>8425</v>
      </c>
      <c r="J4149" s="78"/>
      <c r="K4149" s="77" t="s">
        <v>5718</v>
      </c>
    </row>
    <row r="4150" spans="1:11" ht="41.25" customHeight="1" x14ac:dyDescent="0.25">
      <c r="A4150" s="76" t="s">
        <v>803</v>
      </c>
      <c r="B4150" s="77" t="s">
        <v>5651</v>
      </c>
      <c r="C4150" s="78"/>
      <c r="D4150" s="78"/>
      <c r="E4150" s="78" t="s">
        <v>5613</v>
      </c>
      <c r="F4150" s="78" t="s">
        <v>1878</v>
      </c>
      <c r="G4150" s="78">
        <v>18.959099999999999</v>
      </c>
      <c r="H4150" s="79">
        <v>110000</v>
      </c>
      <c r="I4150" s="136">
        <f t="shared" si="188"/>
        <v>2085501</v>
      </c>
      <c r="J4150" s="78"/>
      <c r="K4150" s="77" t="s">
        <v>5718</v>
      </c>
    </row>
    <row r="4151" spans="1:11" ht="41.25" customHeight="1" x14ac:dyDescent="0.25">
      <c r="A4151" s="76" t="s">
        <v>5736</v>
      </c>
      <c r="B4151" s="77" t="s">
        <v>5737</v>
      </c>
      <c r="C4151" s="78"/>
      <c r="D4151" s="78"/>
      <c r="E4151" s="78" t="s">
        <v>5363</v>
      </c>
      <c r="F4151" s="78" t="s">
        <v>315</v>
      </c>
      <c r="G4151" s="78">
        <v>237.57329999999999</v>
      </c>
      <c r="H4151" s="79">
        <v>8500</v>
      </c>
      <c r="I4151" s="136">
        <f t="shared" si="188"/>
        <v>2019373.0499999998</v>
      </c>
      <c r="J4151" s="78"/>
      <c r="K4151" s="77" t="s">
        <v>5718</v>
      </c>
    </row>
    <row r="4152" spans="1:11" ht="54" customHeight="1" x14ac:dyDescent="0.25">
      <c r="A4152" s="76" t="s">
        <v>5738</v>
      </c>
      <c r="B4152" s="77" t="s">
        <v>5739</v>
      </c>
      <c r="C4152" s="78"/>
      <c r="D4152" s="78"/>
      <c r="E4152" s="78" t="s">
        <v>5363</v>
      </c>
      <c r="F4152" s="78" t="s">
        <v>1878</v>
      </c>
      <c r="G4152" s="78">
        <v>70.477699999999999</v>
      </c>
      <c r="H4152" s="79">
        <v>5000</v>
      </c>
      <c r="I4152" s="136">
        <f t="shared" si="188"/>
        <v>352388.5</v>
      </c>
      <c r="J4152" s="78"/>
      <c r="K4152" s="77" t="s">
        <v>5740</v>
      </c>
    </row>
    <row r="4153" spans="1:11" ht="54" customHeight="1" x14ac:dyDescent="0.25">
      <c r="A4153" s="76" t="s">
        <v>5741</v>
      </c>
      <c r="B4153" s="77" t="s">
        <v>5742</v>
      </c>
      <c r="C4153" s="78"/>
      <c r="D4153" s="78"/>
      <c r="E4153" s="78" t="s">
        <v>5626</v>
      </c>
      <c r="F4153" s="78" t="s">
        <v>576</v>
      </c>
      <c r="G4153" s="78">
        <v>145.7988</v>
      </c>
      <c r="H4153" s="79">
        <v>2500</v>
      </c>
      <c r="I4153" s="136">
        <f t="shared" si="188"/>
        <v>364497</v>
      </c>
      <c r="J4153" s="78"/>
      <c r="K4153" s="77" t="s">
        <v>5718</v>
      </c>
    </row>
    <row r="4154" spans="1:11" ht="54" customHeight="1" x14ac:dyDescent="0.25">
      <c r="A4154" s="76" t="s">
        <v>5743</v>
      </c>
      <c r="B4154" s="77" t="s">
        <v>5744</v>
      </c>
      <c r="C4154" s="78"/>
      <c r="D4154" s="78"/>
      <c r="E4154" s="78" t="s">
        <v>5626</v>
      </c>
      <c r="F4154" s="78" t="s">
        <v>1878</v>
      </c>
      <c r="G4154" s="78">
        <v>0.20200000000000001</v>
      </c>
      <c r="H4154" s="79">
        <v>111000</v>
      </c>
      <c r="I4154" s="136">
        <f t="shared" si="188"/>
        <v>22422</v>
      </c>
      <c r="J4154" s="78"/>
      <c r="K4154" s="77" t="s">
        <v>5745</v>
      </c>
    </row>
    <row r="4155" spans="1:11" ht="41.25" customHeight="1" x14ac:dyDescent="0.25">
      <c r="A4155" s="76" t="s">
        <v>5746</v>
      </c>
      <c r="B4155" s="77" t="s">
        <v>5747</v>
      </c>
      <c r="C4155" s="78"/>
      <c r="D4155" s="78"/>
      <c r="E4155" s="78" t="s">
        <v>5607</v>
      </c>
      <c r="F4155" s="78" t="s">
        <v>576</v>
      </c>
      <c r="G4155" s="78">
        <v>665.79899999999998</v>
      </c>
      <c r="H4155" s="79">
        <v>25000</v>
      </c>
      <c r="I4155" s="136">
        <f t="shared" si="188"/>
        <v>16644975</v>
      </c>
      <c r="J4155" s="78"/>
      <c r="K4155" s="77" t="s">
        <v>5718</v>
      </c>
    </row>
    <row r="4156" spans="1:11" ht="41.25" customHeight="1" x14ac:dyDescent="0.25">
      <c r="A4156" s="76" t="s">
        <v>499</v>
      </c>
      <c r="B4156" s="77" t="s">
        <v>5748</v>
      </c>
      <c r="C4156" s="78"/>
      <c r="D4156" s="78"/>
      <c r="E4156" s="78" t="s">
        <v>5363</v>
      </c>
      <c r="F4156" s="78" t="s">
        <v>315</v>
      </c>
      <c r="G4156" s="78">
        <v>7.7706</v>
      </c>
      <c r="H4156" s="79">
        <v>7000</v>
      </c>
      <c r="I4156" s="136">
        <f t="shared" si="188"/>
        <v>54394.2</v>
      </c>
      <c r="J4156" s="78"/>
      <c r="K4156" s="77" t="s">
        <v>5749</v>
      </c>
    </row>
    <row r="4157" spans="1:11" ht="41.25" customHeight="1" x14ac:dyDescent="0.25">
      <c r="A4157" s="76" t="s">
        <v>535</v>
      </c>
      <c r="B4157" s="77" t="s">
        <v>5750</v>
      </c>
      <c r="C4157" s="78"/>
      <c r="D4157" s="78"/>
      <c r="E4157" s="78"/>
      <c r="F4157" s="78" t="s">
        <v>89</v>
      </c>
      <c r="G4157" s="78">
        <v>48.995100000000001</v>
      </c>
      <c r="H4157" s="79">
        <v>400</v>
      </c>
      <c r="I4157" s="136">
        <f t="shared" si="188"/>
        <v>19598.04</v>
      </c>
      <c r="J4157" s="78"/>
      <c r="K4157" s="77" t="s">
        <v>5751</v>
      </c>
    </row>
    <row r="4158" spans="1:11" ht="41.25" customHeight="1" x14ac:dyDescent="0.25">
      <c r="A4158" s="76" t="s">
        <v>5752</v>
      </c>
      <c r="B4158" s="77" t="s">
        <v>5753</v>
      </c>
      <c r="C4158" s="78"/>
      <c r="D4158" s="78"/>
      <c r="E4158" s="78" t="s">
        <v>5679</v>
      </c>
      <c r="F4158" s="78" t="s">
        <v>89</v>
      </c>
      <c r="G4158" s="78">
        <v>1142.9564</v>
      </c>
      <c r="H4158" s="79">
        <v>2000</v>
      </c>
      <c r="I4158" s="136">
        <f t="shared" ref="I4158:I4189" si="189">H4158*G4158</f>
        <v>2285912.8000000003</v>
      </c>
      <c r="J4158" s="78"/>
      <c r="K4158" s="77" t="s">
        <v>5751</v>
      </c>
    </row>
    <row r="4159" spans="1:11" ht="41.25" customHeight="1" x14ac:dyDescent="0.25">
      <c r="A4159" s="76" t="s">
        <v>5754</v>
      </c>
      <c r="B4159" s="77" t="s">
        <v>5755</v>
      </c>
      <c r="C4159" s="78"/>
      <c r="D4159" s="78"/>
      <c r="E4159" s="78"/>
      <c r="F4159" s="78" t="s">
        <v>89</v>
      </c>
      <c r="G4159" s="78">
        <v>121.06870000000001</v>
      </c>
      <c r="H4159" s="79">
        <v>800</v>
      </c>
      <c r="I4159" s="136">
        <f t="shared" si="189"/>
        <v>96854.96</v>
      </c>
      <c r="J4159" s="78"/>
      <c r="K4159" s="77" t="s">
        <v>5751</v>
      </c>
    </row>
    <row r="4160" spans="1:11" ht="54" customHeight="1" x14ac:dyDescent="0.25">
      <c r="A4160" s="76" t="s">
        <v>5756</v>
      </c>
      <c r="B4160" s="77" t="s">
        <v>5757</v>
      </c>
      <c r="C4160" s="78"/>
      <c r="D4160" s="78"/>
      <c r="E4160" s="78" t="s">
        <v>5682</v>
      </c>
      <c r="F4160" s="78" t="s">
        <v>315</v>
      </c>
      <c r="G4160" s="78">
        <v>1.8329</v>
      </c>
      <c r="H4160" s="79">
        <v>14000</v>
      </c>
      <c r="I4160" s="136">
        <f t="shared" si="189"/>
        <v>25660.6</v>
      </c>
      <c r="J4160" s="78"/>
      <c r="K4160" s="77" t="s">
        <v>5751</v>
      </c>
    </row>
    <row r="4161" spans="1:11" ht="41.25" customHeight="1" x14ac:dyDescent="0.25">
      <c r="A4161" s="76" t="s">
        <v>5758</v>
      </c>
      <c r="B4161" s="77" t="s">
        <v>5759</v>
      </c>
      <c r="C4161" s="78"/>
      <c r="D4161" s="78"/>
      <c r="E4161" s="78" t="s">
        <v>5648</v>
      </c>
      <c r="F4161" s="78" t="s">
        <v>576</v>
      </c>
      <c r="G4161" s="78">
        <v>6443</v>
      </c>
      <c r="H4161" s="79">
        <v>1300</v>
      </c>
      <c r="I4161" s="136">
        <f t="shared" si="189"/>
        <v>8375900</v>
      </c>
      <c r="J4161" s="78"/>
      <c r="K4161" s="77" t="s">
        <v>5760</v>
      </c>
    </row>
    <row r="4162" spans="1:11" ht="41.25" customHeight="1" x14ac:dyDescent="0.25">
      <c r="A4162" s="76" t="s">
        <v>5761</v>
      </c>
      <c r="B4162" s="77" t="s">
        <v>5762</v>
      </c>
      <c r="C4162" s="78"/>
      <c r="D4162" s="78"/>
      <c r="E4162" s="78"/>
      <c r="F4162" s="78" t="s">
        <v>576</v>
      </c>
      <c r="G4162" s="78">
        <v>4906.1719999999996</v>
      </c>
      <c r="H4162" s="79">
        <v>50</v>
      </c>
      <c r="I4162" s="136">
        <f t="shared" si="189"/>
        <v>245308.59999999998</v>
      </c>
      <c r="J4162" s="78"/>
      <c r="K4162" s="77" t="s">
        <v>5763</v>
      </c>
    </row>
    <row r="4163" spans="1:11" ht="54" customHeight="1" x14ac:dyDescent="0.25">
      <c r="A4163" s="76" t="s">
        <v>5764</v>
      </c>
      <c r="B4163" s="77" t="s">
        <v>5765</v>
      </c>
      <c r="C4163" s="78"/>
      <c r="D4163" s="78"/>
      <c r="E4163" s="78" t="s">
        <v>5766</v>
      </c>
      <c r="F4163" s="78" t="s">
        <v>315</v>
      </c>
      <c r="G4163" s="78">
        <v>989.15589999999997</v>
      </c>
      <c r="H4163" s="79">
        <v>12000</v>
      </c>
      <c r="I4163" s="136">
        <f t="shared" si="189"/>
        <v>11869870.799999999</v>
      </c>
      <c r="J4163" s="78"/>
      <c r="K4163" s="77" t="s">
        <v>5767</v>
      </c>
    </row>
    <row r="4164" spans="1:11" ht="41.25" customHeight="1" x14ac:dyDescent="0.25">
      <c r="A4164" s="76" t="s">
        <v>5768</v>
      </c>
      <c r="B4164" s="77" t="s">
        <v>5769</v>
      </c>
      <c r="C4164" s="78"/>
      <c r="D4164" s="78"/>
      <c r="E4164" s="78"/>
      <c r="F4164" s="78" t="s">
        <v>576</v>
      </c>
      <c r="G4164" s="78">
        <v>4642</v>
      </c>
      <c r="H4164" s="79">
        <v>11</v>
      </c>
      <c r="I4164" s="136">
        <f t="shared" si="189"/>
        <v>51062</v>
      </c>
      <c r="J4164" s="78"/>
      <c r="K4164" s="77" t="s">
        <v>5763</v>
      </c>
    </row>
    <row r="4165" spans="1:11" ht="41.25" customHeight="1" x14ac:dyDescent="0.25">
      <c r="A4165" s="76" t="s">
        <v>5770</v>
      </c>
      <c r="B4165" s="77" t="s">
        <v>5771</v>
      </c>
      <c r="C4165" s="78"/>
      <c r="D4165" s="78"/>
      <c r="E4165" s="78" t="s">
        <v>5626</v>
      </c>
      <c r="F4165" s="78" t="s">
        <v>576</v>
      </c>
      <c r="G4165" s="78">
        <v>4878.32</v>
      </c>
      <c r="H4165" s="79">
        <v>2000</v>
      </c>
      <c r="I4165" s="136">
        <f t="shared" si="189"/>
        <v>9756640</v>
      </c>
      <c r="J4165" s="78"/>
      <c r="K4165" s="77" t="s">
        <v>5763</v>
      </c>
    </row>
    <row r="4166" spans="1:11" ht="41.25" customHeight="1" x14ac:dyDescent="0.25">
      <c r="A4166" s="76" t="s">
        <v>5772</v>
      </c>
      <c r="B4166" s="77" t="s">
        <v>5773</v>
      </c>
      <c r="C4166" s="78"/>
      <c r="D4166" s="78"/>
      <c r="E4166" s="78"/>
      <c r="F4166" s="78" t="s">
        <v>576</v>
      </c>
      <c r="G4166" s="78">
        <v>1717</v>
      </c>
      <c r="H4166" s="79">
        <v>60</v>
      </c>
      <c r="I4166" s="136">
        <f t="shared" si="189"/>
        <v>103020</v>
      </c>
      <c r="J4166" s="78"/>
      <c r="K4166" s="77" t="s">
        <v>5763</v>
      </c>
    </row>
    <row r="4167" spans="1:11" ht="41.25" customHeight="1" x14ac:dyDescent="0.25">
      <c r="A4167" s="76" t="s">
        <v>5774</v>
      </c>
      <c r="B4167" s="77" t="s">
        <v>5775</v>
      </c>
      <c r="C4167" s="78"/>
      <c r="D4167" s="78"/>
      <c r="E4167" s="78"/>
      <c r="F4167" s="78" t="s">
        <v>576</v>
      </c>
      <c r="G4167" s="78">
        <v>1717</v>
      </c>
      <c r="H4167" s="79">
        <v>50</v>
      </c>
      <c r="I4167" s="136">
        <f t="shared" si="189"/>
        <v>85850</v>
      </c>
      <c r="J4167" s="78"/>
      <c r="K4167" s="77" t="s">
        <v>5763</v>
      </c>
    </row>
    <row r="4168" spans="1:11" ht="41.25" customHeight="1" x14ac:dyDescent="0.25">
      <c r="A4168" s="76" t="s">
        <v>5776</v>
      </c>
      <c r="B4168" s="77" t="s">
        <v>5777</v>
      </c>
      <c r="C4168" s="78"/>
      <c r="D4168" s="78"/>
      <c r="E4168" s="78"/>
      <c r="F4168" s="78" t="s">
        <v>315</v>
      </c>
      <c r="G4168" s="78">
        <v>172.01</v>
      </c>
      <c r="H4168" s="79"/>
      <c r="I4168" s="136">
        <f t="shared" si="189"/>
        <v>0</v>
      </c>
      <c r="J4168" s="78"/>
      <c r="K4168" s="77" t="s">
        <v>5763</v>
      </c>
    </row>
    <row r="4169" spans="1:11" ht="54" customHeight="1" x14ac:dyDescent="0.25">
      <c r="A4169" s="76" t="s">
        <v>5778</v>
      </c>
      <c r="B4169" s="77" t="s">
        <v>5779</v>
      </c>
      <c r="C4169" s="78"/>
      <c r="D4169" s="78"/>
      <c r="E4169" s="78"/>
      <c r="F4169" s="78" t="s">
        <v>576</v>
      </c>
      <c r="G4169" s="78">
        <v>1601.8982000000001</v>
      </c>
      <c r="H4169" s="79">
        <v>99</v>
      </c>
      <c r="I4169" s="136">
        <f t="shared" si="189"/>
        <v>158587.92180000001</v>
      </c>
      <c r="J4169" s="78"/>
      <c r="K4169" s="77" t="s">
        <v>5763</v>
      </c>
    </row>
    <row r="4170" spans="1:11" ht="67.5" customHeight="1" x14ac:dyDescent="0.25">
      <c r="A4170" s="76" t="s">
        <v>5780</v>
      </c>
      <c r="B4170" s="77" t="s">
        <v>5781</v>
      </c>
      <c r="C4170" s="78"/>
      <c r="D4170" s="78"/>
      <c r="E4170" s="78" t="s">
        <v>5626</v>
      </c>
      <c r="F4170" s="78" t="s">
        <v>158</v>
      </c>
      <c r="G4170" s="78">
        <v>405.86</v>
      </c>
      <c r="H4170" s="79">
        <v>232.9</v>
      </c>
      <c r="I4170" s="136">
        <f t="shared" si="189"/>
        <v>94524.794000000009</v>
      </c>
      <c r="J4170" s="78"/>
      <c r="K4170" s="77" t="s">
        <v>5763</v>
      </c>
    </row>
    <row r="4171" spans="1:11" ht="28.5" customHeight="1" x14ac:dyDescent="0.25">
      <c r="A4171" s="76" t="s">
        <v>5782</v>
      </c>
      <c r="B4171" s="77" t="s">
        <v>5783</v>
      </c>
      <c r="C4171" s="78"/>
      <c r="D4171" s="78"/>
      <c r="E4171" s="78" t="s">
        <v>14</v>
      </c>
      <c r="F4171" s="78" t="s">
        <v>315</v>
      </c>
      <c r="G4171" s="78">
        <v>78.104900000000001</v>
      </c>
      <c r="H4171" s="79"/>
      <c r="I4171" s="136">
        <f t="shared" si="189"/>
        <v>0</v>
      </c>
      <c r="J4171" s="78"/>
      <c r="K4171" s="77" t="s">
        <v>5784</v>
      </c>
    </row>
    <row r="4172" spans="1:11" ht="41.25" customHeight="1" x14ac:dyDescent="0.25">
      <c r="A4172" s="76" t="s">
        <v>5785</v>
      </c>
      <c r="B4172" s="77" t="s">
        <v>5786</v>
      </c>
      <c r="C4172" s="78"/>
      <c r="D4172" s="78"/>
      <c r="E4172" s="78" t="s">
        <v>5787</v>
      </c>
      <c r="F4172" s="78" t="s">
        <v>315</v>
      </c>
      <c r="G4172" s="78">
        <v>23.337599999999998</v>
      </c>
      <c r="H4172" s="79"/>
      <c r="I4172" s="136">
        <f t="shared" si="189"/>
        <v>0</v>
      </c>
      <c r="J4172" s="78"/>
      <c r="K4172" s="77" t="s">
        <v>5763</v>
      </c>
    </row>
    <row r="4173" spans="1:11" ht="80.25" customHeight="1" x14ac:dyDescent="0.25">
      <c r="A4173" s="76" t="s">
        <v>5788</v>
      </c>
      <c r="B4173" s="77" t="s">
        <v>5789</v>
      </c>
      <c r="C4173" s="78"/>
      <c r="D4173" s="78"/>
      <c r="E4173" s="78" t="s">
        <v>5626</v>
      </c>
      <c r="F4173" s="78" t="s">
        <v>576</v>
      </c>
      <c r="G4173" s="78">
        <v>353</v>
      </c>
      <c r="H4173" s="79">
        <v>1165</v>
      </c>
      <c r="I4173" s="136">
        <f t="shared" si="189"/>
        <v>411245</v>
      </c>
      <c r="J4173" s="78"/>
      <c r="K4173" s="77" t="s">
        <v>5763</v>
      </c>
    </row>
    <row r="4174" spans="1:11" ht="41.25" customHeight="1" x14ac:dyDescent="0.25">
      <c r="A4174" s="76" t="s">
        <v>5790</v>
      </c>
      <c r="B4174" s="77" t="s">
        <v>5791</v>
      </c>
      <c r="C4174" s="78"/>
      <c r="D4174" s="78"/>
      <c r="E4174" s="78" t="s">
        <v>5792</v>
      </c>
      <c r="F4174" s="78" t="s">
        <v>576</v>
      </c>
      <c r="G4174" s="78">
        <v>802</v>
      </c>
      <c r="H4174" s="79">
        <v>65</v>
      </c>
      <c r="I4174" s="136">
        <f t="shared" si="189"/>
        <v>52130</v>
      </c>
      <c r="J4174" s="78"/>
      <c r="K4174" s="77" t="s">
        <v>5763</v>
      </c>
    </row>
    <row r="4175" spans="1:11" ht="41.25" customHeight="1" x14ac:dyDescent="0.25">
      <c r="A4175" s="76" t="s">
        <v>5793</v>
      </c>
      <c r="B4175" s="77" t="s">
        <v>5794</v>
      </c>
      <c r="C4175" s="78"/>
      <c r="D4175" s="78"/>
      <c r="E4175" s="78" t="s">
        <v>5672</v>
      </c>
      <c r="F4175" s="78" t="s">
        <v>1878</v>
      </c>
      <c r="G4175" s="78">
        <v>3.2</v>
      </c>
      <c r="H4175" s="79"/>
      <c r="I4175" s="136">
        <f t="shared" si="189"/>
        <v>0</v>
      </c>
      <c r="J4175" s="78"/>
      <c r="K4175" s="77" t="s">
        <v>5763</v>
      </c>
    </row>
    <row r="4176" spans="1:11" ht="41.25" customHeight="1" x14ac:dyDescent="0.25">
      <c r="A4176" s="76" t="s">
        <v>5795</v>
      </c>
      <c r="B4176" s="77" t="s">
        <v>5796</v>
      </c>
      <c r="C4176" s="78"/>
      <c r="D4176" s="78"/>
      <c r="E4176" s="78" t="s">
        <v>5672</v>
      </c>
      <c r="F4176" s="78" t="s">
        <v>78</v>
      </c>
      <c r="G4176" s="78">
        <v>49</v>
      </c>
      <c r="H4176" s="79"/>
      <c r="I4176" s="136">
        <f t="shared" si="189"/>
        <v>0</v>
      </c>
      <c r="J4176" s="78"/>
      <c r="K4176" s="77" t="s">
        <v>5763</v>
      </c>
    </row>
    <row r="4177" spans="1:11" ht="41.25" customHeight="1" x14ac:dyDescent="0.25">
      <c r="A4177" s="76" t="s">
        <v>5797</v>
      </c>
      <c r="B4177" s="77" t="s">
        <v>5798</v>
      </c>
      <c r="C4177" s="78"/>
      <c r="D4177" s="78"/>
      <c r="E4177" s="78" t="s">
        <v>5799</v>
      </c>
      <c r="F4177" s="78" t="s">
        <v>47</v>
      </c>
      <c r="G4177" s="78">
        <v>2</v>
      </c>
      <c r="H4177" s="79"/>
      <c r="I4177" s="136">
        <f t="shared" si="189"/>
        <v>0</v>
      </c>
      <c r="J4177" s="78"/>
      <c r="K4177" s="77" t="s">
        <v>5763</v>
      </c>
    </row>
    <row r="4178" spans="1:11" ht="54" customHeight="1" x14ac:dyDescent="0.25">
      <c r="A4178" s="76" t="s">
        <v>5800</v>
      </c>
      <c r="B4178" s="77" t="s">
        <v>5801</v>
      </c>
      <c r="C4178" s="78"/>
      <c r="D4178" s="78"/>
      <c r="E4178" s="78" t="s">
        <v>5802</v>
      </c>
      <c r="F4178" s="78" t="s">
        <v>576</v>
      </c>
      <c r="G4178" s="78">
        <v>115.038</v>
      </c>
      <c r="H4178" s="79">
        <v>15000</v>
      </c>
      <c r="I4178" s="136">
        <f t="shared" si="189"/>
        <v>1725570</v>
      </c>
      <c r="J4178" s="78"/>
      <c r="K4178" s="77" t="s">
        <v>5803</v>
      </c>
    </row>
    <row r="4179" spans="1:11" ht="41.25" customHeight="1" x14ac:dyDescent="0.25">
      <c r="A4179" s="76" t="s">
        <v>5804</v>
      </c>
      <c r="B4179" s="77" t="s">
        <v>5805</v>
      </c>
      <c r="C4179" s="78"/>
      <c r="D4179" s="78"/>
      <c r="E4179" s="78" t="s">
        <v>5802</v>
      </c>
      <c r="F4179" s="78" t="s">
        <v>576</v>
      </c>
      <c r="G4179" s="78">
        <v>120.372</v>
      </c>
      <c r="H4179" s="79">
        <v>15000</v>
      </c>
      <c r="I4179" s="136">
        <f t="shared" si="189"/>
        <v>1805580</v>
      </c>
      <c r="J4179" s="78"/>
      <c r="K4179" s="77" t="s">
        <v>5806</v>
      </c>
    </row>
    <row r="4180" spans="1:11" ht="41.25" customHeight="1" x14ac:dyDescent="0.25">
      <c r="A4180" s="76" t="s">
        <v>5807</v>
      </c>
      <c r="B4180" s="77" t="s">
        <v>5808</v>
      </c>
      <c r="C4180" s="78"/>
      <c r="D4180" s="78"/>
      <c r="E4180" s="78" t="s">
        <v>5802</v>
      </c>
      <c r="F4180" s="78" t="s">
        <v>576</v>
      </c>
      <c r="G4180" s="78">
        <v>25.2</v>
      </c>
      <c r="H4180" s="79">
        <v>15000</v>
      </c>
      <c r="I4180" s="136">
        <f t="shared" si="189"/>
        <v>378000</v>
      </c>
      <c r="J4180" s="78"/>
      <c r="K4180" s="77" t="s">
        <v>5809</v>
      </c>
    </row>
    <row r="4181" spans="1:11" ht="41.25" customHeight="1" x14ac:dyDescent="0.25">
      <c r="A4181" s="76" t="s">
        <v>5810</v>
      </c>
      <c r="B4181" s="77" t="s">
        <v>5811</v>
      </c>
      <c r="C4181" s="78"/>
      <c r="D4181" s="78"/>
      <c r="E4181" s="78" t="s">
        <v>5802</v>
      </c>
      <c r="F4181" s="78" t="s">
        <v>576</v>
      </c>
      <c r="G4181" s="78">
        <v>40.698</v>
      </c>
      <c r="H4181" s="79">
        <v>25000</v>
      </c>
      <c r="I4181" s="136">
        <f t="shared" si="189"/>
        <v>1017450</v>
      </c>
      <c r="J4181" s="78"/>
      <c r="K4181" s="77" t="s">
        <v>5812</v>
      </c>
    </row>
    <row r="4182" spans="1:11" ht="41.25" customHeight="1" x14ac:dyDescent="0.25">
      <c r="A4182" s="76" t="s">
        <v>5813</v>
      </c>
      <c r="B4182" s="77" t="s">
        <v>5814</v>
      </c>
      <c r="C4182" s="78"/>
      <c r="D4182" s="78"/>
      <c r="E4182" s="78" t="s">
        <v>5802</v>
      </c>
      <c r="F4182" s="78" t="s">
        <v>576</v>
      </c>
      <c r="G4182" s="78">
        <v>22.751999999999999</v>
      </c>
      <c r="H4182" s="79">
        <v>25000</v>
      </c>
      <c r="I4182" s="136">
        <f t="shared" si="189"/>
        <v>568800</v>
      </c>
      <c r="J4182" s="78"/>
      <c r="K4182" s="77" t="s">
        <v>5809</v>
      </c>
    </row>
    <row r="4183" spans="1:11" ht="54" customHeight="1" x14ac:dyDescent="0.25">
      <c r="A4183" s="76" t="s">
        <v>5815</v>
      </c>
      <c r="B4183" s="77" t="s">
        <v>5816</v>
      </c>
      <c r="C4183" s="78"/>
      <c r="D4183" s="78"/>
      <c r="E4183" s="78" t="s">
        <v>5802</v>
      </c>
      <c r="F4183" s="78" t="s">
        <v>78</v>
      </c>
      <c r="G4183" s="78">
        <v>2</v>
      </c>
      <c r="H4183" s="79">
        <v>25000</v>
      </c>
      <c r="I4183" s="136">
        <f t="shared" si="189"/>
        <v>50000</v>
      </c>
      <c r="J4183" s="78"/>
      <c r="K4183" s="77" t="s">
        <v>5809</v>
      </c>
    </row>
    <row r="4184" spans="1:11" ht="54" customHeight="1" x14ac:dyDescent="0.25">
      <c r="A4184" s="76" t="s">
        <v>5817</v>
      </c>
      <c r="B4184" s="77" t="s">
        <v>5818</v>
      </c>
      <c r="C4184" s="78"/>
      <c r="D4184" s="78"/>
      <c r="E4184" s="78" t="s">
        <v>5802</v>
      </c>
      <c r="F4184" s="78" t="s">
        <v>78</v>
      </c>
      <c r="G4184" s="78">
        <v>40</v>
      </c>
      <c r="H4184" s="79">
        <v>25000</v>
      </c>
      <c r="I4184" s="136">
        <f t="shared" si="189"/>
        <v>1000000</v>
      </c>
      <c r="J4184" s="78"/>
      <c r="K4184" s="77" t="s">
        <v>5819</v>
      </c>
    </row>
    <row r="4185" spans="1:11" ht="54" customHeight="1" x14ac:dyDescent="0.25">
      <c r="A4185" s="76" t="s">
        <v>5820</v>
      </c>
      <c r="B4185" s="77" t="s">
        <v>5821</v>
      </c>
      <c r="C4185" s="78"/>
      <c r="D4185" s="78"/>
      <c r="E4185" s="78" t="s">
        <v>5802</v>
      </c>
      <c r="F4185" s="78" t="s">
        <v>78</v>
      </c>
      <c r="G4185" s="78">
        <v>12</v>
      </c>
      <c r="H4185" s="79">
        <v>25000</v>
      </c>
      <c r="I4185" s="136">
        <f t="shared" si="189"/>
        <v>300000</v>
      </c>
      <c r="J4185" s="78"/>
      <c r="K4185" s="77" t="s">
        <v>5822</v>
      </c>
    </row>
    <row r="4186" spans="1:11" ht="54" customHeight="1" x14ac:dyDescent="0.25">
      <c r="A4186" s="76" t="s">
        <v>5823</v>
      </c>
      <c r="B4186" s="77" t="s">
        <v>5824</v>
      </c>
      <c r="C4186" s="78"/>
      <c r="D4186" s="78"/>
      <c r="E4186" s="78" t="s">
        <v>5802</v>
      </c>
      <c r="F4186" s="78" t="s">
        <v>78</v>
      </c>
      <c r="G4186" s="78">
        <v>3</v>
      </c>
      <c r="H4186" s="79">
        <v>25000</v>
      </c>
      <c r="I4186" s="136">
        <f t="shared" si="189"/>
        <v>75000</v>
      </c>
      <c r="J4186" s="78"/>
      <c r="K4186" s="77" t="s">
        <v>5809</v>
      </c>
    </row>
    <row r="4187" spans="1:11" ht="54" customHeight="1" x14ac:dyDescent="0.25">
      <c r="A4187" s="76" t="s">
        <v>5825</v>
      </c>
      <c r="B4187" s="77" t="s">
        <v>5826</v>
      </c>
      <c r="C4187" s="78"/>
      <c r="D4187" s="78"/>
      <c r="E4187" s="78" t="s">
        <v>5802</v>
      </c>
      <c r="F4187" s="78" t="s">
        <v>78</v>
      </c>
      <c r="G4187" s="78">
        <v>14</v>
      </c>
      <c r="H4187" s="79">
        <v>25000</v>
      </c>
      <c r="I4187" s="136">
        <f t="shared" si="189"/>
        <v>350000</v>
      </c>
      <c r="J4187" s="78"/>
      <c r="K4187" s="77" t="s">
        <v>5827</v>
      </c>
    </row>
    <row r="4188" spans="1:11" ht="54" customHeight="1" x14ac:dyDescent="0.25">
      <c r="A4188" s="76" t="s">
        <v>5828</v>
      </c>
      <c r="B4188" s="77" t="s">
        <v>5829</v>
      </c>
      <c r="C4188" s="78"/>
      <c r="D4188" s="78"/>
      <c r="E4188" s="78" t="s">
        <v>5802</v>
      </c>
      <c r="F4188" s="78" t="s">
        <v>78</v>
      </c>
      <c r="G4188" s="78">
        <v>5</v>
      </c>
      <c r="H4188" s="79">
        <v>25000</v>
      </c>
      <c r="I4188" s="136">
        <f t="shared" si="189"/>
        <v>125000</v>
      </c>
      <c r="J4188" s="78"/>
      <c r="K4188" s="77" t="s">
        <v>5809</v>
      </c>
    </row>
    <row r="4189" spans="1:11" ht="54" customHeight="1" x14ac:dyDescent="0.25">
      <c r="A4189" s="76" t="s">
        <v>5830</v>
      </c>
      <c r="B4189" s="77" t="s">
        <v>5831</v>
      </c>
      <c r="C4189" s="78"/>
      <c r="D4189" s="78"/>
      <c r="E4189" s="78" t="s">
        <v>5802</v>
      </c>
      <c r="F4189" s="78" t="s">
        <v>78</v>
      </c>
      <c r="G4189" s="78">
        <v>1</v>
      </c>
      <c r="H4189" s="79">
        <v>25000</v>
      </c>
      <c r="I4189" s="136">
        <f t="shared" si="189"/>
        <v>25000</v>
      </c>
      <c r="J4189" s="78"/>
      <c r="K4189" s="77" t="s">
        <v>5809</v>
      </c>
    </row>
    <row r="4190" spans="1:11" ht="67.5" customHeight="1" x14ac:dyDescent="0.25">
      <c r="A4190" s="76" t="s">
        <v>5832</v>
      </c>
      <c r="B4190" s="77" t="s">
        <v>5833</v>
      </c>
      <c r="C4190" s="78"/>
      <c r="D4190" s="78"/>
      <c r="E4190" s="78" t="s">
        <v>5802</v>
      </c>
      <c r="F4190" s="78" t="s">
        <v>78</v>
      </c>
      <c r="G4190" s="78">
        <v>8</v>
      </c>
      <c r="H4190" s="79">
        <v>25000</v>
      </c>
      <c r="I4190" s="136">
        <f t="shared" ref="I4190:I4221" si="190">H4190*G4190</f>
        <v>200000</v>
      </c>
      <c r="J4190" s="78"/>
      <c r="K4190" s="77" t="s">
        <v>5809</v>
      </c>
    </row>
    <row r="4191" spans="1:11" ht="41.25" customHeight="1" x14ac:dyDescent="0.25">
      <c r="A4191" s="76" t="s">
        <v>5834</v>
      </c>
      <c r="B4191" s="77" t="s">
        <v>5835</v>
      </c>
      <c r="C4191" s="78"/>
      <c r="D4191" s="78"/>
      <c r="E4191" s="78" t="s">
        <v>5802</v>
      </c>
      <c r="F4191" s="78" t="s">
        <v>78</v>
      </c>
      <c r="G4191" s="78">
        <v>112</v>
      </c>
      <c r="H4191" s="79">
        <v>2500</v>
      </c>
      <c r="I4191" s="136">
        <f t="shared" si="190"/>
        <v>280000</v>
      </c>
      <c r="J4191" s="78"/>
      <c r="K4191" s="77" t="s">
        <v>5809</v>
      </c>
    </row>
    <row r="4192" spans="1:11" ht="41.25" customHeight="1" x14ac:dyDescent="0.25">
      <c r="A4192" s="76" t="s">
        <v>5836</v>
      </c>
      <c r="B4192" s="77" t="s">
        <v>5837</v>
      </c>
      <c r="C4192" s="78"/>
      <c r="D4192" s="78"/>
      <c r="E4192" s="78" t="s">
        <v>5802</v>
      </c>
      <c r="F4192" s="78" t="s">
        <v>576</v>
      </c>
      <c r="G4192" s="78">
        <v>10.08</v>
      </c>
      <c r="H4192" s="79">
        <v>15000</v>
      </c>
      <c r="I4192" s="136">
        <f t="shared" si="190"/>
        <v>151200</v>
      </c>
      <c r="J4192" s="78"/>
      <c r="K4192" s="77" t="s">
        <v>5809</v>
      </c>
    </row>
    <row r="4193" spans="1:11" ht="67.5" customHeight="1" x14ac:dyDescent="0.25">
      <c r="A4193" s="76" t="s">
        <v>5838</v>
      </c>
      <c r="B4193" s="77" t="s">
        <v>5839</v>
      </c>
      <c r="C4193" s="78"/>
      <c r="D4193" s="78"/>
      <c r="E4193" s="78" t="s">
        <v>5840</v>
      </c>
      <c r="F4193" s="78" t="s">
        <v>47</v>
      </c>
      <c r="G4193" s="78">
        <v>4</v>
      </c>
      <c r="H4193" s="79">
        <v>200000</v>
      </c>
      <c r="I4193" s="136">
        <f t="shared" si="190"/>
        <v>800000</v>
      </c>
      <c r="J4193" s="78"/>
      <c r="K4193" s="77" t="s">
        <v>5809</v>
      </c>
    </row>
    <row r="4194" spans="1:11" ht="67.5" customHeight="1" x14ac:dyDescent="0.25">
      <c r="A4194" s="76" t="s">
        <v>5841</v>
      </c>
      <c r="B4194" s="77" t="s">
        <v>5686</v>
      </c>
      <c r="C4194" s="78"/>
      <c r="D4194" s="78"/>
      <c r="E4194" s="78" t="s">
        <v>5685</v>
      </c>
      <c r="F4194" s="78" t="s">
        <v>576</v>
      </c>
      <c r="G4194" s="78">
        <v>216.56209999999999</v>
      </c>
      <c r="H4194" s="79">
        <v>58000</v>
      </c>
      <c r="I4194" s="136">
        <f t="shared" si="190"/>
        <v>12560601.799999999</v>
      </c>
      <c r="J4194" s="78"/>
      <c r="K4194" s="77" t="s">
        <v>5842</v>
      </c>
    </row>
    <row r="4195" spans="1:11" ht="67.5" customHeight="1" x14ac:dyDescent="0.25">
      <c r="A4195" s="76" t="s">
        <v>5843</v>
      </c>
      <c r="B4195" s="77" t="s">
        <v>5844</v>
      </c>
      <c r="C4195" s="78"/>
      <c r="D4195" s="78"/>
      <c r="E4195" s="78" t="s">
        <v>5685</v>
      </c>
      <c r="F4195" s="78" t="s">
        <v>576</v>
      </c>
      <c r="G4195" s="78">
        <v>67.697999999999993</v>
      </c>
      <c r="H4195" s="79">
        <v>58000</v>
      </c>
      <c r="I4195" s="136">
        <f t="shared" si="190"/>
        <v>3926483.9999999995</v>
      </c>
      <c r="J4195" s="78"/>
      <c r="K4195" s="77" t="s">
        <v>5845</v>
      </c>
    </row>
    <row r="4196" spans="1:11" ht="67.5" customHeight="1" x14ac:dyDescent="0.25">
      <c r="A4196" s="76" t="s">
        <v>5846</v>
      </c>
      <c r="B4196" s="77" t="s">
        <v>5684</v>
      </c>
      <c r="C4196" s="78"/>
      <c r="D4196" s="78"/>
      <c r="E4196" s="78" t="s">
        <v>5685</v>
      </c>
      <c r="F4196" s="78" t="s">
        <v>576</v>
      </c>
      <c r="G4196" s="78">
        <v>253.27109999999999</v>
      </c>
      <c r="H4196" s="79">
        <v>58000</v>
      </c>
      <c r="I4196" s="136">
        <f t="shared" si="190"/>
        <v>14689723.799999999</v>
      </c>
      <c r="J4196" s="78"/>
      <c r="K4196" s="77" t="s">
        <v>5847</v>
      </c>
    </row>
    <row r="4197" spans="1:11" ht="41.25" customHeight="1" x14ac:dyDescent="0.25">
      <c r="A4197" s="76" t="s">
        <v>5848</v>
      </c>
      <c r="B4197" s="77" t="s">
        <v>5849</v>
      </c>
      <c r="C4197" s="78"/>
      <c r="D4197" s="78"/>
      <c r="E4197" s="78" t="s">
        <v>5685</v>
      </c>
      <c r="F4197" s="78" t="s">
        <v>576</v>
      </c>
      <c r="G4197" s="78">
        <v>16.497</v>
      </c>
      <c r="H4197" s="79">
        <v>55000</v>
      </c>
      <c r="I4197" s="136">
        <f t="shared" si="190"/>
        <v>907335</v>
      </c>
      <c r="J4197" s="78"/>
      <c r="K4197" s="77" t="s">
        <v>5850</v>
      </c>
    </row>
    <row r="4198" spans="1:11" ht="67.5" customHeight="1" x14ac:dyDescent="0.25">
      <c r="A4198" s="76" t="s">
        <v>5851</v>
      </c>
      <c r="B4198" s="77" t="s">
        <v>5852</v>
      </c>
      <c r="C4198" s="78"/>
      <c r="D4198" s="78"/>
      <c r="E4198" s="78" t="s">
        <v>5840</v>
      </c>
      <c r="F4198" s="78" t="s">
        <v>47</v>
      </c>
      <c r="G4198" s="78">
        <v>3</v>
      </c>
      <c r="H4198" s="79">
        <v>360000</v>
      </c>
      <c r="I4198" s="136">
        <f t="shared" si="190"/>
        <v>1080000</v>
      </c>
      <c r="J4198" s="78"/>
      <c r="K4198" s="77" t="s">
        <v>5850</v>
      </c>
    </row>
    <row r="4199" spans="1:11" ht="41.25" customHeight="1" x14ac:dyDescent="0.25">
      <c r="A4199" s="76" t="s">
        <v>5853</v>
      </c>
      <c r="B4199" s="77" t="s">
        <v>5854</v>
      </c>
      <c r="C4199" s="78"/>
      <c r="D4199" s="78"/>
      <c r="E4199" s="78" t="s">
        <v>5626</v>
      </c>
      <c r="F4199" s="78" t="s">
        <v>1878</v>
      </c>
      <c r="G4199" s="78">
        <v>3.2839</v>
      </c>
      <c r="H4199" s="79">
        <v>26000</v>
      </c>
      <c r="I4199" s="136">
        <f t="shared" si="190"/>
        <v>85381.4</v>
      </c>
      <c r="J4199" s="78"/>
      <c r="K4199" s="77" t="s">
        <v>5855</v>
      </c>
    </row>
    <row r="4200" spans="1:11" ht="41.25" customHeight="1" x14ac:dyDescent="0.25">
      <c r="A4200" s="76" t="s">
        <v>5856</v>
      </c>
      <c r="B4200" s="77" t="s">
        <v>5857</v>
      </c>
      <c r="C4200" s="78"/>
      <c r="D4200" s="78"/>
      <c r="E4200" s="78" t="s">
        <v>5626</v>
      </c>
      <c r="F4200" s="78" t="s">
        <v>315</v>
      </c>
      <c r="G4200" s="78">
        <v>161.80199999999999</v>
      </c>
      <c r="H4200" s="79">
        <v>6600</v>
      </c>
      <c r="I4200" s="136">
        <f t="shared" si="190"/>
        <v>1067893.2</v>
      </c>
      <c r="J4200" s="78"/>
      <c r="K4200" s="77" t="s">
        <v>5855</v>
      </c>
    </row>
    <row r="4201" spans="1:11" ht="41.25" customHeight="1" x14ac:dyDescent="0.25">
      <c r="A4201" s="76" t="s">
        <v>5858</v>
      </c>
      <c r="B4201" s="77" t="s">
        <v>5859</v>
      </c>
      <c r="C4201" s="78"/>
      <c r="D4201" s="78"/>
      <c r="E4201" s="78" t="s">
        <v>5626</v>
      </c>
      <c r="F4201" s="78" t="s">
        <v>576</v>
      </c>
      <c r="G4201" s="78">
        <v>897.12</v>
      </c>
      <c r="H4201" s="79">
        <v>360</v>
      </c>
      <c r="I4201" s="136">
        <f t="shared" si="190"/>
        <v>322963.20000000001</v>
      </c>
      <c r="J4201" s="78"/>
      <c r="K4201" s="77" t="s">
        <v>5855</v>
      </c>
    </row>
    <row r="4202" spans="1:11" ht="41.25" customHeight="1" x14ac:dyDescent="0.25">
      <c r="A4202" s="76" t="s">
        <v>5860</v>
      </c>
      <c r="B4202" s="77" t="s">
        <v>5861</v>
      </c>
      <c r="C4202" s="78"/>
      <c r="D4202" s="78"/>
      <c r="E4202" s="78"/>
      <c r="F4202" s="78" t="s">
        <v>315</v>
      </c>
      <c r="G4202" s="78">
        <v>644.82979999999998</v>
      </c>
      <c r="H4202" s="79">
        <v>2500</v>
      </c>
      <c r="I4202" s="136">
        <f t="shared" si="190"/>
        <v>1612074.5</v>
      </c>
      <c r="J4202" s="78"/>
      <c r="K4202" s="77" t="s">
        <v>5862</v>
      </c>
    </row>
    <row r="4203" spans="1:11" ht="54" customHeight="1" x14ac:dyDescent="0.25">
      <c r="A4203" s="76" t="s">
        <v>5863</v>
      </c>
      <c r="B4203" s="77" t="s">
        <v>5864</v>
      </c>
      <c r="C4203" s="78"/>
      <c r="D4203" s="78"/>
      <c r="E4203" s="78" t="s">
        <v>5626</v>
      </c>
      <c r="F4203" s="78" t="s">
        <v>576</v>
      </c>
      <c r="G4203" s="78">
        <v>23391.3747</v>
      </c>
      <c r="H4203" s="79">
        <v>252</v>
      </c>
      <c r="I4203" s="136">
        <f t="shared" si="190"/>
        <v>5894626.4243999999</v>
      </c>
      <c r="J4203" s="78"/>
      <c r="K4203" s="77" t="s">
        <v>5865</v>
      </c>
    </row>
    <row r="4204" spans="1:11" ht="54" customHeight="1" x14ac:dyDescent="0.25">
      <c r="A4204" s="76" t="s">
        <v>5866</v>
      </c>
      <c r="B4204" s="77" t="s">
        <v>5867</v>
      </c>
      <c r="C4204" s="78"/>
      <c r="D4204" s="78"/>
      <c r="E4204" s="78" t="s">
        <v>5626</v>
      </c>
      <c r="F4204" s="78" t="s">
        <v>576</v>
      </c>
      <c r="G4204" s="78">
        <v>23814.8272</v>
      </c>
      <c r="H4204" s="79">
        <v>800</v>
      </c>
      <c r="I4204" s="136">
        <f t="shared" si="190"/>
        <v>19051861.759999998</v>
      </c>
      <c r="J4204" s="78"/>
      <c r="K4204" s="77" t="s">
        <v>5868</v>
      </c>
    </row>
    <row r="4205" spans="1:11" ht="41.25" customHeight="1" x14ac:dyDescent="0.25">
      <c r="A4205" s="76" t="s">
        <v>5869</v>
      </c>
      <c r="B4205" s="77" t="s">
        <v>5870</v>
      </c>
      <c r="C4205" s="78"/>
      <c r="D4205" s="78"/>
      <c r="E4205" s="78"/>
      <c r="F4205" s="78" t="s">
        <v>576</v>
      </c>
      <c r="G4205" s="78">
        <v>1338.6030000000001</v>
      </c>
      <c r="H4205" s="79">
        <v>800</v>
      </c>
      <c r="I4205" s="136">
        <f t="shared" si="190"/>
        <v>1070882.4000000001</v>
      </c>
      <c r="J4205" s="78"/>
      <c r="K4205" s="77" t="s">
        <v>5855</v>
      </c>
    </row>
    <row r="4206" spans="1:11" ht="41.25" customHeight="1" x14ac:dyDescent="0.25">
      <c r="A4206" s="76" t="s">
        <v>5871</v>
      </c>
      <c r="B4206" s="77" t="s">
        <v>5872</v>
      </c>
      <c r="C4206" s="78"/>
      <c r="D4206" s="78"/>
      <c r="E4206" s="78"/>
      <c r="F4206" s="78" t="s">
        <v>2199</v>
      </c>
      <c r="G4206" s="78">
        <v>8.3108000000000004</v>
      </c>
      <c r="H4206" s="79">
        <v>5000</v>
      </c>
      <c r="I4206" s="136">
        <f t="shared" si="190"/>
        <v>41554</v>
      </c>
      <c r="J4206" s="78"/>
      <c r="K4206" s="77" t="s">
        <v>5855</v>
      </c>
    </row>
    <row r="4207" spans="1:11" ht="41.25" customHeight="1" x14ac:dyDescent="0.25">
      <c r="A4207" s="76" t="s">
        <v>5873</v>
      </c>
      <c r="B4207" s="77" t="s">
        <v>5874</v>
      </c>
      <c r="C4207" s="78"/>
      <c r="D4207" s="78"/>
      <c r="E4207" s="78"/>
      <c r="F4207" s="78" t="s">
        <v>78</v>
      </c>
      <c r="G4207" s="78">
        <v>337064.9</v>
      </c>
      <c r="H4207" s="79">
        <v>30</v>
      </c>
      <c r="I4207" s="136">
        <f t="shared" si="190"/>
        <v>10111947</v>
      </c>
      <c r="J4207" s="78"/>
      <c r="K4207" s="77" t="s">
        <v>5875</v>
      </c>
    </row>
    <row r="4208" spans="1:11" ht="41.25" customHeight="1" x14ac:dyDescent="0.25">
      <c r="A4208" s="76" t="s">
        <v>5876</v>
      </c>
      <c r="B4208" s="77" t="s">
        <v>5877</v>
      </c>
      <c r="C4208" s="78"/>
      <c r="D4208" s="78"/>
      <c r="E4208" s="78" t="s">
        <v>5363</v>
      </c>
      <c r="F4208" s="78" t="s">
        <v>315</v>
      </c>
      <c r="G4208" s="78">
        <v>201.55029999999999</v>
      </c>
      <c r="H4208" s="79">
        <v>7000</v>
      </c>
      <c r="I4208" s="136">
        <f t="shared" si="190"/>
        <v>1410852.0999999999</v>
      </c>
      <c r="J4208" s="78"/>
      <c r="K4208" s="77" t="s">
        <v>5878</v>
      </c>
    </row>
    <row r="4209" spans="1:11" ht="54" customHeight="1" x14ac:dyDescent="0.25">
      <c r="A4209" s="76" t="s">
        <v>5879</v>
      </c>
      <c r="B4209" s="77" t="s">
        <v>5880</v>
      </c>
      <c r="C4209" s="78"/>
      <c r="D4209" s="78"/>
      <c r="E4209" s="78"/>
      <c r="F4209" s="78" t="s">
        <v>576</v>
      </c>
      <c r="G4209" s="78">
        <v>4037.1788999999999</v>
      </c>
      <c r="H4209" s="79"/>
      <c r="I4209" s="136">
        <f t="shared" si="190"/>
        <v>0</v>
      </c>
      <c r="J4209" s="78"/>
      <c r="K4209" s="77" t="s">
        <v>5881</v>
      </c>
    </row>
    <row r="4210" spans="1:11" ht="41.25" customHeight="1" x14ac:dyDescent="0.25">
      <c r="A4210" s="76" t="s">
        <v>5882</v>
      </c>
      <c r="B4210" s="77" t="s">
        <v>5883</v>
      </c>
      <c r="C4210" s="78"/>
      <c r="D4210" s="78"/>
      <c r="E4210" s="78" t="s">
        <v>5626</v>
      </c>
      <c r="F4210" s="78" t="s">
        <v>89</v>
      </c>
      <c r="G4210" s="78">
        <v>510.07</v>
      </c>
      <c r="H4210" s="79">
        <v>209</v>
      </c>
      <c r="I4210" s="136">
        <f t="shared" si="190"/>
        <v>106604.63</v>
      </c>
      <c r="J4210" s="78"/>
      <c r="K4210" s="77" t="s">
        <v>5884</v>
      </c>
    </row>
    <row r="4211" spans="1:11" ht="54" customHeight="1" x14ac:dyDescent="0.25">
      <c r="A4211" s="76" t="s">
        <v>5885</v>
      </c>
      <c r="B4211" s="77" t="s">
        <v>5886</v>
      </c>
      <c r="C4211" s="78"/>
      <c r="D4211" s="78"/>
      <c r="E4211" s="78" t="s">
        <v>5626</v>
      </c>
      <c r="F4211" s="78" t="s">
        <v>576</v>
      </c>
      <c r="G4211" s="78">
        <v>338.81849999999997</v>
      </c>
      <c r="H4211" s="79"/>
      <c r="I4211" s="136">
        <f t="shared" si="190"/>
        <v>0</v>
      </c>
      <c r="J4211" s="78"/>
      <c r="K4211" s="77" t="s">
        <v>5887</v>
      </c>
    </row>
    <row r="4212" spans="1:11" ht="41.25" customHeight="1" x14ac:dyDescent="0.25">
      <c r="A4212" s="76" t="s">
        <v>5888</v>
      </c>
      <c r="B4212" s="77" t="s">
        <v>5889</v>
      </c>
      <c r="C4212" s="78"/>
      <c r="D4212" s="78"/>
      <c r="E4212" s="78" t="s">
        <v>5626</v>
      </c>
      <c r="F4212" s="78" t="s">
        <v>158</v>
      </c>
      <c r="G4212" s="78">
        <v>338.72399999999999</v>
      </c>
      <c r="H4212" s="79">
        <v>111</v>
      </c>
      <c r="I4212" s="136">
        <f t="shared" si="190"/>
        <v>37598.364000000001</v>
      </c>
      <c r="J4212" s="78"/>
      <c r="K4212" s="77" t="s">
        <v>5890</v>
      </c>
    </row>
    <row r="4213" spans="1:11" ht="41.25" customHeight="1" x14ac:dyDescent="0.25">
      <c r="A4213" s="76" t="s">
        <v>5891</v>
      </c>
      <c r="B4213" s="77" t="s">
        <v>5892</v>
      </c>
      <c r="C4213" s="78"/>
      <c r="D4213" s="78"/>
      <c r="E4213" s="78" t="s">
        <v>5626</v>
      </c>
      <c r="F4213" s="78" t="s">
        <v>1878</v>
      </c>
      <c r="G4213" s="78">
        <v>2.7482000000000002</v>
      </c>
      <c r="H4213" s="79">
        <v>100000</v>
      </c>
      <c r="I4213" s="136">
        <f t="shared" si="190"/>
        <v>274820</v>
      </c>
      <c r="J4213" s="78"/>
      <c r="K4213" s="77" t="s">
        <v>5893</v>
      </c>
    </row>
    <row r="4214" spans="1:11" ht="54" customHeight="1" x14ac:dyDescent="0.25">
      <c r="A4214" s="76" t="s">
        <v>5894</v>
      </c>
      <c r="B4214" s="77" t="s">
        <v>5895</v>
      </c>
      <c r="C4214" s="78"/>
      <c r="D4214" s="78"/>
      <c r="E4214" s="78" t="s">
        <v>5626</v>
      </c>
      <c r="F4214" s="78" t="s">
        <v>315</v>
      </c>
      <c r="G4214" s="78">
        <v>5.3819999999999997</v>
      </c>
      <c r="H4214" s="79">
        <v>12000</v>
      </c>
      <c r="I4214" s="136">
        <f t="shared" si="190"/>
        <v>64583.999999999993</v>
      </c>
      <c r="J4214" s="78"/>
      <c r="K4214" s="77" t="s">
        <v>5890</v>
      </c>
    </row>
    <row r="4215" spans="1:11" ht="41.25" customHeight="1" x14ac:dyDescent="0.25">
      <c r="A4215" s="76" t="s">
        <v>5896</v>
      </c>
      <c r="B4215" s="77" t="s">
        <v>5897</v>
      </c>
      <c r="C4215" s="78"/>
      <c r="D4215" s="78"/>
      <c r="E4215" s="78" t="s">
        <v>5626</v>
      </c>
      <c r="F4215" s="78" t="s">
        <v>576</v>
      </c>
      <c r="G4215" s="78">
        <v>115.2256</v>
      </c>
      <c r="H4215" s="79">
        <v>200</v>
      </c>
      <c r="I4215" s="136">
        <f t="shared" si="190"/>
        <v>23045.119999999999</v>
      </c>
      <c r="J4215" s="78"/>
      <c r="K4215" s="77" t="s">
        <v>5890</v>
      </c>
    </row>
    <row r="4216" spans="1:11" ht="41.25" customHeight="1" x14ac:dyDescent="0.25">
      <c r="A4216" s="76" t="s">
        <v>5898</v>
      </c>
      <c r="B4216" s="77" t="s">
        <v>5899</v>
      </c>
      <c r="C4216" s="78"/>
      <c r="D4216" s="78"/>
      <c r="E4216" s="78" t="s">
        <v>5626</v>
      </c>
      <c r="F4216" s="78" t="s">
        <v>78</v>
      </c>
      <c r="G4216" s="78">
        <v>18827.04</v>
      </c>
      <c r="H4216" s="79">
        <v>29</v>
      </c>
      <c r="I4216" s="136">
        <f t="shared" si="190"/>
        <v>545984.16</v>
      </c>
      <c r="J4216" s="78"/>
      <c r="K4216" s="77" t="s">
        <v>5890</v>
      </c>
    </row>
    <row r="4217" spans="1:11" ht="41.25" customHeight="1" x14ac:dyDescent="0.25">
      <c r="A4217" s="76" t="s">
        <v>5900</v>
      </c>
      <c r="B4217" s="77" t="s">
        <v>5901</v>
      </c>
      <c r="C4217" s="78"/>
      <c r="D4217" s="78"/>
      <c r="E4217" s="78"/>
      <c r="F4217" s="78" t="s">
        <v>576</v>
      </c>
      <c r="G4217" s="78">
        <v>46.91</v>
      </c>
      <c r="H4217" s="79">
        <v>480</v>
      </c>
      <c r="I4217" s="136">
        <f t="shared" si="190"/>
        <v>22516.799999999999</v>
      </c>
      <c r="J4217" s="78"/>
      <c r="K4217" s="77" t="s">
        <v>5902</v>
      </c>
    </row>
    <row r="4218" spans="1:11" ht="54" customHeight="1" x14ac:dyDescent="0.25">
      <c r="A4218" s="76" t="s">
        <v>1887</v>
      </c>
      <c r="B4218" s="77" t="s">
        <v>5903</v>
      </c>
      <c r="C4218" s="78"/>
      <c r="D4218" s="78"/>
      <c r="E4218" s="78"/>
      <c r="F4218" s="78" t="s">
        <v>576</v>
      </c>
      <c r="G4218" s="78">
        <v>3564.83</v>
      </c>
      <c r="H4218" s="79"/>
      <c r="I4218" s="136">
        <f t="shared" si="190"/>
        <v>0</v>
      </c>
      <c r="J4218" s="78"/>
      <c r="K4218" s="77" t="s">
        <v>5904</v>
      </c>
    </row>
    <row r="4219" spans="1:11" ht="41.25" customHeight="1" x14ac:dyDescent="0.25">
      <c r="A4219" s="76" t="s">
        <v>5905</v>
      </c>
      <c r="B4219" s="77" t="s">
        <v>5906</v>
      </c>
      <c r="C4219" s="78"/>
      <c r="D4219" s="78"/>
      <c r="E4219" s="78" t="s">
        <v>5626</v>
      </c>
      <c r="F4219" s="78" t="s">
        <v>1878</v>
      </c>
      <c r="G4219" s="78">
        <v>6.6908000000000003</v>
      </c>
      <c r="H4219" s="79">
        <v>49000</v>
      </c>
      <c r="I4219" s="136">
        <f t="shared" si="190"/>
        <v>327849.2</v>
      </c>
      <c r="J4219" s="78"/>
      <c r="K4219" s="77" t="s">
        <v>5902</v>
      </c>
    </row>
    <row r="4220" spans="1:11" ht="41.25" customHeight="1" x14ac:dyDescent="0.25">
      <c r="A4220" s="76" t="s">
        <v>5907</v>
      </c>
      <c r="B4220" s="77" t="s">
        <v>5908</v>
      </c>
      <c r="C4220" s="78"/>
      <c r="D4220" s="78"/>
      <c r="E4220" s="78" t="s">
        <v>5679</v>
      </c>
      <c r="F4220" s="78" t="s">
        <v>576</v>
      </c>
      <c r="G4220" s="78">
        <v>3564.83</v>
      </c>
      <c r="H4220" s="79">
        <v>2000</v>
      </c>
      <c r="I4220" s="136">
        <f t="shared" si="190"/>
        <v>7129660</v>
      </c>
      <c r="J4220" s="78"/>
      <c r="K4220" s="77" t="s">
        <v>5904</v>
      </c>
    </row>
    <row r="4221" spans="1:11" ht="41.25" customHeight="1" x14ac:dyDescent="0.25">
      <c r="A4221" s="76" t="s">
        <v>5909</v>
      </c>
      <c r="B4221" s="77" t="s">
        <v>5910</v>
      </c>
      <c r="C4221" s="78"/>
      <c r="D4221" s="78"/>
      <c r="E4221" s="78" t="s">
        <v>5626</v>
      </c>
      <c r="F4221" s="78" t="s">
        <v>1878</v>
      </c>
      <c r="G4221" s="78">
        <v>1.7824</v>
      </c>
      <c r="H4221" s="79"/>
      <c r="I4221" s="136">
        <f t="shared" si="190"/>
        <v>0</v>
      </c>
      <c r="J4221" s="78"/>
      <c r="K4221" s="77" t="s">
        <v>5911</v>
      </c>
    </row>
    <row r="4222" spans="1:11" ht="41.25" customHeight="1" x14ac:dyDescent="0.25">
      <c r="A4222" s="76" t="s">
        <v>5634</v>
      </c>
      <c r="B4222" s="77" t="s">
        <v>5912</v>
      </c>
      <c r="C4222" s="78"/>
      <c r="D4222" s="78"/>
      <c r="E4222" s="78" t="s">
        <v>5626</v>
      </c>
      <c r="F4222" s="78" t="s">
        <v>576</v>
      </c>
      <c r="G4222" s="78">
        <v>6146.7</v>
      </c>
      <c r="H4222" s="79"/>
      <c r="I4222" s="136">
        <f t="shared" ref="I4222:I4227" si="191">H4222*G4222</f>
        <v>0</v>
      </c>
      <c r="J4222" s="78"/>
      <c r="K4222" s="77" t="s">
        <v>5913</v>
      </c>
    </row>
    <row r="4223" spans="1:11" ht="41.25" customHeight="1" x14ac:dyDescent="0.25">
      <c r="A4223" s="76" t="s">
        <v>5914</v>
      </c>
      <c r="B4223" s="77" t="s">
        <v>5915</v>
      </c>
      <c r="C4223" s="78"/>
      <c r="D4223" s="78"/>
      <c r="E4223" s="78" t="s">
        <v>5626</v>
      </c>
      <c r="F4223" s="78" t="s">
        <v>1878</v>
      </c>
      <c r="G4223" s="78">
        <v>1.3913</v>
      </c>
      <c r="H4223" s="79">
        <v>148000</v>
      </c>
      <c r="I4223" s="136">
        <f t="shared" si="191"/>
        <v>205912.4</v>
      </c>
      <c r="J4223" s="78"/>
      <c r="K4223" s="77" t="s">
        <v>5902</v>
      </c>
    </row>
    <row r="4224" spans="1:11" ht="41.25" customHeight="1" x14ac:dyDescent="0.25">
      <c r="A4224" s="76" t="s">
        <v>5916</v>
      </c>
      <c r="B4224" s="77" t="s">
        <v>5917</v>
      </c>
      <c r="C4224" s="78"/>
      <c r="D4224" s="78"/>
      <c r="E4224" s="78" t="s">
        <v>5626</v>
      </c>
      <c r="F4224" s="78" t="s">
        <v>1878</v>
      </c>
      <c r="G4224" s="78">
        <v>6.6772999999999998</v>
      </c>
      <c r="H4224" s="79">
        <v>49000</v>
      </c>
      <c r="I4224" s="136">
        <f t="shared" si="191"/>
        <v>327187.7</v>
      </c>
      <c r="J4224" s="78"/>
      <c r="K4224" s="77" t="s">
        <v>5902</v>
      </c>
    </row>
    <row r="4225" spans="1:11" ht="41.25" customHeight="1" x14ac:dyDescent="0.25">
      <c r="A4225" s="76" t="s">
        <v>5918</v>
      </c>
      <c r="B4225" s="77" t="s">
        <v>5919</v>
      </c>
      <c r="C4225" s="78"/>
      <c r="D4225" s="78"/>
      <c r="E4225" s="78"/>
      <c r="F4225" s="78" t="s">
        <v>576</v>
      </c>
      <c r="G4225" s="78">
        <v>75.152000000000001</v>
      </c>
      <c r="H4225" s="79">
        <v>21760</v>
      </c>
      <c r="I4225" s="136">
        <f t="shared" si="191"/>
        <v>1635307.52</v>
      </c>
      <c r="J4225" s="78"/>
      <c r="K4225" s="77" t="s">
        <v>5920</v>
      </c>
    </row>
    <row r="4226" spans="1:11" ht="41.25" customHeight="1" x14ac:dyDescent="0.25">
      <c r="A4226" s="76" t="s">
        <v>5921</v>
      </c>
      <c r="B4226" s="77" t="s">
        <v>5922</v>
      </c>
      <c r="C4226" s="78"/>
      <c r="D4226" s="78"/>
      <c r="E4226" s="78"/>
      <c r="F4226" s="78" t="s">
        <v>89</v>
      </c>
      <c r="G4226" s="78">
        <v>86.934600000000003</v>
      </c>
      <c r="H4226" s="79">
        <v>900</v>
      </c>
      <c r="I4226" s="136">
        <f t="shared" si="191"/>
        <v>78241.14</v>
      </c>
      <c r="J4226" s="78"/>
      <c r="K4226" s="77" t="s">
        <v>5923</v>
      </c>
    </row>
    <row r="4227" spans="1:11" ht="41.25" customHeight="1" x14ac:dyDescent="0.25">
      <c r="A4227" s="76" t="s">
        <v>5924</v>
      </c>
      <c r="B4227" s="77" t="s">
        <v>5925</v>
      </c>
      <c r="C4227" s="78"/>
      <c r="D4227" s="78"/>
      <c r="E4227" s="78"/>
      <c r="F4227" s="78" t="s">
        <v>1878</v>
      </c>
      <c r="G4227" s="78">
        <v>1.9176</v>
      </c>
      <c r="H4227" s="79"/>
      <c r="I4227" s="136">
        <f t="shared" si="191"/>
        <v>0</v>
      </c>
      <c r="J4227" s="78"/>
      <c r="K4227" s="77" t="s">
        <v>5890</v>
      </c>
    </row>
    <row r="4228" spans="1:11" ht="15.75" customHeight="1" x14ac:dyDescent="0.25">
      <c r="A4228" s="147" t="s">
        <v>5926</v>
      </c>
      <c r="B4228" s="147"/>
      <c r="C4228" s="147"/>
      <c r="D4228" s="147"/>
      <c r="E4228" s="147"/>
      <c r="F4228" s="147"/>
      <c r="G4228" s="147"/>
      <c r="H4228" s="147"/>
      <c r="I4228" s="147"/>
      <c r="J4228" s="147"/>
      <c r="K4228" s="147"/>
    </row>
    <row r="4229" spans="1:11" ht="41.25" customHeight="1" x14ac:dyDescent="0.25">
      <c r="A4229" s="76" t="s">
        <v>5927</v>
      </c>
      <c r="B4229" s="77" t="s">
        <v>5928</v>
      </c>
      <c r="C4229" s="78"/>
      <c r="D4229" s="78"/>
      <c r="E4229" s="78"/>
      <c r="F4229" s="78" t="s">
        <v>78</v>
      </c>
      <c r="G4229" s="78">
        <v>2</v>
      </c>
      <c r="H4229" s="79"/>
      <c r="I4229" s="136">
        <f>H4229*G4229</f>
        <v>0</v>
      </c>
      <c r="J4229" s="78"/>
      <c r="K4229" s="77" t="s">
        <v>5929</v>
      </c>
    </row>
    <row r="4230" spans="1:11" ht="41.25" customHeight="1" x14ac:dyDescent="0.25">
      <c r="A4230" s="76" t="s">
        <v>5930</v>
      </c>
      <c r="B4230" s="77" t="s">
        <v>5931</v>
      </c>
      <c r="C4230" s="78"/>
      <c r="D4230" s="78"/>
      <c r="E4230" s="78"/>
      <c r="F4230" s="78" t="s">
        <v>78</v>
      </c>
      <c r="G4230" s="78">
        <v>2</v>
      </c>
      <c r="H4230" s="79"/>
      <c r="I4230" s="136">
        <f>H4230*G4230</f>
        <v>0</v>
      </c>
      <c r="J4230" s="78"/>
      <c r="K4230" s="77" t="s">
        <v>5932</v>
      </c>
    </row>
    <row r="4231" spans="1:11" ht="41.25" customHeight="1" x14ac:dyDescent="0.25">
      <c r="A4231" s="76" t="s">
        <v>5933</v>
      </c>
      <c r="B4231" s="77" t="s">
        <v>5934</v>
      </c>
      <c r="C4231" s="78"/>
      <c r="D4231" s="78"/>
      <c r="E4231" s="78"/>
      <c r="F4231" s="78" t="s">
        <v>78</v>
      </c>
      <c r="G4231" s="78">
        <v>2</v>
      </c>
      <c r="H4231" s="79">
        <v>7390</v>
      </c>
      <c r="I4231" s="136">
        <f>H4231*G4231</f>
        <v>14780</v>
      </c>
      <c r="J4231" s="78"/>
      <c r="K4231" s="77" t="s">
        <v>5935</v>
      </c>
    </row>
    <row r="4232" spans="1:11" ht="15.75" customHeight="1" x14ac:dyDescent="0.25">
      <c r="A4232" s="147" t="s">
        <v>5936</v>
      </c>
      <c r="B4232" s="147"/>
      <c r="C4232" s="147"/>
      <c r="D4232" s="147"/>
      <c r="E4232" s="147"/>
      <c r="F4232" s="147"/>
      <c r="G4232" s="147"/>
      <c r="H4232" s="147"/>
      <c r="I4232" s="147"/>
      <c r="J4232" s="147"/>
      <c r="K4232" s="147"/>
    </row>
    <row r="4233" spans="1:11" ht="41.25" customHeight="1" x14ac:dyDescent="0.25">
      <c r="A4233" s="76" t="s">
        <v>5585</v>
      </c>
      <c r="B4233" s="77" t="s">
        <v>5937</v>
      </c>
      <c r="C4233" s="78"/>
      <c r="D4233" s="78"/>
      <c r="E4233" s="78"/>
      <c r="F4233" s="78" t="s">
        <v>78</v>
      </c>
      <c r="G4233" s="78">
        <v>1</v>
      </c>
      <c r="H4233" s="79"/>
      <c r="I4233" s="136">
        <f>H4233*G4233</f>
        <v>0</v>
      </c>
      <c r="J4233" s="78"/>
      <c r="K4233" s="77" t="s">
        <v>5938</v>
      </c>
    </row>
    <row r="4234" spans="1:11" ht="105.75" customHeight="1" x14ac:dyDescent="0.25">
      <c r="A4234" s="76" t="s">
        <v>17</v>
      </c>
      <c r="B4234" s="77" t="s">
        <v>5939</v>
      </c>
      <c r="C4234" s="78"/>
      <c r="D4234" s="78"/>
      <c r="E4234" s="78"/>
      <c r="F4234" s="78" t="s">
        <v>78</v>
      </c>
      <c r="G4234" s="78">
        <v>1</v>
      </c>
      <c r="H4234" s="79"/>
      <c r="I4234" s="136">
        <f>H4234*G4234</f>
        <v>0</v>
      </c>
      <c r="J4234" s="78"/>
      <c r="K4234" s="77" t="s">
        <v>5938</v>
      </c>
    </row>
    <row r="4235" spans="1:11" ht="54" customHeight="1" x14ac:dyDescent="0.25">
      <c r="A4235" s="76" t="s">
        <v>36</v>
      </c>
      <c r="B4235" s="77" t="s">
        <v>5940</v>
      </c>
      <c r="C4235" s="78"/>
      <c r="D4235" s="78"/>
      <c r="E4235" s="78"/>
      <c r="F4235" s="78" t="s">
        <v>78</v>
      </c>
      <c r="G4235" s="78">
        <v>1</v>
      </c>
      <c r="H4235" s="79"/>
      <c r="I4235" s="136">
        <f>H4235*G4235</f>
        <v>0</v>
      </c>
      <c r="J4235" s="78"/>
      <c r="K4235" s="77" t="s">
        <v>5941</v>
      </c>
    </row>
    <row r="4236" spans="1:11" ht="54" customHeight="1" x14ac:dyDescent="0.25">
      <c r="A4236" s="76" t="s">
        <v>5666</v>
      </c>
      <c r="B4236" s="77" t="s">
        <v>5942</v>
      </c>
      <c r="C4236" s="78"/>
      <c r="D4236" s="78"/>
      <c r="E4236" s="78"/>
      <c r="F4236" s="78" t="s">
        <v>78</v>
      </c>
      <c r="G4236" s="78">
        <v>1</v>
      </c>
      <c r="H4236" s="79"/>
      <c r="I4236" s="136">
        <f>H4236*G4236</f>
        <v>0</v>
      </c>
      <c r="J4236" s="78"/>
      <c r="K4236" s="77" t="s">
        <v>5941</v>
      </c>
    </row>
    <row r="4237" spans="1:11" ht="15.75" customHeight="1" x14ac:dyDescent="0.25">
      <c r="A4237" s="147" t="s">
        <v>5943</v>
      </c>
      <c r="B4237" s="147"/>
      <c r="C4237" s="147"/>
      <c r="D4237" s="147"/>
      <c r="E4237" s="147"/>
      <c r="F4237" s="147"/>
      <c r="G4237" s="147"/>
      <c r="H4237" s="147"/>
      <c r="I4237" s="147"/>
      <c r="J4237" s="147"/>
      <c r="K4237" s="147"/>
    </row>
    <row r="4238" spans="1:11" ht="41.25" customHeight="1" x14ac:dyDescent="0.25">
      <c r="A4238" s="76" t="s">
        <v>5595</v>
      </c>
      <c r="B4238" s="77" t="s">
        <v>5944</v>
      </c>
      <c r="C4238" s="78"/>
      <c r="D4238" s="78"/>
      <c r="E4238" s="78"/>
      <c r="F4238" s="78" t="s">
        <v>576</v>
      </c>
      <c r="G4238" s="78">
        <v>9957</v>
      </c>
      <c r="H4238" s="79">
        <v>100</v>
      </c>
      <c r="I4238" s="136">
        <f t="shared" ref="I4238:I4259" si="192">H4238*G4238</f>
        <v>995700</v>
      </c>
      <c r="J4238" s="78"/>
      <c r="K4238" s="77" t="s">
        <v>5945</v>
      </c>
    </row>
    <row r="4239" spans="1:11" ht="54" customHeight="1" x14ac:dyDescent="0.25">
      <c r="A4239" s="76" t="s">
        <v>5946</v>
      </c>
      <c r="B4239" s="77" t="s">
        <v>5947</v>
      </c>
      <c r="C4239" s="78"/>
      <c r="D4239" s="78"/>
      <c r="E4239" s="78" t="s">
        <v>5948</v>
      </c>
      <c r="F4239" s="78" t="s">
        <v>1878</v>
      </c>
      <c r="G4239" s="78">
        <v>1052.1192000000001</v>
      </c>
      <c r="H4239" s="79">
        <v>10000</v>
      </c>
      <c r="I4239" s="136">
        <f t="shared" si="192"/>
        <v>10521192</v>
      </c>
      <c r="J4239" s="78"/>
      <c r="K4239" s="77" t="s">
        <v>5949</v>
      </c>
    </row>
    <row r="4240" spans="1:11" ht="54" customHeight="1" x14ac:dyDescent="0.25">
      <c r="A4240" s="76" t="s">
        <v>5603</v>
      </c>
      <c r="B4240" s="77" t="s">
        <v>5950</v>
      </c>
      <c r="C4240" s="78"/>
      <c r="D4240" s="78"/>
      <c r="E4240" s="78" t="s">
        <v>5948</v>
      </c>
      <c r="F4240" s="78" t="s">
        <v>1878</v>
      </c>
      <c r="G4240" s="78">
        <v>423.3304</v>
      </c>
      <c r="H4240" s="79">
        <v>10000</v>
      </c>
      <c r="I4240" s="136">
        <f t="shared" si="192"/>
        <v>4233304</v>
      </c>
      <c r="J4240" s="78"/>
      <c r="K4240" s="77" t="s">
        <v>5951</v>
      </c>
    </row>
    <row r="4241" spans="1:11" ht="80.25" customHeight="1" x14ac:dyDescent="0.25">
      <c r="A4241" s="76" t="s">
        <v>27</v>
      </c>
      <c r="B4241" s="77" t="s">
        <v>5952</v>
      </c>
      <c r="C4241" s="78"/>
      <c r="D4241" s="78"/>
      <c r="E4241" s="78" t="s">
        <v>5792</v>
      </c>
      <c r="F4241" s="78" t="s">
        <v>576</v>
      </c>
      <c r="G4241" s="78">
        <v>22346.400000000001</v>
      </c>
      <c r="H4241" s="79">
        <v>108</v>
      </c>
      <c r="I4241" s="136">
        <f t="shared" si="192"/>
        <v>2413411.2000000002</v>
      </c>
      <c r="J4241" s="78"/>
      <c r="K4241" s="77" t="s">
        <v>5953</v>
      </c>
    </row>
    <row r="4242" spans="1:11" ht="93" customHeight="1" x14ac:dyDescent="0.25">
      <c r="A4242" s="76" t="s">
        <v>5611</v>
      </c>
      <c r="B4242" s="77" t="s">
        <v>5596</v>
      </c>
      <c r="C4242" s="78"/>
      <c r="D4242" s="78"/>
      <c r="E4242" s="78" t="s">
        <v>14</v>
      </c>
      <c r="F4242" s="78" t="s">
        <v>315</v>
      </c>
      <c r="G4242" s="78">
        <v>6971.9650000000001</v>
      </c>
      <c r="H4242" s="79">
        <v>1600</v>
      </c>
      <c r="I4242" s="136">
        <f t="shared" si="192"/>
        <v>11155144</v>
      </c>
      <c r="J4242" s="78"/>
      <c r="K4242" s="77" t="s">
        <v>5954</v>
      </c>
    </row>
    <row r="4243" spans="1:11" ht="93" customHeight="1" x14ac:dyDescent="0.25">
      <c r="A4243" s="76" t="s">
        <v>5621</v>
      </c>
      <c r="B4243" s="77" t="s">
        <v>5955</v>
      </c>
      <c r="C4243" s="78"/>
      <c r="D4243" s="78"/>
      <c r="E4243" s="78" t="s">
        <v>14</v>
      </c>
      <c r="F4243" s="78" t="s">
        <v>315</v>
      </c>
      <c r="G4243" s="78">
        <v>2747.6842000000001</v>
      </c>
      <c r="H4243" s="79">
        <v>4000</v>
      </c>
      <c r="I4243" s="136">
        <f t="shared" si="192"/>
        <v>10990736.800000001</v>
      </c>
      <c r="J4243" s="78"/>
      <c r="K4243" s="77" t="s">
        <v>5956</v>
      </c>
    </row>
    <row r="4244" spans="1:11" ht="67.5" customHeight="1" x14ac:dyDescent="0.25">
      <c r="A4244" s="76" t="s">
        <v>5957</v>
      </c>
      <c r="B4244" s="77" t="s">
        <v>5958</v>
      </c>
      <c r="C4244" s="78"/>
      <c r="D4244" s="78"/>
      <c r="E4244" s="78" t="s">
        <v>14</v>
      </c>
      <c r="F4244" s="78" t="s">
        <v>315</v>
      </c>
      <c r="G4244" s="78">
        <v>210.55</v>
      </c>
      <c r="H4244" s="79">
        <v>4000</v>
      </c>
      <c r="I4244" s="136">
        <f t="shared" si="192"/>
        <v>842200</v>
      </c>
      <c r="J4244" s="78"/>
      <c r="K4244" s="77" t="s">
        <v>5959</v>
      </c>
    </row>
    <row r="4245" spans="1:11" ht="54" customHeight="1" x14ac:dyDescent="0.25">
      <c r="A4245" s="76" t="s">
        <v>38</v>
      </c>
      <c r="B4245" s="77" t="s">
        <v>5960</v>
      </c>
      <c r="C4245" s="78"/>
      <c r="D4245" s="78"/>
      <c r="E4245" s="78" t="s">
        <v>5363</v>
      </c>
      <c r="F4245" s="78" t="s">
        <v>315</v>
      </c>
      <c r="G4245" s="78">
        <v>149.10480000000001</v>
      </c>
      <c r="H4245" s="79">
        <v>8500</v>
      </c>
      <c r="I4245" s="136">
        <f t="shared" si="192"/>
        <v>1267390.8</v>
      </c>
      <c r="J4245" s="78"/>
      <c r="K4245" s="77" t="s">
        <v>5961</v>
      </c>
    </row>
    <row r="4246" spans="1:11" ht="41.25" customHeight="1" x14ac:dyDescent="0.25">
      <c r="A4246" s="76" t="s">
        <v>5708</v>
      </c>
      <c r="B4246" s="77" t="s">
        <v>5962</v>
      </c>
      <c r="C4246" s="78"/>
      <c r="D4246" s="78"/>
      <c r="E4246" s="78"/>
      <c r="F4246" s="78" t="s">
        <v>78</v>
      </c>
      <c r="G4246" s="78">
        <v>3159</v>
      </c>
      <c r="H4246" s="79"/>
      <c r="I4246" s="136">
        <f t="shared" si="192"/>
        <v>0</v>
      </c>
      <c r="J4246" s="78"/>
      <c r="K4246" s="77" t="s">
        <v>5963</v>
      </c>
    </row>
    <row r="4247" spans="1:11" ht="41.25" customHeight="1" x14ac:dyDescent="0.25">
      <c r="A4247" s="76" t="s">
        <v>5719</v>
      </c>
      <c r="B4247" s="77" t="s">
        <v>5964</v>
      </c>
      <c r="C4247" s="78"/>
      <c r="D4247" s="78"/>
      <c r="E4247" s="78"/>
      <c r="F4247" s="78" t="s">
        <v>576</v>
      </c>
      <c r="G4247" s="78">
        <v>866</v>
      </c>
      <c r="H4247" s="79">
        <v>1500</v>
      </c>
      <c r="I4247" s="136">
        <f t="shared" si="192"/>
        <v>1299000</v>
      </c>
      <c r="J4247" s="78"/>
      <c r="K4247" s="77" t="s">
        <v>5965</v>
      </c>
    </row>
    <row r="4248" spans="1:11" ht="41.25" customHeight="1" x14ac:dyDescent="0.25">
      <c r="A4248" s="76" t="s">
        <v>31</v>
      </c>
      <c r="B4248" s="77" t="s">
        <v>5966</v>
      </c>
      <c r="C4248" s="78"/>
      <c r="D4248" s="78"/>
      <c r="E4248" s="78" t="s">
        <v>5363</v>
      </c>
      <c r="F4248" s="78" t="s">
        <v>1878</v>
      </c>
      <c r="G4248" s="78">
        <v>47.63</v>
      </c>
      <c r="H4248" s="79"/>
      <c r="I4248" s="136">
        <f t="shared" si="192"/>
        <v>0</v>
      </c>
      <c r="J4248" s="78"/>
      <c r="K4248" s="77" t="s">
        <v>5965</v>
      </c>
    </row>
    <row r="4249" spans="1:11" ht="41.25" customHeight="1" x14ac:dyDescent="0.25">
      <c r="A4249" s="76" t="s">
        <v>553</v>
      </c>
      <c r="B4249" s="77" t="s">
        <v>5967</v>
      </c>
      <c r="C4249" s="78"/>
      <c r="D4249" s="78"/>
      <c r="E4249" s="78"/>
      <c r="F4249" s="78" t="s">
        <v>576</v>
      </c>
      <c r="G4249" s="78">
        <v>2974.32</v>
      </c>
      <c r="H4249" s="79">
        <v>4567</v>
      </c>
      <c r="I4249" s="136">
        <f t="shared" si="192"/>
        <v>13583719.440000001</v>
      </c>
      <c r="J4249" s="78"/>
      <c r="K4249" s="77" t="s">
        <v>5968</v>
      </c>
    </row>
    <row r="4250" spans="1:11" ht="41.25" customHeight="1" x14ac:dyDescent="0.25">
      <c r="A4250" s="76" t="s">
        <v>3431</v>
      </c>
      <c r="B4250" s="77" t="s">
        <v>5967</v>
      </c>
      <c r="C4250" s="78"/>
      <c r="D4250" s="78"/>
      <c r="E4250" s="78"/>
      <c r="F4250" s="78" t="s">
        <v>576</v>
      </c>
      <c r="G4250" s="78">
        <v>1124.04</v>
      </c>
      <c r="H4250" s="79">
        <v>4567</v>
      </c>
      <c r="I4250" s="136">
        <f t="shared" si="192"/>
        <v>5133490.68</v>
      </c>
      <c r="J4250" s="78"/>
      <c r="K4250" s="77" t="s">
        <v>5969</v>
      </c>
    </row>
    <row r="4251" spans="1:11" ht="41.25" customHeight="1" x14ac:dyDescent="0.25">
      <c r="A4251" s="76" t="s">
        <v>5970</v>
      </c>
      <c r="B4251" s="77" t="s">
        <v>5971</v>
      </c>
      <c r="C4251" s="78"/>
      <c r="D4251" s="78"/>
      <c r="E4251" s="78"/>
      <c r="F4251" s="78" t="s">
        <v>576</v>
      </c>
      <c r="G4251" s="78">
        <v>921</v>
      </c>
      <c r="H4251" s="79"/>
      <c r="I4251" s="136">
        <f t="shared" si="192"/>
        <v>0</v>
      </c>
      <c r="J4251" s="78"/>
      <c r="K4251" s="77" t="s">
        <v>5969</v>
      </c>
    </row>
    <row r="4252" spans="1:11" ht="41.25" customHeight="1" x14ac:dyDescent="0.25">
      <c r="A4252" s="76" t="s">
        <v>5972</v>
      </c>
      <c r="B4252" s="77" t="s">
        <v>5973</v>
      </c>
      <c r="C4252" s="78"/>
      <c r="D4252" s="78"/>
      <c r="E4252" s="78" t="s">
        <v>5363</v>
      </c>
      <c r="F4252" s="78" t="s">
        <v>315</v>
      </c>
      <c r="G4252" s="78">
        <v>11.7056</v>
      </c>
      <c r="H4252" s="79">
        <v>8500</v>
      </c>
      <c r="I4252" s="136">
        <f t="shared" si="192"/>
        <v>99497.600000000006</v>
      </c>
      <c r="J4252" s="78"/>
      <c r="K4252" s="77" t="s">
        <v>5974</v>
      </c>
    </row>
    <row r="4253" spans="1:11" ht="41.25" customHeight="1" x14ac:dyDescent="0.25">
      <c r="A4253" s="76" t="s">
        <v>5975</v>
      </c>
      <c r="B4253" s="77" t="s">
        <v>5976</v>
      </c>
      <c r="C4253" s="78"/>
      <c r="D4253" s="78"/>
      <c r="E4253" s="78"/>
      <c r="F4253" s="78" t="s">
        <v>78</v>
      </c>
      <c r="G4253" s="78">
        <v>248</v>
      </c>
      <c r="H4253" s="79">
        <v>600</v>
      </c>
      <c r="I4253" s="136">
        <f t="shared" si="192"/>
        <v>148800</v>
      </c>
      <c r="J4253" s="78"/>
      <c r="K4253" s="77" t="s">
        <v>5977</v>
      </c>
    </row>
    <row r="4254" spans="1:11" ht="41.25" customHeight="1" x14ac:dyDescent="0.25">
      <c r="A4254" s="76" t="s">
        <v>5978</v>
      </c>
      <c r="B4254" s="77" t="s">
        <v>5979</v>
      </c>
      <c r="C4254" s="78"/>
      <c r="D4254" s="78"/>
      <c r="E4254" s="78" t="s">
        <v>14</v>
      </c>
      <c r="F4254" s="78" t="s">
        <v>315</v>
      </c>
      <c r="G4254" s="78">
        <v>63</v>
      </c>
      <c r="H4254" s="79">
        <v>4000</v>
      </c>
      <c r="I4254" s="136">
        <f t="shared" si="192"/>
        <v>252000</v>
      </c>
      <c r="J4254" s="78"/>
      <c r="K4254" s="77" t="s">
        <v>5980</v>
      </c>
    </row>
    <row r="4255" spans="1:11" ht="41.25" customHeight="1" x14ac:dyDescent="0.25">
      <c r="A4255" s="76" t="s">
        <v>5981</v>
      </c>
      <c r="B4255" s="77" t="s">
        <v>5982</v>
      </c>
      <c r="C4255" s="78"/>
      <c r="D4255" s="78"/>
      <c r="E4255" s="78" t="s">
        <v>5626</v>
      </c>
      <c r="F4255" s="78" t="s">
        <v>158</v>
      </c>
      <c r="G4255" s="78">
        <v>101.8</v>
      </c>
      <c r="H4255" s="79">
        <v>2013</v>
      </c>
      <c r="I4255" s="136">
        <f t="shared" si="192"/>
        <v>204923.4</v>
      </c>
      <c r="J4255" s="78"/>
      <c r="K4255" s="77" t="s">
        <v>5980</v>
      </c>
    </row>
    <row r="4256" spans="1:11" ht="41.25" customHeight="1" x14ac:dyDescent="0.25">
      <c r="A4256" s="76" t="s">
        <v>3434</v>
      </c>
      <c r="B4256" s="77" t="s">
        <v>5983</v>
      </c>
      <c r="C4256" s="78"/>
      <c r="D4256" s="78"/>
      <c r="E4256" s="78" t="s">
        <v>5626</v>
      </c>
      <c r="F4256" s="78" t="s">
        <v>158</v>
      </c>
      <c r="G4256" s="78">
        <v>264.68</v>
      </c>
      <c r="H4256" s="79">
        <v>705</v>
      </c>
      <c r="I4256" s="136">
        <f t="shared" si="192"/>
        <v>186599.4</v>
      </c>
      <c r="J4256" s="78"/>
      <c r="K4256" s="77" t="s">
        <v>5980</v>
      </c>
    </row>
    <row r="4257" spans="1:11" ht="41.25" customHeight="1" x14ac:dyDescent="0.25">
      <c r="A4257" s="76" t="s">
        <v>3437</v>
      </c>
      <c r="B4257" s="77" t="s">
        <v>5984</v>
      </c>
      <c r="C4257" s="78"/>
      <c r="D4257" s="78"/>
      <c r="E4257" s="78"/>
      <c r="F4257" s="78" t="s">
        <v>576</v>
      </c>
      <c r="G4257" s="78">
        <v>507.5</v>
      </c>
      <c r="H4257" s="79">
        <v>3000</v>
      </c>
      <c r="I4257" s="136">
        <f t="shared" si="192"/>
        <v>1522500</v>
      </c>
      <c r="J4257" s="78"/>
      <c r="K4257" s="77" t="s">
        <v>5980</v>
      </c>
    </row>
    <row r="4258" spans="1:11" ht="41.25" customHeight="1" x14ac:dyDescent="0.25">
      <c r="A4258" s="76" t="s">
        <v>5985</v>
      </c>
      <c r="B4258" s="77" t="s">
        <v>5986</v>
      </c>
      <c r="C4258" s="78"/>
      <c r="D4258" s="78"/>
      <c r="E4258" s="78"/>
      <c r="F4258" s="78" t="s">
        <v>576</v>
      </c>
      <c r="G4258" s="78">
        <v>61</v>
      </c>
      <c r="H4258" s="79"/>
      <c r="I4258" s="136">
        <f t="shared" si="192"/>
        <v>0</v>
      </c>
      <c r="J4258" s="78"/>
      <c r="K4258" s="77" t="s">
        <v>5987</v>
      </c>
    </row>
    <row r="4259" spans="1:11" ht="41.25" customHeight="1" x14ac:dyDescent="0.25">
      <c r="A4259" s="76" t="s">
        <v>5988</v>
      </c>
      <c r="B4259" s="77" t="s">
        <v>5989</v>
      </c>
      <c r="C4259" s="78"/>
      <c r="D4259" s="78"/>
      <c r="E4259" s="78" t="s">
        <v>5363</v>
      </c>
      <c r="F4259" s="78" t="s">
        <v>1878</v>
      </c>
      <c r="G4259" s="78">
        <v>3.1110000000000002</v>
      </c>
      <c r="H4259" s="79"/>
      <c r="I4259" s="136">
        <f t="shared" si="192"/>
        <v>0</v>
      </c>
      <c r="J4259" s="78"/>
      <c r="K4259" s="77" t="s">
        <v>5987</v>
      </c>
    </row>
    <row r="4260" spans="1:11" ht="15.75" customHeight="1" x14ac:dyDescent="0.25">
      <c r="A4260" s="147" t="s">
        <v>5990</v>
      </c>
      <c r="B4260" s="147"/>
      <c r="C4260" s="147"/>
      <c r="D4260" s="147"/>
      <c r="E4260" s="147"/>
      <c r="F4260" s="147"/>
      <c r="G4260" s="147"/>
      <c r="H4260" s="147"/>
      <c r="I4260" s="147"/>
      <c r="J4260" s="147"/>
      <c r="K4260" s="147"/>
    </row>
    <row r="4261" spans="1:11" ht="54" customHeight="1" x14ac:dyDescent="0.25">
      <c r="A4261" s="76" t="s">
        <v>20</v>
      </c>
      <c r="B4261" s="77" t="s">
        <v>5991</v>
      </c>
      <c r="C4261" s="78"/>
      <c r="D4261" s="78"/>
      <c r="E4261" s="78"/>
      <c r="F4261" s="78" t="s">
        <v>158</v>
      </c>
      <c r="G4261" s="78">
        <v>295.38</v>
      </c>
      <c r="H4261" s="79">
        <v>350</v>
      </c>
      <c r="I4261" s="136">
        <f t="shared" ref="I4261:I4292" si="193">H4261*G4261</f>
        <v>103383</v>
      </c>
      <c r="J4261" s="78"/>
      <c r="K4261" s="77" t="s">
        <v>5992</v>
      </c>
    </row>
    <row r="4262" spans="1:11" ht="54" customHeight="1" x14ac:dyDescent="0.25">
      <c r="A4262" s="76" t="s">
        <v>5663</v>
      </c>
      <c r="B4262" s="77" t="s">
        <v>5993</v>
      </c>
      <c r="C4262" s="78"/>
      <c r="D4262" s="78"/>
      <c r="E4262" s="78"/>
      <c r="F4262" s="78" t="s">
        <v>78</v>
      </c>
      <c r="G4262" s="78">
        <v>3</v>
      </c>
      <c r="H4262" s="79">
        <v>16800</v>
      </c>
      <c r="I4262" s="136">
        <f t="shared" si="193"/>
        <v>50400</v>
      </c>
      <c r="J4262" s="78"/>
      <c r="K4262" s="77" t="s">
        <v>5994</v>
      </c>
    </row>
    <row r="4263" spans="1:11" ht="54" customHeight="1" x14ac:dyDescent="0.25">
      <c r="A4263" s="76" t="s">
        <v>5595</v>
      </c>
      <c r="B4263" s="77" t="s">
        <v>5995</v>
      </c>
      <c r="C4263" s="78"/>
      <c r="D4263" s="78"/>
      <c r="E4263" s="78"/>
      <c r="F4263" s="78" t="s">
        <v>78</v>
      </c>
      <c r="G4263" s="78">
        <v>3</v>
      </c>
      <c r="H4263" s="79">
        <v>30880</v>
      </c>
      <c r="I4263" s="136">
        <f t="shared" si="193"/>
        <v>92640</v>
      </c>
      <c r="J4263" s="78"/>
      <c r="K4263" s="77" t="s">
        <v>5994</v>
      </c>
    </row>
    <row r="4264" spans="1:11" ht="54" customHeight="1" x14ac:dyDescent="0.25">
      <c r="A4264" s="76" t="s">
        <v>5666</v>
      </c>
      <c r="B4264" s="77" t="s">
        <v>5996</v>
      </c>
      <c r="C4264" s="78"/>
      <c r="D4264" s="78"/>
      <c r="E4264" s="78"/>
      <c r="F4264" s="78" t="s">
        <v>78</v>
      </c>
      <c r="G4264" s="78">
        <v>4</v>
      </c>
      <c r="H4264" s="79">
        <v>11850</v>
      </c>
      <c r="I4264" s="136">
        <f t="shared" si="193"/>
        <v>47400</v>
      </c>
      <c r="J4264" s="78"/>
      <c r="K4264" s="77" t="s">
        <v>5994</v>
      </c>
    </row>
    <row r="4265" spans="1:11" ht="54" customHeight="1" x14ac:dyDescent="0.25">
      <c r="A4265" s="76" t="s">
        <v>5946</v>
      </c>
      <c r="B4265" s="77" t="s">
        <v>5997</v>
      </c>
      <c r="C4265" s="78"/>
      <c r="D4265" s="78"/>
      <c r="E4265" s="78"/>
      <c r="F4265" s="78" t="s">
        <v>78</v>
      </c>
      <c r="G4265" s="78">
        <v>22</v>
      </c>
      <c r="H4265" s="79"/>
      <c r="I4265" s="136">
        <f t="shared" si="193"/>
        <v>0</v>
      </c>
      <c r="J4265" s="78"/>
      <c r="K4265" s="77" t="s">
        <v>5994</v>
      </c>
    </row>
    <row r="4266" spans="1:11" ht="54" customHeight="1" x14ac:dyDescent="0.25">
      <c r="A4266" s="76" t="s">
        <v>34</v>
      </c>
      <c r="B4266" s="77" t="s">
        <v>5998</v>
      </c>
      <c r="C4266" s="78"/>
      <c r="D4266" s="78"/>
      <c r="E4266" s="78"/>
      <c r="F4266" s="78" t="s">
        <v>78</v>
      </c>
      <c r="G4266" s="78">
        <v>39</v>
      </c>
      <c r="H4266" s="79"/>
      <c r="I4266" s="136">
        <f t="shared" si="193"/>
        <v>0</v>
      </c>
      <c r="J4266" s="78"/>
      <c r="K4266" s="77" t="s">
        <v>5994</v>
      </c>
    </row>
    <row r="4267" spans="1:11" ht="54" customHeight="1" x14ac:dyDescent="0.25">
      <c r="A4267" s="76" t="s">
        <v>5603</v>
      </c>
      <c r="B4267" s="77" t="s">
        <v>5999</v>
      </c>
      <c r="C4267" s="78"/>
      <c r="D4267" s="78"/>
      <c r="E4267" s="78"/>
      <c r="F4267" s="78" t="s">
        <v>78</v>
      </c>
      <c r="G4267" s="78">
        <v>8</v>
      </c>
      <c r="H4267" s="79">
        <v>4190</v>
      </c>
      <c r="I4267" s="136">
        <f t="shared" si="193"/>
        <v>33520</v>
      </c>
      <c r="J4267" s="78"/>
      <c r="K4267" s="77" t="s">
        <v>6000</v>
      </c>
    </row>
    <row r="4268" spans="1:11" ht="54" customHeight="1" x14ac:dyDescent="0.25">
      <c r="A4268" s="76" t="s">
        <v>5697</v>
      </c>
      <c r="B4268" s="77" t="s">
        <v>6001</v>
      </c>
      <c r="C4268" s="78"/>
      <c r="D4268" s="78"/>
      <c r="E4268" s="78"/>
      <c r="F4268" s="78" t="s">
        <v>78</v>
      </c>
      <c r="G4268" s="78">
        <v>6</v>
      </c>
      <c r="H4268" s="79">
        <v>4240</v>
      </c>
      <c r="I4268" s="136">
        <f t="shared" si="193"/>
        <v>25440</v>
      </c>
      <c r="J4268" s="78"/>
      <c r="K4268" s="77" t="s">
        <v>6000</v>
      </c>
    </row>
    <row r="4269" spans="1:11" ht="54" customHeight="1" x14ac:dyDescent="0.25">
      <c r="A4269" s="76" t="s">
        <v>27</v>
      </c>
      <c r="B4269" s="77" t="s">
        <v>6002</v>
      </c>
      <c r="C4269" s="78"/>
      <c r="D4269" s="78"/>
      <c r="E4269" s="78"/>
      <c r="F4269" s="78" t="s">
        <v>78</v>
      </c>
      <c r="G4269" s="78">
        <v>12</v>
      </c>
      <c r="H4269" s="79">
        <v>1200</v>
      </c>
      <c r="I4269" s="136">
        <f t="shared" si="193"/>
        <v>14400</v>
      </c>
      <c r="J4269" s="78"/>
      <c r="K4269" s="77" t="s">
        <v>6000</v>
      </c>
    </row>
    <row r="4270" spans="1:11" ht="54" customHeight="1" x14ac:dyDescent="0.25">
      <c r="A4270" s="76" t="s">
        <v>23</v>
      </c>
      <c r="B4270" s="77" t="s">
        <v>6003</v>
      </c>
      <c r="C4270" s="78"/>
      <c r="D4270" s="78"/>
      <c r="E4270" s="78"/>
      <c r="F4270" s="78" t="s">
        <v>78</v>
      </c>
      <c r="G4270" s="78">
        <v>26</v>
      </c>
      <c r="H4270" s="79">
        <v>5800</v>
      </c>
      <c r="I4270" s="136">
        <f t="shared" si="193"/>
        <v>150800</v>
      </c>
      <c r="J4270" s="78"/>
      <c r="K4270" s="77" t="s">
        <v>6000</v>
      </c>
    </row>
    <row r="4271" spans="1:11" ht="54" customHeight="1" x14ac:dyDescent="0.25">
      <c r="A4271" s="76" t="s">
        <v>5611</v>
      </c>
      <c r="B4271" s="77" t="s">
        <v>6004</v>
      </c>
      <c r="C4271" s="78"/>
      <c r="D4271" s="78"/>
      <c r="E4271" s="78"/>
      <c r="F4271" s="78" t="s">
        <v>78</v>
      </c>
      <c r="G4271" s="78">
        <v>108</v>
      </c>
      <c r="H4271" s="79"/>
      <c r="I4271" s="136">
        <f t="shared" si="193"/>
        <v>0</v>
      </c>
      <c r="J4271" s="78"/>
      <c r="K4271" s="77" t="s">
        <v>6000</v>
      </c>
    </row>
    <row r="4272" spans="1:11" ht="54" customHeight="1" x14ac:dyDescent="0.25">
      <c r="A4272" s="76" t="s">
        <v>12</v>
      </c>
      <c r="B4272" s="77" t="s">
        <v>6005</v>
      </c>
      <c r="C4272" s="78"/>
      <c r="D4272" s="78"/>
      <c r="E4272" s="78"/>
      <c r="F4272" s="78" t="s">
        <v>78</v>
      </c>
      <c r="G4272" s="78">
        <v>12</v>
      </c>
      <c r="H4272" s="79"/>
      <c r="I4272" s="136">
        <f t="shared" si="193"/>
        <v>0</v>
      </c>
      <c r="J4272" s="78"/>
      <c r="K4272" s="77" t="s">
        <v>6006</v>
      </c>
    </row>
    <row r="4273" spans="1:11" ht="54" customHeight="1" x14ac:dyDescent="0.25">
      <c r="A4273" s="76" t="s">
        <v>5621</v>
      </c>
      <c r="B4273" s="77" t="s">
        <v>6007</v>
      </c>
      <c r="C4273" s="78"/>
      <c r="D4273" s="78"/>
      <c r="E4273" s="78"/>
      <c r="F4273" s="78" t="s">
        <v>78</v>
      </c>
      <c r="G4273" s="78">
        <v>72</v>
      </c>
      <c r="H4273" s="79"/>
      <c r="I4273" s="136">
        <f t="shared" si="193"/>
        <v>0</v>
      </c>
      <c r="J4273" s="78"/>
      <c r="K4273" s="77" t="s">
        <v>6008</v>
      </c>
    </row>
    <row r="4274" spans="1:11" ht="54" customHeight="1" x14ac:dyDescent="0.25">
      <c r="A4274" s="76" t="s">
        <v>5957</v>
      </c>
      <c r="B4274" s="77" t="s">
        <v>6009</v>
      </c>
      <c r="C4274" s="78"/>
      <c r="D4274" s="78"/>
      <c r="E4274" s="78"/>
      <c r="F4274" s="78" t="s">
        <v>78</v>
      </c>
      <c r="G4274" s="78">
        <v>12</v>
      </c>
      <c r="H4274" s="79"/>
      <c r="I4274" s="136">
        <f t="shared" si="193"/>
        <v>0</v>
      </c>
      <c r="J4274" s="78"/>
      <c r="K4274" s="77" t="s">
        <v>6008</v>
      </c>
    </row>
    <row r="4275" spans="1:11" ht="54" customHeight="1" x14ac:dyDescent="0.25">
      <c r="A4275" s="76" t="s">
        <v>5624</v>
      </c>
      <c r="B4275" s="77" t="s">
        <v>6010</v>
      </c>
      <c r="C4275" s="78"/>
      <c r="D4275" s="78"/>
      <c r="E4275" s="78"/>
      <c r="F4275" s="78" t="s">
        <v>78</v>
      </c>
      <c r="G4275" s="78">
        <v>15</v>
      </c>
      <c r="H4275" s="79"/>
      <c r="I4275" s="136">
        <f t="shared" si="193"/>
        <v>0</v>
      </c>
      <c r="J4275" s="78"/>
      <c r="K4275" s="77" t="s">
        <v>6008</v>
      </c>
    </row>
    <row r="4276" spans="1:11" ht="54" customHeight="1" x14ac:dyDescent="0.25">
      <c r="A4276" s="76" t="s">
        <v>29</v>
      </c>
      <c r="B4276" s="77" t="s">
        <v>6011</v>
      </c>
      <c r="C4276" s="78"/>
      <c r="D4276" s="78"/>
      <c r="E4276" s="78"/>
      <c r="F4276" s="78" t="s">
        <v>78</v>
      </c>
      <c r="G4276" s="78">
        <v>147</v>
      </c>
      <c r="H4276" s="79"/>
      <c r="I4276" s="136">
        <f t="shared" si="193"/>
        <v>0</v>
      </c>
      <c r="J4276" s="78"/>
      <c r="K4276" s="77" t="s">
        <v>6008</v>
      </c>
    </row>
    <row r="4277" spans="1:11" ht="54" customHeight="1" x14ac:dyDescent="0.25">
      <c r="A4277" s="76" t="s">
        <v>38</v>
      </c>
      <c r="B4277" s="77" t="s">
        <v>6012</v>
      </c>
      <c r="C4277" s="78"/>
      <c r="D4277" s="78"/>
      <c r="E4277" s="78"/>
      <c r="F4277" s="78" t="s">
        <v>78</v>
      </c>
      <c r="G4277" s="78">
        <v>153</v>
      </c>
      <c r="H4277" s="79"/>
      <c r="I4277" s="136">
        <f t="shared" si="193"/>
        <v>0</v>
      </c>
      <c r="J4277" s="78"/>
      <c r="K4277" s="77" t="s">
        <v>6008</v>
      </c>
    </row>
    <row r="4278" spans="1:11" ht="54" customHeight="1" x14ac:dyDescent="0.25">
      <c r="A4278" s="76" t="s">
        <v>5708</v>
      </c>
      <c r="B4278" s="77" t="s">
        <v>6013</v>
      </c>
      <c r="C4278" s="78"/>
      <c r="D4278" s="78"/>
      <c r="E4278" s="78"/>
      <c r="F4278" s="78" t="s">
        <v>78</v>
      </c>
      <c r="G4278" s="78">
        <v>280</v>
      </c>
      <c r="H4278" s="79"/>
      <c r="I4278" s="136">
        <f t="shared" si="193"/>
        <v>0</v>
      </c>
      <c r="J4278" s="78"/>
      <c r="K4278" s="77" t="s">
        <v>6014</v>
      </c>
    </row>
    <row r="4279" spans="1:11" ht="54" customHeight="1" x14ac:dyDescent="0.25">
      <c r="A4279" s="76" t="s">
        <v>24</v>
      </c>
      <c r="B4279" s="77" t="s">
        <v>6015</v>
      </c>
      <c r="C4279" s="78"/>
      <c r="D4279" s="78"/>
      <c r="E4279" s="78"/>
      <c r="F4279" s="78" t="s">
        <v>78</v>
      </c>
      <c r="G4279" s="78">
        <v>210</v>
      </c>
      <c r="H4279" s="79"/>
      <c r="I4279" s="136">
        <f t="shared" si="193"/>
        <v>0</v>
      </c>
      <c r="J4279" s="78"/>
      <c r="K4279" s="77" t="s">
        <v>6016</v>
      </c>
    </row>
    <row r="4280" spans="1:11" ht="54" customHeight="1" x14ac:dyDescent="0.25">
      <c r="A4280" s="76" t="s">
        <v>5711</v>
      </c>
      <c r="B4280" s="77" t="s">
        <v>6017</v>
      </c>
      <c r="C4280" s="78"/>
      <c r="D4280" s="78"/>
      <c r="E4280" s="78" t="s">
        <v>14</v>
      </c>
      <c r="F4280" s="78" t="s">
        <v>1878</v>
      </c>
      <c r="G4280" s="78">
        <v>9</v>
      </c>
      <c r="H4280" s="79">
        <v>4000</v>
      </c>
      <c r="I4280" s="136">
        <f t="shared" si="193"/>
        <v>36000</v>
      </c>
      <c r="J4280" s="78"/>
      <c r="K4280" s="77" t="s">
        <v>6016</v>
      </c>
    </row>
    <row r="4281" spans="1:11" ht="54" customHeight="1" x14ac:dyDescent="0.25">
      <c r="A4281" s="76" t="s">
        <v>5713</v>
      </c>
      <c r="B4281" s="77" t="s">
        <v>6018</v>
      </c>
      <c r="C4281" s="78"/>
      <c r="D4281" s="78"/>
      <c r="E4281" s="78" t="s">
        <v>14</v>
      </c>
      <c r="F4281" s="78" t="s">
        <v>315</v>
      </c>
      <c r="G4281" s="78">
        <v>6.3</v>
      </c>
      <c r="H4281" s="79">
        <v>4000</v>
      </c>
      <c r="I4281" s="136">
        <f t="shared" si="193"/>
        <v>25200</v>
      </c>
      <c r="J4281" s="78"/>
      <c r="K4281" s="77" t="s">
        <v>6016</v>
      </c>
    </row>
    <row r="4282" spans="1:11" ht="54" customHeight="1" x14ac:dyDescent="0.25">
      <c r="A4282" s="76" t="s">
        <v>6019</v>
      </c>
      <c r="B4282" s="77" t="s">
        <v>6020</v>
      </c>
      <c r="C4282" s="78"/>
      <c r="D4282" s="78"/>
      <c r="E4282" s="78"/>
      <c r="F4282" s="78" t="s">
        <v>78</v>
      </c>
      <c r="G4282" s="78">
        <v>1</v>
      </c>
      <c r="H4282" s="79">
        <v>1091123</v>
      </c>
      <c r="I4282" s="136">
        <f t="shared" si="193"/>
        <v>1091123</v>
      </c>
      <c r="J4282" s="78"/>
      <c r="K4282" s="77" t="s">
        <v>6016</v>
      </c>
    </row>
    <row r="4283" spans="1:11" ht="54" customHeight="1" x14ac:dyDescent="0.25">
      <c r="A4283" s="76" t="s">
        <v>2517</v>
      </c>
      <c r="B4283" s="77" t="s">
        <v>6021</v>
      </c>
      <c r="C4283" s="78"/>
      <c r="D4283" s="78"/>
      <c r="E4283" s="78"/>
      <c r="F4283" s="78" t="s">
        <v>78</v>
      </c>
      <c r="G4283" s="78">
        <v>20</v>
      </c>
      <c r="H4283" s="79">
        <v>45000</v>
      </c>
      <c r="I4283" s="136">
        <f t="shared" si="193"/>
        <v>900000</v>
      </c>
      <c r="J4283" s="78"/>
      <c r="K4283" s="77" t="s">
        <v>6016</v>
      </c>
    </row>
    <row r="4284" spans="1:11" ht="54" customHeight="1" x14ac:dyDescent="0.25">
      <c r="A4284" s="76" t="s">
        <v>6022</v>
      </c>
      <c r="B4284" s="77" t="s">
        <v>6023</v>
      </c>
      <c r="C4284" s="78"/>
      <c r="D4284" s="78"/>
      <c r="E4284" s="78"/>
      <c r="F4284" s="78" t="s">
        <v>78</v>
      </c>
      <c r="G4284" s="78">
        <v>4</v>
      </c>
      <c r="H4284" s="79">
        <v>5000</v>
      </c>
      <c r="I4284" s="136">
        <f t="shared" si="193"/>
        <v>20000</v>
      </c>
      <c r="J4284" s="78"/>
      <c r="K4284" s="77" t="s">
        <v>6016</v>
      </c>
    </row>
    <row r="4285" spans="1:11" ht="54" customHeight="1" x14ac:dyDescent="0.25">
      <c r="A4285" s="76" t="s">
        <v>5590</v>
      </c>
      <c r="B4285" s="77" t="s">
        <v>6024</v>
      </c>
      <c r="C4285" s="78"/>
      <c r="D4285" s="78"/>
      <c r="E4285" s="78"/>
      <c r="F4285" s="78" t="s">
        <v>78</v>
      </c>
      <c r="G4285" s="78">
        <v>10</v>
      </c>
      <c r="H4285" s="79">
        <v>22500</v>
      </c>
      <c r="I4285" s="136">
        <f t="shared" si="193"/>
        <v>225000</v>
      </c>
      <c r="J4285" s="78"/>
      <c r="K4285" s="77" t="s">
        <v>6016</v>
      </c>
    </row>
    <row r="4286" spans="1:11" ht="54" customHeight="1" x14ac:dyDescent="0.25">
      <c r="A4286" s="76" t="s">
        <v>30</v>
      </c>
      <c r="B4286" s="77" t="s">
        <v>6025</v>
      </c>
      <c r="C4286" s="78"/>
      <c r="D4286" s="78"/>
      <c r="E4286" s="78"/>
      <c r="F4286" s="78" t="s">
        <v>78</v>
      </c>
      <c r="G4286" s="78">
        <v>2</v>
      </c>
      <c r="H4286" s="79">
        <v>185000</v>
      </c>
      <c r="I4286" s="136">
        <f t="shared" si="193"/>
        <v>370000</v>
      </c>
      <c r="J4286" s="78"/>
      <c r="K4286" s="77" t="s">
        <v>6016</v>
      </c>
    </row>
    <row r="4287" spans="1:11" ht="54" customHeight="1" x14ac:dyDescent="0.25">
      <c r="A4287" s="76" t="s">
        <v>6026</v>
      </c>
      <c r="B4287" s="77" t="s">
        <v>6027</v>
      </c>
      <c r="C4287" s="78"/>
      <c r="D4287" s="78"/>
      <c r="E4287" s="78"/>
      <c r="F4287" s="78" t="s">
        <v>78</v>
      </c>
      <c r="G4287" s="78">
        <v>7</v>
      </c>
      <c r="H4287" s="79"/>
      <c r="I4287" s="136">
        <f t="shared" si="193"/>
        <v>0</v>
      </c>
      <c r="J4287" s="78"/>
      <c r="K4287" s="77" t="s">
        <v>6016</v>
      </c>
    </row>
    <row r="4288" spans="1:11" ht="54" customHeight="1" x14ac:dyDescent="0.25">
      <c r="A4288" s="76" t="s">
        <v>6028</v>
      </c>
      <c r="B4288" s="77" t="s">
        <v>6029</v>
      </c>
      <c r="C4288" s="78"/>
      <c r="D4288" s="78"/>
      <c r="E4288" s="78"/>
      <c r="F4288" s="78" t="s">
        <v>78</v>
      </c>
      <c r="G4288" s="78">
        <v>9</v>
      </c>
      <c r="H4288" s="79"/>
      <c r="I4288" s="136">
        <f t="shared" si="193"/>
        <v>0</v>
      </c>
      <c r="J4288" s="78"/>
      <c r="K4288" s="77" t="s">
        <v>6016</v>
      </c>
    </row>
    <row r="4289" spans="1:11" ht="54" customHeight="1" x14ac:dyDescent="0.25">
      <c r="A4289" s="76" t="s">
        <v>6030</v>
      </c>
      <c r="B4289" s="77" t="s">
        <v>6031</v>
      </c>
      <c r="C4289" s="78"/>
      <c r="D4289" s="78"/>
      <c r="E4289" s="78"/>
      <c r="F4289" s="78" t="s">
        <v>78</v>
      </c>
      <c r="G4289" s="78">
        <v>15</v>
      </c>
      <c r="H4289" s="79">
        <v>63000</v>
      </c>
      <c r="I4289" s="136">
        <f t="shared" si="193"/>
        <v>945000</v>
      </c>
      <c r="J4289" s="78"/>
      <c r="K4289" s="77" t="s">
        <v>6016</v>
      </c>
    </row>
    <row r="4290" spans="1:11" ht="54" customHeight="1" x14ac:dyDescent="0.25">
      <c r="A4290" s="76" t="s">
        <v>6032</v>
      </c>
      <c r="B4290" s="77" t="s">
        <v>6033</v>
      </c>
      <c r="C4290" s="78"/>
      <c r="D4290" s="78"/>
      <c r="E4290" s="78"/>
      <c r="F4290" s="78" t="s">
        <v>78</v>
      </c>
      <c r="G4290" s="78">
        <v>2</v>
      </c>
      <c r="H4290" s="79">
        <v>50000</v>
      </c>
      <c r="I4290" s="136">
        <f t="shared" si="193"/>
        <v>100000</v>
      </c>
      <c r="J4290" s="78"/>
      <c r="K4290" s="77" t="s">
        <v>6034</v>
      </c>
    </row>
    <row r="4291" spans="1:11" ht="54" customHeight="1" x14ac:dyDescent="0.25">
      <c r="A4291" s="76" t="s">
        <v>6035</v>
      </c>
      <c r="B4291" s="77" t="s">
        <v>6036</v>
      </c>
      <c r="C4291" s="78"/>
      <c r="D4291" s="78"/>
      <c r="E4291" s="78"/>
      <c r="F4291" s="78" t="s">
        <v>78</v>
      </c>
      <c r="G4291" s="78">
        <v>3</v>
      </c>
      <c r="H4291" s="79">
        <f>525100+45000</f>
        <v>570100</v>
      </c>
      <c r="I4291" s="136">
        <f t="shared" si="193"/>
        <v>1710300</v>
      </c>
      <c r="J4291" s="78"/>
      <c r="K4291" s="77" t="s">
        <v>6034</v>
      </c>
    </row>
    <row r="4292" spans="1:11" ht="54" customHeight="1" x14ac:dyDescent="0.25">
      <c r="A4292" s="76" t="s">
        <v>5716</v>
      </c>
      <c r="B4292" s="77" t="s">
        <v>6037</v>
      </c>
      <c r="C4292" s="78"/>
      <c r="D4292" s="78"/>
      <c r="E4292" s="78"/>
      <c r="F4292" s="78" t="s">
        <v>78</v>
      </c>
      <c r="G4292" s="78">
        <v>1</v>
      </c>
      <c r="H4292" s="79">
        <v>221800</v>
      </c>
      <c r="I4292" s="136">
        <f t="shared" si="193"/>
        <v>221800</v>
      </c>
      <c r="J4292" s="78"/>
      <c r="K4292" s="77" t="s">
        <v>6034</v>
      </c>
    </row>
    <row r="4293" spans="1:11" ht="15.75" customHeight="1" x14ac:dyDescent="0.25"/>
    <row r="4294" spans="1:11" ht="15.75" customHeight="1" x14ac:dyDescent="0.25">
      <c r="A4294" s="148" t="s">
        <v>6038</v>
      </c>
      <c r="B4294" s="148"/>
      <c r="C4294" s="148"/>
      <c r="D4294" s="148"/>
      <c r="E4294" s="148"/>
      <c r="F4294" s="148"/>
      <c r="G4294" s="148"/>
      <c r="H4294" s="148"/>
      <c r="I4294" s="148"/>
      <c r="J4294" s="148"/>
      <c r="K4294" s="148"/>
    </row>
    <row r="4295" spans="1:11" ht="54" customHeight="1" x14ac:dyDescent="0.25">
      <c r="A4295" s="90" t="s">
        <v>5663</v>
      </c>
      <c r="B4295" s="91" t="s">
        <v>6039</v>
      </c>
      <c r="C4295" s="92"/>
      <c r="D4295" s="92"/>
      <c r="E4295" s="92"/>
      <c r="F4295" s="92" t="s">
        <v>576</v>
      </c>
      <c r="G4295" s="92">
        <v>47.3</v>
      </c>
      <c r="H4295" s="93"/>
      <c r="I4295" s="142">
        <f t="shared" ref="I4295:I4337" si="194">H4295*G4295</f>
        <v>0</v>
      </c>
      <c r="J4295" s="92"/>
      <c r="K4295" s="91" t="s">
        <v>6040</v>
      </c>
    </row>
    <row r="4296" spans="1:11" ht="54" customHeight="1" x14ac:dyDescent="0.25">
      <c r="A4296" s="90" t="s">
        <v>5666</v>
      </c>
      <c r="B4296" s="91" t="s">
        <v>5596</v>
      </c>
      <c r="C4296" s="92"/>
      <c r="D4296" s="92"/>
      <c r="E4296" s="92" t="s">
        <v>14</v>
      </c>
      <c r="F4296" s="92" t="s">
        <v>315</v>
      </c>
      <c r="G4296" s="92">
        <v>34.1</v>
      </c>
      <c r="H4296" s="93">
        <v>1600</v>
      </c>
      <c r="I4296" s="142">
        <f t="shared" si="194"/>
        <v>54560</v>
      </c>
      <c r="J4296" s="92"/>
      <c r="K4296" s="91" t="s">
        <v>6040</v>
      </c>
    </row>
    <row r="4297" spans="1:11" ht="54" customHeight="1" x14ac:dyDescent="0.25">
      <c r="A4297" s="90" t="s">
        <v>34</v>
      </c>
      <c r="B4297" s="91" t="s">
        <v>5596</v>
      </c>
      <c r="C4297" s="92"/>
      <c r="D4297" s="92"/>
      <c r="E4297" s="92" t="s">
        <v>14</v>
      </c>
      <c r="F4297" s="92" t="s">
        <v>315</v>
      </c>
      <c r="G4297" s="92">
        <v>119.9</v>
      </c>
      <c r="H4297" s="93">
        <v>1600</v>
      </c>
      <c r="I4297" s="142">
        <f t="shared" si="194"/>
        <v>191840</v>
      </c>
      <c r="J4297" s="92"/>
      <c r="K4297" s="91" t="s">
        <v>6040</v>
      </c>
    </row>
    <row r="4298" spans="1:11" ht="54" customHeight="1" x14ac:dyDescent="0.25">
      <c r="A4298" s="90" t="s">
        <v>5611</v>
      </c>
      <c r="B4298" s="91" t="s">
        <v>6041</v>
      </c>
      <c r="C4298" s="92"/>
      <c r="D4298" s="92"/>
      <c r="E4298" s="92"/>
      <c r="F4298" s="92" t="s">
        <v>6042</v>
      </c>
      <c r="G4298" s="92">
        <v>88</v>
      </c>
      <c r="H4298" s="93"/>
      <c r="I4298" s="142">
        <f t="shared" si="194"/>
        <v>0</v>
      </c>
      <c r="J4298" s="92"/>
      <c r="K4298" s="91" t="s">
        <v>6043</v>
      </c>
    </row>
    <row r="4299" spans="1:11" ht="54" customHeight="1" x14ac:dyDescent="0.25">
      <c r="A4299" s="90" t="s">
        <v>5618</v>
      </c>
      <c r="B4299" s="91" t="s">
        <v>6039</v>
      </c>
      <c r="C4299" s="92"/>
      <c r="D4299" s="92"/>
      <c r="E4299" s="92"/>
      <c r="F4299" s="92" t="s">
        <v>576</v>
      </c>
      <c r="G4299" s="92">
        <v>456.5</v>
      </c>
      <c r="H4299" s="93"/>
      <c r="I4299" s="142">
        <f t="shared" si="194"/>
        <v>0</v>
      </c>
      <c r="J4299" s="92"/>
      <c r="K4299" s="91" t="s">
        <v>6044</v>
      </c>
    </row>
    <row r="4300" spans="1:11" ht="54" customHeight="1" x14ac:dyDescent="0.25">
      <c r="A4300" s="90" t="s">
        <v>5621</v>
      </c>
      <c r="B4300" s="91" t="s">
        <v>5596</v>
      </c>
      <c r="C4300" s="92"/>
      <c r="D4300" s="92"/>
      <c r="E4300" s="92" t="s">
        <v>14</v>
      </c>
      <c r="F4300" s="92" t="s">
        <v>315</v>
      </c>
      <c r="G4300" s="92">
        <v>172.7</v>
      </c>
      <c r="H4300" s="93">
        <v>1600</v>
      </c>
      <c r="I4300" s="142">
        <f t="shared" si="194"/>
        <v>276320</v>
      </c>
      <c r="J4300" s="92"/>
      <c r="K4300" s="91" t="s">
        <v>6044</v>
      </c>
    </row>
    <row r="4301" spans="1:11" ht="54" customHeight="1" x14ac:dyDescent="0.25">
      <c r="A4301" s="90" t="s">
        <v>5624</v>
      </c>
      <c r="B4301" s="91" t="s">
        <v>5596</v>
      </c>
      <c r="C4301" s="92"/>
      <c r="D4301" s="92"/>
      <c r="E4301" s="92" t="s">
        <v>14</v>
      </c>
      <c r="F4301" s="92" t="s">
        <v>315</v>
      </c>
      <c r="G4301" s="92">
        <v>603.9</v>
      </c>
      <c r="H4301" s="93">
        <v>1600</v>
      </c>
      <c r="I4301" s="142">
        <f t="shared" si="194"/>
        <v>966240</v>
      </c>
      <c r="J4301" s="92"/>
      <c r="K4301" s="91" t="s">
        <v>6045</v>
      </c>
    </row>
    <row r="4302" spans="1:11" ht="54" customHeight="1" x14ac:dyDescent="0.25">
      <c r="A4302" s="90" t="s">
        <v>5711</v>
      </c>
      <c r="B4302" s="91" t="s">
        <v>6039</v>
      </c>
      <c r="C4302" s="92"/>
      <c r="D4302" s="92"/>
      <c r="E4302" s="92"/>
      <c r="F4302" s="92" t="s">
        <v>576</v>
      </c>
      <c r="G4302" s="92">
        <v>38.192</v>
      </c>
      <c r="H4302" s="93"/>
      <c r="I4302" s="142">
        <f t="shared" si="194"/>
        <v>0</v>
      </c>
      <c r="J4302" s="92"/>
      <c r="K4302" s="91" t="s">
        <v>6046</v>
      </c>
    </row>
    <row r="4303" spans="1:11" ht="54" customHeight="1" x14ac:dyDescent="0.25">
      <c r="A4303" s="90" t="s">
        <v>6019</v>
      </c>
      <c r="B4303" s="91" t="s">
        <v>6047</v>
      </c>
      <c r="C4303" s="92"/>
      <c r="D4303" s="92"/>
      <c r="E4303" s="92" t="s">
        <v>14</v>
      </c>
      <c r="F4303" s="92" t="s">
        <v>315</v>
      </c>
      <c r="G4303" s="92">
        <v>2.875</v>
      </c>
      <c r="H4303" s="93">
        <v>4000</v>
      </c>
      <c r="I4303" s="142">
        <f t="shared" si="194"/>
        <v>11500</v>
      </c>
      <c r="J4303" s="92"/>
      <c r="K4303" s="91" t="s">
        <v>6045</v>
      </c>
    </row>
    <row r="4304" spans="1:11" ht="54" customHeight="1" x14ac:dyDescent="0.25">
      <c r="A4304" s="90" t="s">
        <v>5663</v>
      </c>
      <c r="B4304" s="91" t="s">
        <v>6039</v>
      </c>
      <c r="C4304" s="92"/>
      <c r="D4304" s="92"/>
      <c r="E4304" s="92"/>
      <c r="F4304" s="92" t="s">
        <v>576</v>
      </c>
      <c r="G4304" s="92">
        <v>371.58</v>
      </c>
      <c r="H4304" s="93"/>
      <c r="I4304" s="142">
        <f t="shared" si="194"/>
        <v>0</v>
      </c>
      <c r="J4304" s="92"/>
      <c r="K4304" s="91" t="s">
        <v>6048</v>
      </c>
    </row>
    <row r="4305" spans="1:11" ht="54" customHeight="1" x14ac:dyDescent="0.25">
      <c r="A4305" s="90" t="s">
        <v>5666</v>
      </c>
      <c r="B4305" s="91" t="s">
        <v>5596</v>
      </c>
      <c r="C4305" s="92"/>
      <c r="D4305" s="92"/>
      <c r="E4305" s="92" t="s">
        <v>14</v>
      </c>
      <c r="F4305" s="92" t="s">
        <v>315</v>
      </c>
      <c r="G4305" s="92">
        <v>161.69999999999999</v>
      </c>
      <c r="H4305" s="93">
        <v>1600</v>
      </c>
      <c r="I4305" s="142">
        <f t="shared" si="194"/>
        <v>258719.99999999997</v>
      </c>
      <c r="J4305" s="92"/>
      <c r="K4305" s="91" t="s">
        <v>6048</v>
      </c>
    </row>
    <row r="4306" spans="1:11" ht="54" customHeight="1" x14ac:dyDescent="0.25">
      <c r="A4306" s="90" t="s">
        <v>34</v>
      </c>
      <c r="B4306" s="91" t="s">
        <v>5596</v>
      </c>
      <c r="C4306" s="92"/>
      <c r="D4306" s="92"/>
      <c r="E4306" s="92" t="s">
        <v>14</v>
      </c>
      <c r="F4306" s="92" t="s">
        <v>315</v>
      </c>
      <c r="G4306" s="92">
        <v>525.79999999999995</v>
      </c>
      <c r="H4306" s="93">
        <v>1600</v>
      </c>
      <c r="I4306" s="142">
        <f t="shared" si="194"/>
        <v>841279.99999999988</v>
      </c>
      <c r="J4306" s="92"/>
      <c r="K4306" s="91" t="s">
        <v>6048</v>
      </c>
    </row>
    <row r="4307" spans="1:11" ht="54" customHeight="1" x14ac:dyDescent="0.25">
      <c r="A4307" s="90" t="s">
        <v>5611</v>
      </c>
      <c r="B4307" s="91" t="s">
        <v>6039</v>
      </c>
      <c r="C4307" s="92"/>
      <c r="D4307" s="92"/>
      <c r="E4307" s="92"/>
      <c r="F4307" s="92" t="s">
        <v>576</v>
      </c>
      <c r="G4307" s="92">
        <v>64.02</v>
      </c>
      <c r="H4307" s="93"/>
      <c r="I4307" s="142">
        <f t="shared" si="194"/>
        <v>0</v>
      </c>
      <c r="J4307" s="92"/>
      <c r="K4307" s="91" t="s">
        <v>6049</v>
      </c>
    </row>
    <row r="4308" spans="1:11" ht="54" customHeight="1" x14ac:dyDescent="0.25">
      <c r="A4308" s="90" t="s">
        <v>5618</v>
      </c>
      <c r="B4308" s="91" t="s">
        <v>6047</v>
      </c>
      <c r="C4308" s="92"/>
      <c r="D4308" s="92"/>
      <c r="E4308" s="92" t="s">
        <v>14</v>
      </c>
      <c r="F4308" s="92" t="s">
        <v>315</v>
      </c>
      <c r="G4308" s="92">
        <v>3.5</v>
      </c>
      <c r="H4308" s="93">
        <v>4000</v>
      </c>
      <c r="I4308" s="142">
        <f t="shared" si="194"/>
        <v>14000</v>
      </c>
      <c r="J4308" s="92"/>
      <c r="K4308" s="91" t="s">
        <v>6049</v>
      </c>
    </row>
    <row r="4309" spans="1:11" ht="54" customHeight="1" x14ac:dyDescent="0.25">
      <c r="A4309" s="90" t="s">
        <v>38</v>
      </c>
      <c r="B4309" s="91" t="s">
        <v>6041</v>
      </c>
      <c r="C4309" s="92"/>
      <c r="D4309" s="92"/>
      <c r="E4309" s="92"/>
      <c r="F4309" s="92" t="s">
        <v>6042</v>
      </c>
      <c r="G4309" s="92">
        <v>132</v>
      </c>
      <c r="H4309" s="93"/>
      <c r="I4309" s="142">
        <f t="shared" si="194"/>
        <v>0</v>
      </c>
      <c r="J4309" s="92"/>
      <c r="K4309" s="91" t="s">
        <v>6050</v>
      </c>
    </row>
    <row r="4310" spans="1:11" ht="54" customHeight="1" x14ac:dyDescent="0.25">
      <c r="A4310" s="90" t="s">
        <v>6051</v>
      </c>
      <c r="B4310" s="91" t="s">
        <v>6039</v>
      </c>
      <c r="C4310" s="92"/>
      <c r="D4310" s="92"/>
      <c r="E4310" s="92"/>
      <c r="F4310" s="92" t="s">
        <v>576</v>
      </c>
      <c r="G4310" s="92">
        <v>255.86</v>
      </c>
      <c r="H4310" s="93"/>
      <c r="I4310" s="142">
        <f t="shared" si="194"/>
        <v>0</v>
      </c>
      <c r="J4310" s="92"/>
      <c r="K4310" s="91" t="s">
        <v>6048</v>
      </c>
    </row>
    <row r="4311" spans="1:11" ht="54" customHeight="1" x14ac:dyDescent="0.25">
      <c r="A4311" s="90" t="s">
        <v>6052</v>
      </c>
      <c r="B4311" s="91" t="s">
        <v>5596</v>
      </c>
      <c r="C4311" s="92"/>
      <c r="D4311" s="92"/>
      <c r="E4311" s="92" t="s">
        <v>14</v>
      </c>
      <c r="F4311" s="92" t="s">
        <v>315</v>
      </c>
      <c r="G4311" s="92">
        <v>73.7</v>
      </c>
      <c r="H4311" s="93">
        <v>1600</v>
      </c>
      <c r="I4311" s="142">
        <f t="shared" si="194"/>
        <v>117920</v>
      </c>
      <c r="J4311" s="92"/>
      <c r="K4311" s="91" t="s">
        <v>6048</v>
      </c>
    </row>
    <row r="4312" spans="1:11" ht="54" customHeight="1" x14ac:dyDescent="0.25">
      <c r="A4312" s="90" t="s">
        <v>5713</v>
      </c>
      <c r="B4312" s="91" t="s">
        <v>5596</v>
      </c>
      <c r="C4312" s="92"/>
      <c r="D4312" s="92"/>
      <c r="E4312" s="92" t="s">
        <v>14</v>
      </c>
      <c r="F4312" s="92" t="s">
        <v>315</v>
      </c>
      <c r="G4312" s="92">
        <v>239.8</v>
      </c>
      <c r="H4312" s="93">
        <v>1600</v>
      </c>
      <c r="I4312" s="142">
        <f t="shared" si="194"/>
        <v>383680</v>
      </c>
      <c r="J4312" s="92"/>
      <c r="K4312" s="91" t="s">
        <v>6048</v>
      </c>
    </row>
    <row r="4313" spans="1:11" ht="54" customHeight="1" x14ac:dyDescent="0.25">
      <c r="A4313" s="90" t="s">
        <v>6028</v>
      </c>
      <c r="B4313" s="91" t="s">
        <v>6039</v>
      </c>
      <c r="C4313" s="92"/>
      <c r="D4313" s="92"/>
      <c r="E4313" s="92"/>
      <c r="F4313" s="92" t="s">
        <v>576</v>
      </c>
      <c r="G4313" s="92">
        <v>55</v>
      </c>
      <c r="H4313" s="93"/>
      <c r="I4313" s="142">
        <f t="shared" si="194"/>
        <v>0</v>
      </c>
      <c r="J4313" s="92"/>
      <c r="K4313" s="91" t="s">
        <v>6048</v>
      </c>
    </row>
    <row r="4314" spans="1:11" ht="54" customHeight="1" x14ac:dyDescent="0.25">
      <c r="A4314" s="90" t="s">
        <v>6032</v>
      </c>
      <c r="B4314" s="91" t="s">
        <v>6047</v>
      </c>
      <c r="C4314" s="92"/>
      <c r="D4314" s="92"/>
      <c r="E4314" s="92" t="s">
        <v>14</v>
      </c>
      <c r="F4314" s="92" t="s">
        <v>315</v>
      </c>
      <c r="G4314" s="92">
        <v>2</v>
      </c>
      <c r="H4314" s="93">
        <v>4000</v>
      </c>
      <c r="I4314" s="142">
        <f t="shared" si="194"/>
        <v>8000</v>
      </c>
      <c r="J4314" s="92"/>
      <c r="K4314" s="91" t="s">
        <v>6049</v>
      </c>
    </row>
    <row r="4315" spans="1:11" ht="54" customHeight="1" x14ac:dyDescent="0.25">
      <c r="A4315" s="90" t="s">
        <v>6053</v>
      </c>
      <c r="B4315" s="91" t="s">
        <v>6039</v>
      </c>
      <c r="C4315" s="92"/>
      <c r="D4315" s="92"/>
      <c r="E4315" s="92"/>
      <c r="F4315" s="92" t="s">
        <v>576</v>
      </c>
      <c r="G4315" s="92">
        <v>21.12</v>
      </c>
      <c r="H4315" s="93"/>
      <c r="I4315" s="142">
        <f t="shared" si="194"/>
        <v>0</v>
      </c>
      <c r="J4315" s="92"/>
      <c r="K4315" s="91" t="s">
        <v>6054</v>
      </c>
    </row>
    <row r="4316" spans="1:11" ht="54" customHeight="1" x14ac:dyDescent="0.25">
      <c r="A4316" s="90" t="s">
        <v>5722</v>
      </c>
      <c r="B4316" s="91" t="s">
        <v>6041</v>
      </c>
      <c r="C4316" s="92"/>
      <c r="D4316" s="92"/>
      <c r="E4316" s="92"/>
      <c r="F4316" s="92" t="s">
        <v>6042</v>
      </c>
      <c r="G4316" s="92">
        <v>152</v>
      </c>
      <c r="H4316" s="93"/>
      <c r="I4316" s="142">
        <f t="shared" si="194"/>
        <v>0</v>
      </c>
      <c r="J4316" s="92"/>
      <c r="K4316" s="91" t="s">
        <v>6055</v>
      </c>
    </row>
    <row r="4317" spans="1:11" ht="54" customHeight="1" x14ac:dyDescent="0.25">
      <c r="A4317" s="90" t="s">
        <v>6056</v>
      </c>
      <c r="B4317" s="91" t="s">
        <v>6039</v>
      </c>
      <c r="C4317" s="92"/>
      <c r="D4317" s="92"/>
      <c r="E4317" s="92"/>
      <c r="F4317" s="92" t="s">
        <v>576</v>
      </c>
      <c r="G4317" s="92">
        <v>910.58</v>
      </c>
      <c r="H4317" s="93"/>
      <c r="I4317" s="142">
        <f t="shared" si="194"/>
        <v>0</v>
      </c>
      <c r="J4317" s="92"/>
      <c r="K4317" s="91" t="s">
        <v>6057</v>
      </c>
    </row>
    <row r="4318" spans="1:11" ht="54" customHeight="1" x14ac:dyDescent="0.25">
      <c r="A4318" s="90" t="s">
        <v>5631</v>
      </c>
      <c r="B4318" s="91" t="s">
        <v>5596</v>
      </c>
      <c r="C4318" s="92"/>
      <c r="D4318" s="92"/>
      <c r="E4318" s="92" t="s">
        <v>14</v>
      </c>
      <c r="F4318" s="92" t="s">
        <v>315</v>
      </c>
      <c r="G4318" s="92">
        <v>305.8</v>
      </c>
      <c r="H4318" s="93">
        <v>1600</v>
      </c>
      <c r="I4318" s="142">
        <f t="shared" si="194"/>
        <v>489280</v>
      </c>
      <c r="J4318" s="92"/>
      <c r="K4318" s="91" t="s">
        <v>6057</v>
      </c>
    </row>
    <row r="4319" spans="1:11" ht="54" customHeight="1" x14ac:dyDescent="0.25">
      <c r="A4319" s="90" t="s">
        <v>6058</v>
      </c>
      <c r="B4319" s="91" t="s">
        <v>5596</v>
      </c>
      <c r="C4319" s="92"/>
      <c r="D4319" s="92"/>
      <c r="E4319" s="92" t="s">
        <v>14</v>
      </c>
      <c r="F4319" s="92" t="s">
        <v>315</v>
      </c>
      <c r="G4319" s="92">
        <v>1070.3</v>
      </c>
      <c r="H4319" s="93">
        <v>1600</v>
      </c>
      <c r="I4319" s="142">
        <f t="shared" si="194"/>
        <v>1712480</v>
      </c>
      <c r="J4319" s="92"/>
      <c r="K4319" s="91" t="s">
        <v>6057</v>
      </c>
    </row>
    <row r="4320" spans="1:11" ht="54" customHeight="1" x14ac:dyDescent="0.25">
      <c r="A4320" s="90" t="s">
        <v>6059</v>
      </c>
      <c r="B4320" s="91" t="s">
        <v>6039</v>
      </c>
      <c r="C4320" s="92"/>
      <c r="D4320" s="92"/>
      <c r="E4320" s="92"/>
      <c r="F4320" s="92" t="s">
        <v>576</v>
      </c>
      <c r="G4320" s="92">
        <v>198.66</v>
      </c>
      <c r="H4320" s="93"/>
      <c r="I4320" s="142">
        <f t="shared" si="194"/>
        <v>0</v>
      </c>
      <c r="J4320" s="92"/>
      <c r="K4320" s="91" t="s">
        <v>6057</v>
      </c>
    </row>
    <row r="4321" spans="1:11" ht="54" customHeight="1" x14ac:dyDescent="0.25">
      <c r="A4321" s="90" t="s">
        <v>6060</v>
      </c>
      <c r="B4321" s="91" t="s">
        <v>6047</v>
      </c>
      <c r="C4321" s="92"/>
      <c r="D4321" s="92"/>
      <c r="E4321" s="92" t="s">
        <v>14</v>
      </c>
      <c r="F4321" s="92" t="s">
        <v>315</v>
      </c>
      <c r="G4321" s="92">
        <v>7.75</v>
      </c>
      <c r="H4321" s="93">
        <v>4000</v>
      </c>
      <c r="I4321" s="142">
        <f t="shared" si="194"/>
        <v>31000</v>
      </c>
      <c r="J4321" s="92"/>
      <c r="K4321" s="91" t="s">
        <v>6061</v>
      </c>
    </row>
    <row r="4322" spans="1:11" ht="54" customHeight="1" x14ac:dyDescent="0.25">
      <c r="A4322" s="90" t="s">
        <v>36</v>
      </c>
      <c r="B4322" s="91" t="s">
        <v>6039</v>
      </c>
      <c r="C4322" s="92"/>
      <c r="D4322" s="92"/>
      <c r="E4322" s="92"/>
      <c r="F4322" s="92" t="s">
        <v>576</v>
      </c>
      <c r="G4322" s="92">
        <v>89.1</v>
      </c>
      <c r="H4322" s="93"/>
      <c r="I4322" s="142">
        <f t="shared" si="194"/>
        <v>0</v>
      </c>
      <c r="J4322" s="92"/>
      <c r="K4322" s="91" t="s">
        <v>6062</v>
      </c>
    </row>
    <row r="4323" spans="1:11" ht="54" customHeight="1" x14ac:dyDescent="0.25">
      <c r="A4323" s="90" t="s">
        <v>5595</v>
      </c>
      <c r="B4323" s="91" t="s">
        <v>5596</v>
      </c>
      <c r="C4323" s="92"/>
      <c r="D4323" s="92"/>
      <c r="E4323" s="92" t="s">
        <v>14</v>
      </c>
      <c r="F4323" s="92" t="s">
        <v>315</v>
      </c>
      <c r="G4323" s="92">
        <v>59.4</v>
      </c>
      <c r="H4323" s="93">
        <v>1600</v>
      </c>
      <c r="I4323" s="142">
        <f t="shared" si="194"/>
        <v>95040</v>
      </c>
      <c r="J4323" s="92"/>
      <c r="K4323" s="91" t="s">
        <v>6062</v>
      </c>
    </row>
    <row r="4324" spans="1:11" ht="41.25" customHeight="1" x14ac:dyDescent="0.25">
      <c r="A4324" s="90" t="s">
        <v>5603</v>
      </c>
      <c r="B4324" s="91" t="s">
        <v>5709</v>
      </c>
      <c r="C4324" s="92"/>
      <c r="D4324" s="92"/>
      <c r="E4324" s="92" t="s">
        <v>5363</v>
      </c>
      <c r="F4324" s="92" t="s">
        <v>315</v>
      </c>
      <c r="G4324" s="92">
        <v>0.75646999999999998</v>
      </c>
      <c r="H4324" s="93">
        <v>7000</v>
      </c>
      <c r="I4324" s="142">
        <f t="shared" si="194"/>
        <v>5295.29</v>
      </c>
      <c r="J4324" s="92"/>
      <c r="K4324" s="91" t="s">
        <v>6063</v>
      </c>
    </row>
    <row r="4325" spans="1:11" ht="54" customHeight="1" x14ac:dyDescent="0.25">
      <c r="A4325" s="90" t="s">
        <v>5628</v>
      </c>
      <c r="B4325" s="91" t="s">
        <v>5596</v>
      </c>
      <c r="C4325" s="92"/>
      <c r="D4325" s="92"/>
      <c r="E4325" s="92" t="s">
        <v>14</v>
      </c>
      <c r="F4325" s="92" t="s">
        <v>315</v>
      </c>
      <c r="G4325" s="92">
        <v>198</v>
      </c>
      <c r="H4325" s="93">
        <v>1600</v>
      </c>
      <c r="I4325" s="142">
        <f t="shared" si="194"/>
        <v>316800</v>
      </c>
      <c r="J4325" s="92"/>
      <c r="K4325" s="91" t="s">
        <v>6064</v>
      </c>
    </row>
    <row r="4326" spans="1:11" ht="41.25" customHeight="1" x14ac:dyDescent="0.25">
      <c r="A4326" s="90" t="s">
        <v>6058</v>
      </c>
      <c r="B4326" s="91" t="s">
        <v>6065</v>
      </c>
      <c r="C4326" s="92"/>
      <c r="D4326" s="92"/>
      <c r="E4326" s="92" t="s">
        <v>5613</v>
      </c>
      <c r="F4326" s="92" t="s">
        <v>1878</v>
      </c>
      <c r="G4326" s="92">
        <v>0.40500000000000003</v>
      </c>
      <c r="H4326" s="93">
        <v>110000</v>
      </c>
      <c r="I4326" s="142">
        <f t="shared" si="194"/>
        <v>44550</v>
      </c>
      <c r="J4326" s="92"/>
      <c r="K4326" s="91" t="s">
        <v>6066</v>
      </c>
    </row>
    <row r="4327" spans="1:11" ht="41.25" customHeight="1" x14ac:dyDescent="0.25">
      <c r="A4327" s="90" t="s">
        <v>6067</v>
      </c>
      <c r="B4327" s="91" t="s">
        <v>5606</v>
      </c>
      <c r="C4327" s="92"/>
      <c r="D4327" s="92"/>
      <c r="E4327" s="92" t="s">
        <v>5607</v>
      </c>
      <c r="F4327" s="92" t="s">
        <v>315</v>
      </c>
      <c r="G4327" s="92">
        <v>1.7160000000000002E-2</v>
      </c>
      <c r="H4327" s="93">
        <v>25000</v>
      </c>
      <c r="I4327" s="142">
        <f t="shared" si="194"/>
        <v>429.00000000000006</v>
      </c>
      <c r="J4327" s="92"/>
      <c r="K4327" s="91" t="s">
        <v>6066</v>
      </c>
    </row>
    <row r="4328" spans="1:11" ht="41.25" customHeight="1" x14ac:dyDescent="0.25">
      <c r="A4328" s="90" t="s">
        <v>6068</v>
      </c>
      <c r="B4328" s="91" t="s">
        <v>6069</v>
      </c>
      <c r="C4328" s="92"/>
      <c r="D4328" s="92"/>
      <c r="E4328" s="92"/>
      <c r="F4328" s="92" t="s">
        <v>1878</v>
      </c>
      <c r="G4328" s="92">
        <v>2.7462599999999999</v>
      </c>
      <c r="H4328" s="93"/>
      <c r="I4328" s="142">
        <f t="shared" si="194"/>
        <v>0</v>
      </c>
      <c r="J4328" s="92"/>
      <c r="K4328" s="91" t="s">
        <v>6070</v>
      </c>
    </row>
    <row r="4329" spans="1:11" ht="41.25" customHeight="1" x14ac:dyDescent="0.25">
      <c r="A4329" s="90" t="s">
        <v>6071</v>
      </c>
      <c r="B4329" s="91" t="s">
        <v>6072</v>
      </c>
      <c r="C4329" s="92"/>
      <c r="D4329" s="92"/>
      <c r="E4329" s="92"/>
      <c r="F4329" s="92" t="s">
        <v>158</v>
      </c>
      <c r="G4329" s="92">
        <v>136.81800000000001</v>
      </c>
      <c r="H4329" s="93"/>
      <c r="I4329" s="142">
        <f t="shared" si="194"/>
        <v>0</v>
      </c>
      <c r="J4329" s="92"/>
      <c r="K4329" s="91" t="s">
        <v>6070</v>
      </c>
    </row>
    <row r="4330" spans="1:11" ht="41.25" customHeight="1" x14ac:dyDescent="0.25">
      <c r="A4330" s="90" t="s">
        <v>6073</v>
      </c>
      <c r="B4330" s="91" t="s">
        <v>6074</v>
      </c>
      <c r="C4330" s="92"/>
      <c r="D4330" s="92"/>
      <c r="E4330" s="92" t="s">
        <v>5613</v>
      </c>
      <c r="F4330" s="92" t="s">
        <v>1878</v>
      </c>
      <c r="G4330" s="92">
        <v>5.0999999999999997E-2</v>
      </c>
      <c r="H4330" s="93">
        <v>110000</v>
      </c>
      <c r="I4330" s="142">
        <f t="shared" si="194"/>
        <v>5610</v>
      </c>
      <c r="J4330" s="92"/>
      <c r="K4330" s="91" t="s">
        <v>6070</v>
      </c>
    </row>
    <row r="4331" spans="1:11" ht="41.25" customHeight="1" x14ac:dyDescent="0.25">
      <c r="A4331" s="90" t="s">
        <v>6075</v>
      </c>
      <c r="B4331" s="91" t="s">
        <v>5735</v>
      </c>
      <c r="C4331" s="92"/>
      <c r="D4331" s="92"/>
      <c r="E4331" s="92" t="s">
        <v>5607</v>
      </c>
      <c r="F4331" s="92" t="s">
        <v>315</v>
      </c>
      <c r="G4331" s="92">
        <v>3.0240000000000002E-3</v>
      </c>
      <c r="H4331" s="93">
        <v>25000</v>
      </c>
      <c r="I4331" s="142">
        <f t="shared" si="194"/>
        <v>75.600000000000009</v>
      </c>
      <c r="J4331" s="92"/>
      <c r="K4331" s="91" t="s">
        <v>6070</v>
      </c>
    </row>
    <row r="4332" spans="1:11" ht="41.25" customHeight="1" x14ac:dyDescent="0.25">
      <c r="A4332" s="90" t="s">
        <v>6076</v>
      </c>
      <c r="B4332" s="91" t="s">
        <v>6077</v>
      </c>
      <c r="C4332" s="92"/>
      <c r="D4332" s="92"/>
      <c r="E4332" s="92" t="s">
        <v>5613</v>
      </c>
      <c r="F4332" s="92" t="s">
        <v>1878</v>
      </c>
      <c r="G4332" s="92">
        <v>6.8000000000000005E-2</v>
      </c>
      <c r="H4332" s="93">
        <v>110000</v>
      </c>
      <c r="I4332" s="142">
        <f t="shared" si="194"/>
        <v>7480.0000000000009</v>
      </c>
      <c r="J4332" s="92"/>
      <c r="K4332" s="91" t="s">
        <v>6070</v>
      </c>
    </row>
    <row r="4333" spans="1:11" ht="41.25" customHeight="1" x14ac:dyDescent="0.25">
      <c r="A4333" s="90" t="s">
        <v>5972</v>
      </c>
      <c r="B4333" s="91" t="s">
        <v>5735</v>
      </c>
      <c r="C4333" s="92"/>
      <c r="D4333" s="92"/>
      <c r="E4333" s="92" t="s">
        <v>5607</v>
      </c>
      <c r="F4333" s="92" t="s">
        <v>315</v>
      </c>
      <c r="G4333" s="92">
        <v>4.032E-3</v>
      </c>
      <c r="H4333" s="93">
        <v>25000</v>
      </c>
      <c r="I4333" s="142">
        <f t="shared" si="194"/>
        <v>100.8</v>
      </c>
      <c r="J4333" s="92"/>
      <c r="K4333" s="91" t="s">
        <v>6070</v>
      </c>
    </row>
    <row r="4334" spans="1:11" ht="54" customHeight="1" x14ac:dyDescent="0.25">
      <c r="A4334" s="90" t="s">
        <v>581</v>
      </c>
      <c r="B4334" s="91" t="s">
        <v>6078</v>
      </c>
      <c r="C4334" s="92"/>
      <c r="D4334" s="92"/>
      <c r="E4334" s="92"/>
      <c r="F4334" s="92" t="s">
        <v>78</v>
      </c>
      <c r="G4334" s="92">
        <v>-10</v>
      </c>
      <c r="H4334" s="93"/>
      <c r="I4334" s="142">
        <f t="shared" si="194"/>
        <v>0</v>
      </c>
      <c r="J4334" s="92"/>
      <c r="K4334" s="91" t="s">
        <v>6079</v>
      </c>
    </row>
    <row r="4335" spans="1:11" ht="54" customHeight="1" x14ac:dyDescent="0.25">
      <c r="A4335" s="90" t="s">
        <v>20</v>
      </c>
      <c r="B4335" s="91" t="s">
        <v>6080</v>
      </c>
      <c r="C4335" s="92"/>
      <c r="D4335" s="92"/>
      <c r="E4335" s="92"/>
      <c r="F4335" s="92" t="s">
        <v>89</v>
      </c>
      <c r="G4335" s="92">
        <v>-39.5</v>
      </c>
      <c r="H4335" s="93"/>
      <c r="I4335" s="142">
        <f t="shared" si="194"/>
        <v>0</v>
      </c>
      <c r="J4335" s="92"/>
      <c r="K4335" s="91" t="s">
        <v>6079</v>
      </c>
    </row>
    <row r="4336" spans="1:11" ht="54" customHeight="1" x14ac:dyDescent="0.25">
      <c r="A4336" s="90" t="s">
        <v>5663</v>
      </c>
      <c r="B4336" s="91" t="s">
        <v>6081</v>
      </c>
      <c r="C4336" s="92"/>
      <c r="D4336" s="92"/>
      <c r="E4336" s="92"/>
      <c r="F4336" s="92" t="s">
        <v>78</v>
      </c>
      <c r="G4336" s="92">
        <v>-4</v>
      </c>
      <c r="H4336" s="93"/>
      <c r="I4336" s="142">
        <f t="shared" si="194"/>
        <v>0</v>
      </c>
      <c r="J4336" s="92"/>
      <c r="K4336" s="91" t="s">
        <v>6082</v>
      </c>
    </row>
    <row r="4337" spans="1:11" ht="54" customHeight="1" x14ac:dyDescent="0.25">
      <c r="A4337" s="90" t="s">
        <v>5595</v>
      </c>
      <c r="B4337" s="91" t="s">
        <v>6083</v>
      </c>
      <c r="C4337" s="92"/>
      <c r="D4337" s="92"/>
      <c r="E4337" s="92"/>
      <c r="F4337" s="92" t="s">
        <v>89</v>
      </c>
      <c r="G4337" s="92">
        <v>-18.5</v>
      </c>
      <c r="H4337" s="93"/>
      <c r="I4337" s="142">
        <f t="shared" si="194"/>
        <v>0</v>
      </c>
      <c r="J4337" s="92"/>
      <c r="K4337" s="91" t="s">
        <v>6082</v>
      </c>
    </row>
    <row r="4338" spans="1:11" ht="15" customHeight="1" x14ac:dyDescent="0.25">
      <c r="H4338" s="94" t="s">
        <v>6084</v>
      </c>
    </row>
    <row r="4339" spans="1:11" ht="21.75" customHeight="1" x14ac:dyDescent="0.25">
      <c r="B4339" s="95" t="s">
        <v>6085</v>
      </c>
      <c r="C4339" s="96"/>
      <c r="D4339" s="96"/>
      <c r="E4339" s="96"/>
      <c r="F4339" s="97"/>
      <c r="G4339" s="96"/>
      <c r="H4339" s="98"/>
      <c r="I4339" s="143">
        <f>SUM(I2:I4337)</f>
        <v>1448528218.3531406</v>
      </c>
    </row>
    <row r="4340" spans="1:11" ht="41.25" customHeight="1" x14ac:dyDescent="0.25"/>
    <row r="4341" spans="1:11" ht="41.25" customHeight="1" x14ac:dyDescent="0.25"/>
    <row r="4342" spans="1:11" ht="41.25" customHeight="1" x14ac:dyDescent="0.25"/>
    <row r="4343" spans="1:11" ht="41.25" customHeight="1" x14ac:dyDescent="0.25"/>
    <row r="4344" spans="1:11" ht="41.25" customHeight="1" x14ac:dyDescent="0.25"/>
    <row r="4345" spans="1:11" ht="41.25" customHeight="1" x14ac:dyDescent="0.25"/>
    <row r="4346" spans="1:11" ht="41.25" customHeight="1" x14ac:dyDescent="0.25"/>
    <row r="4347" spans="1:11" ht="41.25" customHeight="1" x14ac:dyDescent="0.25"/>
    <row r="4348" spans="1:11" ht="41.25" customHeight="1" x14ac:dyDescent="0.25"/>
    <row r="4349" spans="1:11" ht="41.25" customHeight="1" x14ac:dyDescent="0.25"/>
    <row r="4350" spans="1:11" ht="41.25" customHeight="1" x14ac:dyDescent="0.25"/>
    <row r="4351" spans="1:11" ht="41.25" customHeight="1" x14ac:dyDescent="0.25"/>
    <row r="4352" spans="1:11" ht="41.25" customHeight="1" x14ac:dyDescent="0.25"/>
    <row r="4353" ht="93" customHeight="1" x14ac:dyDescent="0.25"/>
    <row r="4354" ht="41.25" customHeight="1" x14ac:dyDescent="0.25"/>
    <row r="4355" ht="41.25" customHeight="1" x14ac:dyDescent="0.25"/>
    <row r="4356" ht="41.25" customHeight="1" x14ac:dyDescent="0.25"/>
    <row r="4357" ht="41.25" customHeight="1" x14ac:dyDescent="0.25"/>
    <row r="4358" ht="41.25" customHeight="1" x14ac:dyDescent="0.25"/>
    <row r="4359" ht="41.25" customHeight="1" x14ac:dyDescent="0.25"/>
    <row r="4360" ht="41.25" customHeight="1" x14ac:dyDescent="0.25"/>
    <row r="4361" ht="41.25" customHeight="1" x14ac:dyDescent="0.25"/>
    <row r="4362" ht="41.25" customHeight="1" x14ac:dyDescent="0.25"/>
    <row r="4363" ht="93" customHeight="1" x14ac:dyDescent="0.25"/>
    <row r="4364" ht="54" customHeight="1" x14ac:dyDescent="0.25"/>
    <row r="4365" ht="41.25" customHeight="1" x14ac:dyDescent="0.25"/>
    <row r="4366" ht="41.25" customHeight="1" x14ac:dyDescent="0.25"/>
    <row r="4367" ht="41.25" customHeight="1" x14ac:dyDescent="0.25"/>
    <row r="4368" ht="41.25" customHeight="1" x14ac:dyDescent="0.25"/>
    <row r="4369" ht="41.25" customHeight="1" x14ac:dyDescent="0.25"/>
    <row r="4370" ht="54" customHeight="1" x14ac:dyDescent="0.25"/>
    <row r="4371" ht="54" customHeight="1" x14ac:dyDescent="0.25"/>
    <row r="4372" ht="54" customHeight="1" x14ac:dyDescent="0.25"/>
    <row r="4373" ht="41.25" customHeight="1" x14ac:dyDescent="0.25"/>
    <row r="4374" ht="41.25" customHeight="1" x14ac:dyDescent="0.25"/>
    <row r="4375" ht="41.25" customHeight="1" x14ac:dyDescent="0.25"/>
    <row r="4376" ht="41.25" customHeight="1" x14ac:dyDescent="0.25"/>
    <row r="4377" ht="41.25" customHeight="1" x14ac:dyDescent="0.25"/>
    <row r="4378" ht="41.25" customHeight="1" x14ac:dyDescent="0.25"/>
    <row r="4379" ht="54" customHeight="1" x14ac:dyDescent="0.25"/>
    <row r="4380" ht="41.25" customHeight="1" x14ac:dyDescent="0.25"/>
    <row r="4381" ht="41.25" customHeight="1" x14ac:dyDescent="0.25"/>
    <row r="4382" ht="41.25" customHeight="1" x14ac:dyDescent="0.25"/>
    <row r="4383" ht="41.25" customHeight="1" x14ac:dyDescent="0.25"/>
    <row r="4384" ht="41.25" customHeight="1" x14ac:dyDescent="0.25"/>
    <row r="4385" ht="41.25" customHeight="1" x14ac:dyDescent="0.25"/>
    <row r="4386" ht="41.25" customHeight="1" x14ac:dyDescent="0.25"/>
    <row r="4387" ht="41.25" customHeight="1" x14ac:dyDescent="0.25"/>
    <row r="4388" ht="41.25" customHeight="1" x14ac:dyDescent="0.25"/>
    <row r="4389" ht="41.25" customHeight="1" x14ac:dyDescent="0.25"/>
    <row r="4390" ht="41.25" customHeight="1" x14ac:dyDescent="0.25"/>
    <row r="4391" ht="41.25" customHeight="1" x14ac:dyDescent="0.25"/>
    <row r="4392" ht="41.25" customHeight="1" x14ac:dyDescent="0.25"/>
    <row r="4393" ht="105.75" customHeight="1" x14ac:dyDescent="0.25"/>
    <row r="4394" ht="54" customHeight="1" x14ac:dyDescent="0.25"/>
    <row r="4395" ht="41.25" customHeight="1" x14ac:dyDescent="0.25"/>
    <row r="4396" ht="41.25" customHeight="1" x14ac:dyDescent="0.25"/>
    <row r="4397" ht="41.25" customHeight="1" x14ac:dyDescent="0.25"/>
    <row r="4398" ht="41.25" customHeight="1" x14ac:dyDescent="0.25"/>
    <row r="4399" ht="41.25" customHeight="1" x14ac:dyDescent="0.25"/>
    <row r="4400" ht="41.25" customHeight="1" x14ac:dyDescent="0.25"/>
    <row r="4401" ht="41.25" customHeight="1" x14ac:dyDescent="0.25"/>
    <row r="4402" ht="41.25" customHeight="1" x14ac:dyDescent="0.25"/>
    <row r="4403" ht="41.25" customHeight="1" x14ac:dyDescent="0.25"/>
    <row r="4404" ht="144.75" customHeight="1" x14ac:dyDescent="0.25"/>
    <row r="4405" ht="41.25" customHeight="1" x14ac:dyDescent="0.25"/>
    <row r="4406" ht="41.25" customHeight="1" x14ac:dyDescent="0.25"/>
    <row r="4407" ht="41.25" customHeight="1" x14ac:dyDescent="0.25"/>
    <row r="4408" ht="41.25" customHeight="1" x14ac:dyDescent="0.25"/>
    <row r="4409" ht="41.25" customHeight="1" x14ac:dyDescent="0.25"/>
    <row r="4410" ht="41.25" customHeight="1" x14ac:dyDescent="0.25"/>
    <row r="4411" ht="41.25" customHeight="1" x14ac:dyDescent="0.25"/>
    <row r="4412" ht="41.25" customHeight="1" x14ac:dyDescent="0.25"/>
    <row r="4413" ht="41.25" customHeight="1" x14ac:dyDescent="0.25"/>
    <row r="4414" ht="41.25" customHeight="1" x14ac:dyDescent="0.25"/>
    <row r="4415" ht="41.25" customHeight="1" x14ac:dyDescent="0.25"/>
    <row r="4416" ht="41.25" customHeight="1" x14ac:dyDescent="0.25"/>
    <row r="4417" ht="41.25" customHeight="1" x14ac:dyDescent="0.25"/>
    <row r="4418" ht="41.25" customHeight="1" x14ac:dyDescent="0.25"/>
    <row r="4419" ht="54" customHeight="1" x14ac:dyDescent="0.25"/>
    <row r="4420" ht="80.25" customHeight="1" x14ac:dyDescent="0.25"/>
    <row r="4421" ht="41.25" customHeight="1" x14ac:dyDescent="0.25"/>
    <row r="4422" ht="41.25" customHeight="1" x14ac:dyDescent="0.25"/>
    <row r="4423" ht="41.25" customHeight="1" x14ac:dyDescent="0.25"/>
    <row r="4424" ht="41.25" customHeight="1" x14ac:dyDescent="0.25"/>
    <row r="4425" ht="41.25" customHeight="1" x14ac:dyDescent="0.25"/>
    <row r="4426" ht="80.25" customHeight="1" x14ac:dyDescent="0.25"/>
    <row r="4427" ht="41.25" customHeight="1" x14ac:dyDescent="0.25"/>
    <row r="4428" ht="41.25" customHeight="1" x14ac:dyDescent="0.25"/>
    <row r="4429" ht="41.25" customHeight="1" x14ac:dyDescent="0.25"/>
    <row r="4430" ht="41.25" customHeight="1" x14ac:dyDescent="0.25"/>
    <row r="4431" ht="80.25" customHeight="1" x14ac:dyDescent="0.25"/>
    <row r="4432" ht="41.25" customHeight="1" x14ac:dyDescent="0.25"/>
    <row r="4433" ht="41.25" customHeight="1" x14ac:dyDescent="0.25"/>
    <row r="4434" ht="41.25" customHeight="1" x14ac:dyDescent="0.25"/>
    <row r="4435" ht="41.25" customHeight="1" x14ac:dyDescent="0.25"/>
    <row r="4436" ht="41.25" customHeight="1" x14ac:dyDescent="0.25"/>
    <row r="4437" ht="54" customHeight="1" x14ac:dyDescent="0.25"/>
    <row r="4438" ht="105.75" customHeight="1" x14ac:dyDescent="0.25"/>
    <row r="4439" ht="41.25" customHeight="1" x14ac:dyDescent="0.25"/>
    <row r="4440" ht="41.25" customHeight="1" x14ac:dyDescent="0.25"/>
    <row r="4441" ht="41.25" customHeight="1" x14ac:dyDescent="0.25"/>
    <row r="4442" ht="41.25" customHeight="1" x14ac:dyDescent="0.25"/>
    <row r="4443" ht="41.25" customHeight="1" x14ac:dyDescent="0.25"/>
    <row r="4444" ht="41.25" customHeight="1" x14ac:dyDescent="0.25"/>
    <row r="4445" ht="41.25" customHeight="1" x14ac:dyDescent="0.25"/>
    <row r="4446" ht="54" customHeight="1" x14ac:dyDescent="0.25"/>
    <row r="4447" ht="41.25" customHeight="1" x14ac:dyDescent="0.25"/>
    <row r="4448" ht="41.25" customHeight="1" x14ac:dyDescent="0.25"/>
    <row r="4449" ht="41.25" customHeight="1" x14ac:dyDescent="0.25"/>
    <row r="4450" ht="41.25" customHeight="1" x14ac:dyDescent="0.25"/>
    <row r="4451" ht="41.25" customHeight="1" x14ac:dyDescent="0.25"/>
    <row r="4452" ht="41.25" customHeight="1" x14ac:dyDescent="0.25"/>
    <row r="4453" ht="41.25" customHeight="1" x14ac:dyDescent="0.25"/>
    <row r="4454" ht="41.25" customHeight="1" x14ac:dyDescent="0.25"/>
    <row r="4455" ht="41.25" customHeight="1" x14ac:dyDescent="0.25"/>
    <row r="4456" ht="41.25" customHeight="1" x14ac:dyDescent="0.25"/>
    <row r="4457" ht="41.25" customHeight="1" x14ac:dyDescent="0.25"/>
    <row r="4458" ht="94.5" customHeight="1" x14ac:dyDescent="0.25"/>
    <row r="4459" ht="41.25" customHeight="1" x14ac:dyDescent="0.25"/>
    <row r="4460" ht="54" customHeight="1" x14ac:dyDescent="0.25"/>
    <row r="4461" ht="41.25" customHeight="1" x14ac:dyDescent="0.25"/>
    <row r="4462" ht="41.25" customHeight="1" x14ac:dyDescent="0.25"/>
    <row r="4463" ht="41.25" customHeight="1" x14ac:dyDescent="0.25"/>
    <row r="4464" ht="41.25" customHeight="1" x14ac:dyDescent="0.25"/>
    <row r="4465" ht="41.25" customHeight="1" x14ac:dyDescent="0.25"/>
    <row r="4466" ht="41.25" customHeight="1" x14ac:dyDescent="0.25"/>
    <row r="4467" ht="41.25" customHeight="1" x14ac:dyDescent="0.25"/>
    <row r="4468" ht="41.25" customHeight="1" x14ac:dyDescent="0.25"/>
    <row r="4469" ht="41.25" customHeight="1" x14ac:dyDescent="0.25"/>
    <row r="4470" ht="41.25" customHeight="1" x14ac:dyDescent="0.25"/>
    <row r="4471" ht="41.25" customHeight="1" x14ac:dyDescent="0.25"/>
    <row r="4472" ht="41.25" customHeight="1" x14ac:dyDescent="0.25"/>
    <row r="4473" ht="41.25" customHeight="1" x14ac:dyDescent="0.25"/>
    <row r="4474" ht="41.25" customHeight="1" x14ac:dyDescent="0.25"/>
    <row r="4475" ht="41.25" customHeight="1" x14ac:dyDescent="0.25"/>
    <row r="4476" ht="93" customHeight="1" x14ac:dyDescent="0.25"/>
    <row r="4477" ht="54" customHeight="1" x14ac:dyDescent="0.25"/>
    <row r="4478" ht="41.25" customHeight="1" x14ac:dyDescent="0.25"/>
    <row r="4479" ht="41.25" customHeight="1" x14ac:dyDescent="0.25"/>
    <row r="4480" ht="41.25" customHeight="1" x14ac:dyDescent="0.25"/>
    <row r="4481" ht="41.25" customHeight="1" x14ac:dyDescent="0.25"/>
    <row r="4482" ht="41.25" customHeight="1" x14ac:dyDescent="0.25"/>
    <row r="4483" ht="54" customHeight="1" x14ac:dyDescent="0.25"/>
    <row r="4484" ht="41.25" customHeight="1" x14ac:dyDescent="0.25"/>
    <row r="4485" ht="41.25" customHeight="1" x14ac:dyDescent="0.25"/>
    <row r="4486" ht="54" customHeight="1" x14ac:dyDescent="0.25"/>
    <row r="4487" ht="41.25" customHeight="1" x14ac:dyDescent="0.25"/>
    <row r="4488" ht="41.25" customHeight="1" x14ac:dyDescent="0.25"/>
    <row r="4489" ht="41.25" customHeight="1" x14ac:dyDescent="0.25"/>
    <row r="4490" ht="41.25" customHeight="1" x14ac:dyDescent="0.25"/>
    <row r="4491" ht="41.25" customHeight="1" x14ac:dyDescent="0.25"/>
    <row r="4492" ht="41.25" customHeight="1" x14ac:dyDescent="0.25"/>
    <row r="4493" ht="54" customHeight="1" x14ac:dyDescent="0.25"/>
    <row r="4494" ht="41.25" customHeight="1" x14ac:dyDescent="0.25"/>
    <row r="4495" ht="118.5" customHeight="1" x14ac:dyDescent="0.25"/>
    <row r="4496" ht="41.25" customHeight="1" x14ac:dyDescent="0.25"/>
    <row r="4497" ht="41.25" customHeight="1" x14ac:dyDescent="0.25"/>
    <row r="4498" ht="41.25" customHeight="1" x14ac:dyDescent="0.25"/>
    <row r="4499" ht="41.25" customHeight="1" x14ac:dyDescent="0.25"/>
    <row r="4500" ht="41.25" customHeight="1" x14ac:dyDescent="0.25"/>
    <row r="4501" ht="41.25" customHeight="1" x14ac:dyDescent="0.25"/>
    <row r="4502" ht="41.25" customHeight="1" x14ac:dyDescent="0.25"/>
    <row r="4503" ht="41.25" customHeight="1" x14ac:dyDescent="0.25"/>
    <row r="4504" ht="41.25" customHeight="1" x14ac:dyDescent="0.25"/>
    <row r="4505" ht="94.5" customHeight="1" x14ac:dyDescent="0.25"/>
    <row r="4506" ht="94.5" customHeight="1" x14ac:dyDescent="0.25"/>
    <row r="4507" ht="41.25" customHeight="1" x14ac:dyDescent="0.25"/>
    <row r="4508" ht="41.25" customHeight="1" x14ac:dyDescent="0.25"/>
    <row r="4509" ht="41.25" customHeight="1" x14ac:dyDescent="0.25"/>
    <row r="4510" ht="41.25" customHeight="1" x14ac:dyDescent="0.25"/>
    <row r="4511" ht="41.25" customHeight="1" x14ac:dyDescent="0.25"/>
    <row r="4512" ht="94.5" customHeight="1" x14ac:dyDescent="0.25"/>
    <row r="4513" ht="94.5" customHeight="1" x14ac:dyDescent="0.25"/>
    <row r="4514" ht="41.25" customHeight="1" x14ac:dyDescent="0.25"/>
    <row r="4515" ht="41.25" customHeight="1" x14ac:dyDescent="0.25"/>
    <row r="4516" ht="41.25" customHeight="1" x14ac:dyDescent="0.25"/>
    <row r="4517" ht="94.5" customHeight="1" x14ac:dyDescent="0.25"/>
    <row r="4518" ht="41.25" customHeight="1" x14ac:dyDescent="0.25"/>
    <row r="4519" ht="41.25" customHeight="1" x14ac:dyDescent="0.25"/>
    <row r="4520" ht="41.25" customHeight="1" x14ac:dyDescent="0.25"/>
    <row r="4521" ht="41.25" customHeight="1" x14ac:dyDescent="0.25"/>
    <row r="4522" ht="54" customHeight="1" x14ac:dyDescent="0.25"/>
    <row r="4523" ht="41.25" customHeight="1" x14ac:dyDescent="0.25"/>
    <row r="4524" ht="41.25" customHeight="1" x14ac:dyDescent="0.25"/>
    <row r="4525" ht="41.25" customHeight="1" x14ac:dyDescent="0.25"/>
    <row r="4526" ht="41.25" customHeight="1" x14ac:dyDescent="0.25"/>
    <row r="4527" ht="54" customHeight="1" x14ac:dyDescent="0.25"/>
    <row r="4528" ht="41.25" customHeight="1" x14ac:dyDescent="0.25"/>
    <row r="4529" ht="67.5" customHeight="1" x14ac:dyDescent="0.25"/>
    <row r="4530" ht="105.75" customHeight="1" x14ac:dyDescent="0.25"/>
    <row r="4531" ht="54" customHeight="1" x14ac:dyDescent="0.25"/>
    <row r="4532" ht="41.25" customHeight="1" x14ac:dyDescent="0.25"/>
    <row r="4533" ht="41.25" customHeight="1" x14ac:dyDescent="0.25"/>
    <row r="4534" ht="41.25" customHeight="1" x14ac:dyDescent="0.25"/>
    <row r="4535" ht="93" customHeight="1" x14ac:dyDescent="0.25"/>
    <row r="4536" ht="41.25" customHeight="1" x14ac:dyDescent="0.25"/>
    <row r="4537" ht="41.25" customHeight="1" x14ac:dyDescent="0.25"/>
    <row r="4538" ht="54" customHeight="1" x14ac:dyDescent="0.25"/>
    <row r="4539" ht="54" customHeight="1" x14ac:dyDescent="0.25"/>
    <row r="4540" ht="41.25" customHeight="1" x14ac:dyDescent="0.25"/>
    <row r="4541" ht="157.5" customHeight="1" x14ac:dyDescent="0.25"/>
    <row r="4542" ht="41.25" customHeight="1" x14ac:dyDescent="0.25"/>
    <row r="4543" ht="41.25" customHeight="1" x14ac:dyDescent="0.25"/>
    <row r="4544" ht="54" customHeight="1" x14ac:dyDescent="0.25"/>
    <row r="4545" ht="67.5" customHeight="1" x14ac:dyDescent="0.25"/>
    <row r="4546" ht="80.25" customHeight="1" x14ac:dyDescent="0.25"/>
    <row r="4547" ht="67.5" customHeight="1" x14ac:dyDescent="0.25"/>
    <row r="4548" ht="67.5" customHeight="1" x14ac:dyDescent="0.25"/>
    <row r="4549" ht="67.5" customHeight="1" x14ac:dyDescent="0.25"/>
    <row r="4550" ht="67.5" customHeight="1" x14ac:dyDescent="0.25"/>
    <row r="4551" ht="144.75" customHeight="1" x14ac:dyDescent="0.25"/>
    <row r="4552" ht="67.5" customHeight="1" x14ac:dyDescent="0.25"/>
    <row r="4553" ht="105.75" customHeight="1" x14ac:dyDescent="0.25"/>
    <row r="4554" ht="80.25" customHeight="1" x14ac:dyDescent="0.25"/>
    <row r="4555" ht="93" customHeight="1" x14ac:dyDescent="0.25"/>
    <row r="4556" ht="41.25" customHeight="1" x14ac:dyDescent="0.25"/>
    <row r="4557" ht="54" customHeight="1" x14ac:dyDescent="0.25"/>
    <row r="4558" ht="41.25" customHeight="1" x14ac:dyDescent="0.25"/>
    <row r="4559" ht="41.25" customHeight="1" x14ac:dyDescent="0.25"/>
    <row r="4560" ht="54" customHeight="1" x14ac:dyDescent="0.25"/>
    <row r="4561" ht="41.25" customHeight="1" x14ac:dyDescent="0.25"/>
    <row r="4562" ht="41.25" customHeight="1" x14ac:dyDescent="0.25"/>
    <row r="4563" ht="41.25" customHeight="1" x14ac:dyDescent="0.25"/>
    <row r="4564" ht="54" customHeight="1" x14ac:dyDescent="0.25"/>
    <row r="4565" ht="41.25" customHeight="1" x14ac:dyDescent="0.25"/>
    <row r="4566" ht="41.25" customHeight="1" x14ac:dyDescent="0.25"/>
    <row r="4567" ht="41.25" customHeight="1" x14ac:dyDescent="0.25"/>
    <row r="4568" ht="41.25" customHeight="1" x14ac:dyDescent="0.25"/>
    <row r="4569" ht="54" customHeight="1" x14ac:dyDescent="0.25"/>
    <row r="4570" ht="41.25" customHeight="1" x14ac:dyDescent="0.25"/>
    <row r="4571" ht="41.25" customHeight="1" x14ac:dyDescent="0.25"/>
    <row r="4572" ht="41.25" customHeight="1" x14ac:dyDescent="0.25"/>
    <row r="4573" ht="41.25" customHeight="1" x14ac:dyDescent="0.25"/>
    <row r="4574" ht="41.25" customHeight="1" x14ac:dyDescent="0.25"/>
    <row r="4575" ht="41.25" customHeight="1" x14ac:dyDescent="0.25"/>
    <row r="4576" ht="41.25" customHeight="1" x14ac:dyDescent="0.25"/>
    <row r="4577" ht="41.25" customHeight="1" x14ac:dyDescent="0.25"/>
    <row r="4578" ht="41.25" customHeight="1" x14ac:dyDescent="0.25"/>
    <row r="4579" ht="41.25" customHeight="1" x14ac:dyDescent="0.25"/>
    <row r="4580" ht="41.25" customHeight="1" x14ac:dyDescent="0.25"/>
    <row r="4581" ht="118.5" customHeight="1" x14ac:dyDescent="0.25"/>
    <row r="4582" ht="41.25" customHeight="1" x14ac:dyDescent="0.25"/>
    <row r="4583" ht="41.25" customHeight="1" x14ac:dyDescent="0.25"/>
    <row r="4584" ht="41.25" customHeight="1" x14ac:dyDescent="0.25"/>
    <row r="4585" ht="41.25" customHeight="1" x14ac:dyDescent="0.25"/>
    <row r="4586" ht="41.25" customHeight="1" x14ac:dyDescent="0.25"/>
    <row r="4587" ht="41.25" customHeight="1" x14ac:dyDescent="0.25"/>
    <row r="4588" ht="41.25" customHeight="1" x14ac:dyDescent="0.25"/>
    <row r="4589" ht="41.25" customHeight="1" x14ac:dyDescent="0.25"/>
    <row r="4590" ht="41.25" customHeight="1" x14ac:dyDescent="0.25"/>
    <row r="4591" ht="41.25" customHeight="1" x14ac:dyDescent="0.25"/>
    <row r="4592" ht="41.25" customHeight="1" x14ac:dyDescent="0.25"/>
    <row r="4593" ht="28.5" customHeight="1" x14ac:dyDescent="0.25"/>
    <row r="4594" ht="28.5" customHeight="1" x14ac:dyDescent="0.25"/>
    <row r="4595" ht="28.5" customHeight="1" x14ac:dyDescent="0.25"/>
    <row r="4596" ht="28.5" customHeight="1" x14ac:dyDescent="0.25"/>
    <row r="4597" ht="54" customHeight="1" x14ac:dyDescent="0.25"/>
    <row r="4598" ht="15.75" customHeight="1" x14ac:dyDescent="0.25"/>
    <row r="4599" ht="41.25" customHeight="1" x14ac:dyDescent="0.25"/>
    <row r="4600" ht="105.75" customHeight="1" x14ac:dyDescent="0.25"/>
    <row r="4601" ht="54" customHeight="1" x14ac:dyDescent="0.25"/>
    <row r="4602" ht="54" customHeight="1" x14ac:dyDescent="0.25"/>
    <row r="4603" ht="15.75" customHeight="1" x14ac:dyDescent="0.25"/>
    <row r="4604" ht="41.25" customHeight="1" x14ac:dyDescent="0.25"/>
    <row r="4605" ht="54" customHeight="1" x14ac:dyDescent="0.25"/>
    <row r="4606" ht="54" customHeight="1" x14ac:dyDescent="0.25"/>
    <row r="4607" ht="80.25" customHeight="1" x14ac:dyDescent="0.25"/>
    <row r="4608" ht="93" customHeight="1" x14ac:dyDescent="0.25"/>
    <row r="4609" ht="93" customHeight="1" x14ac:dyDescent="0.25"/>
    <row r="4610" ht="67.5" customHeight="1" x14ac:dyDescent="0.25"/>
    <row r="4611" ht="54" customHeight="1" x14ac:dyDescent="0.25"/>
    <row r="4612" ht="41.25" customHeight="1" x14ac:dyDescent="0.25"/>
    <row r="4613" ht="41.25" customHeight="1" x14ac:dyDescent="0.25"/>
    <row r="4614" ht="41.25" customHeight="1" x14ac:dyDescent="0.25"/>
    <row r="4615" ht="41.25" customHeight="1" x14ac:dyDescent="0.25"/>
    <row r="4616" ht="41.25" customHeight="1" x14ac:dyDescent="0.25"/>
    <row r="4617" ht="41.25" customHeight="1" x14ac:dyDescent="0.25"/>
    <row r="4618" ht="41.25" customHeight="1" x14ac:dyDescent="0.25"/>
    <row r="4619" ht="41.25" customHeight="1" x14ac:dyDescent="0.25"/>
    <row r="4620" ht="41.25" customHeight="1" x14ac:dyDescent="0.25"/>
    <row r="4621" ht="41.25" customHeight="1" x14ac:dyDescent="0.25"/>
    <row r="4622" ht="41.25" customHeight="1" x14ac:dyDescent="0.25"/>
    <row r="4623" ht="41.25" customHeight="1" x14ac:dyDescent="0.25"/>
    <row r="4624" ht="41.25" customHeight="1" x14ac:dyDescent="0.25"/>
    <row r="4625" ht="41.25" customHeight="1" x14ac:dyDescent="0.25"/>
    <row r="4626" ht="15.75" customHeight="1" x14ac:dyDescent="0.25"/>
    <row r="4627" ht="54" customHeight="1" x14ac:dyDescent="0.25"/>
    <row r="4628" ht="54" customHeight="1" x14ac:dyDescent="0.25"/>
    <row r="4629" ht="54" customHeight="1" x14ac:dyDescent="0.25"/>
    <row r="4630" ht="54" customHeight="1" x14ac:dyDescent="0.25"/>
    <row r="4631" ht="54" customHeight="1" x14ac:dyDescent="0.25"/>
    <row r="4632" ht="54" customHeight="1" x14ac:dyDescent="0.25"/>
    <row r="4633" ht="54" customHeight="1" x14ac:dyDescent="0.25"/>
    <row r="4634" ht="54" customHeight="1" x14ac:dyDescent="0.25"/>
    <row r="4635" ht="54" customHeight="1" x14ac:dyDescent="0.25"/>
    <row r="4636" ht="54" customHeight="1" x14ac:dyDescent="0.25"/>
    <row r="4637" ht="54" customHeight="1" x14ac:dyDescent="0.25"/>
    <row r="4638" ht="54" customHeight="1" x14ac:dyDescent="0.25"/>
    <row r="4639" ht="54" customHeight="1" x14ac:dyDescent="0.25"/>
    <row r="4640" ht="54" customHeight="1" x14ac:dyDescent="0.25"/>
    <row r="4641" ht="54" customHeight="1" x14ac:dyDescent="0.25"/>
    <row r="4642" ht="54" customHeight="1" x14ac:dyDescent="0.25"/>
    <row r="4643" ht="54" customHeight="1" x14ac:dyDescent="0.25"/>
    <row r="4644" ht="54" customHeight="1" x14ac:dyDescent="0.25"/>
    <row r="4645" ht="54" customHeight="1" x14ac:dyDescent="0.25"/>
    <row r="4646" ht="54" customHeight="1" x14ac:dyDescent="0.25"/>
    <row r="4647" ht="54" customHeight="1" x14ac:dyDescent="0.25"/>
    <row r="4648" ht="54" customHeight="1" x14ac:dyDescent="0.25"/>
    <row r="4649" ht="54" customHeight="1" x14ac:dyDescent="0.25"/>
    <row r="4650" ht="54" customHeight="1" x14ac:dyDescent="0.25"/>
    <row r="4651" ht="54" customHeight="1" x14ac:dyDescent="0.25"/>
    <row r="4652" ht="54" customHeight="1" x14ac:dyDescent="0.25"/>
    <row r="4653" ht="54" customHeight="1" x14ac:dyDescent="0.25"/>
    <row r="4654" ht="54" customHeight="1" x14ac:dyDescent="0.25"/>
    <row r="4655" ht="54" customHeight="1" x14ac:dyDescent="0.25"/>
    <row r="4656" ht="54" customHeight="1" x14ac:dyDescent="0.25"/>
    <row r="4657" ht="54" customHeight="1" x14ac:dyDescent="0.25"/>
    <row r="4658" ht="54" customHeight="1" x14ac:dyDescent="0.25"/>
    <row r="4659" ht="15.75" customHeight="1" x14ac:dyDescent="0.25"/>
    <row r="4660" ht="15.75" customHeight="1" x14ac:dyDescent="0.25"/>
    <row r="4661" ht="54" customHeight="1" x14ac:dyDescent="0.25"/>
    <row r="4662" ht="54" customHeight="1" x14ac:dyDescent="0.25"/>
    <row r="4663" ht="54" customHeight="1" x14ac:dyDescent="0.25"/>
    <row r="4664" ht="54" customHeight="1" x14ac:dyDescent="0.25"/>
    <row r="4665" ht="54" customHeight="1" x14ac:dyDescent="0.25"/>
    <row r="4666" ht="54" customHeight="1" x14ac:dyDescent="0.25"/>
    <row r="4667" ht="54" customHeight="1" x14ac:dyDescent="0.25"/>
    <row r="4668" ht="54" customHeight="1" x14ac:dyDescent="0.25"/>
    <row r="4669" ht="54" customHeight="1" x14ac:dyDescent="0.25"/>
    <row r="4670" ht="54" customHeight="1" x14ac:dyDescent="0.25"/>
    <row r="4671" ht="54" customHeight="1" x14ac:dyDescent="0.25"/>
    <row r="4672" ht="54" customHeight="1" x14ac:dyDescent="0.25"/>
    <row r="4673" ht="54" customHeight="1" x14ac:dyDescent="0.25"/>
    <row r="4674" ht="54" customHeight="1" x14ac:dyDescent="0.25"/>
    <row r="4675" ht="54" customHeight="1" x14ac:dyDescent="0.25"/>
    <row r="4676" ht="54" customHeight="1" x14ac:dyDescent="0.25"/>
    <row r="4677" ht="54" customHeight="1" x14ac:dyDescent="0.25"/>
    <row r="4678" ht="54" customHeight="1" x14ac:dyDescent="0.25"/>
    <row r="4679" ht="54" customHeight="1" x14ac:dyDescent="0.25"/>
    <row r="4680" ht="54" customHeight="1" x14ac:dyDescent="0.25"/>
    <row r="4681" ht="54" customHeight="1" x14ac:dyDescent="0.25"/>
    <row r="4682" ht="54" customHeight="1" x14ac:dyDescent="0.25"/>
    <row r="4683" ht="54" customHeight="1" x14ac:dyDescent="0.25"/>
    <row r="4684" ht="54" customHeight="1" x14ac:dyDescent="0.25"/>
    <row r="4685" ht="54" customHeight="1" x14ac:dyDescent="0.25"/>
    <row r="4686" ht="54" customHeight="1" x14ac:dyDescent="0.25"/>
    <row r="4687" ht="54" customHeight="1" x14ac:dyDescent="0.25"/>
    <row r="4688" ht="54" customHeight="1" x14ac:dyDescent="0.25"/>
    <row r="4689" ht="54" customHeight="1" x14ac:dyDescent="0.25"/>
    <row r="4690" ht="41.25" customHeight="1" x14ac:dyDescent="0.25"/>
    <row r="4691" ht="54" customHeight="1" x14ac:dyDescent="0.25"/>
    <row r="4692" ht="41.25" customHeight="1" x14ac:dyDescent="0.25"/>
    <row r="4693" ht="41.25" customHeight="1" x14ac:dyDescent="0.25"/>
    <row r="4694" ht="41.25" customHeight="1" x14ac:dyDescent="0.25"/>
    <row r="4695" ht="41.25" customHeight="1" x14ac:dyDescent="0.25"/>
    <row r="4696" ht="41.25" customHeight="1" x14ac:dyDescent="0.25"/>
    <row r="4697" ht="41.25" customHeight="1" x14ac:dyDescent="0.25"/>
    <row r="4698" ht="41.25" customHeight="1" x14ac:dyDescent="0.25"/>
    <row r="4699" ht="41.25" customHeight="1" x14ac:dyDescent="0.25"/>
    <row r="4700" ht="54" customHeight="1" x14ac:dyDescent="0.25"/>
    <row r="4701" ht="54" customHeight="1" x14ac:dyDescent="0.25"/>
    <row r="4702" ht="54" customHeight="1" x14ac:dyDescent="0.25"/>
    <row r="4703" ht="54" customHeight="1" x14ac:dyDescent="0.25"/>
    <row r="4704" ht="15" customHeight="1" x14ac:dyDescent="0.25"/>
    <row r="4705" ht="21.75" customHeight="1" x14ac:dyDescent="0.25"/>
  </sheetData>
  <autoFilter ref="A1:K4339"/>
  <mergeCells count="10">
    <mergeCell ref="A2:K2"/>
    <mergeCell ref="A4094:K4094"/>
    <mergeCell ref="A4095:K4095"/>
    <mergeCell ref="A4115:K4115"/>
    <mergeCell ref="A4125:K4125"/>
    <mergeCell ref="A4228:K4228"/>
    <mergeCell ref="A4232:K4232"/>
    <mergeCell ref="A4237:K4237"/>
    <mergeCell ref="A4260:K4260"/>
    <mergeCell ref="A4294:K4294"/>
  </mergeCells>
  <pageMargins left="0.75" right="0.75" top="1" bottom="1" header="0.511811023622047" footer="0.511811023622047"/>
  <pageSetup paperSize="9" scale="36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0"/>
  <sheetViews>
    <sheetView zoomScaleNormal="100" workbookViewId="0">
      <pane ySplit="7" topLeftCell="A8" activePane="bottomLeft" state="frozen"/>
      <selection pane="bottomLeft" sqref="A1:L1"/>
    </sheetView>
  </sheetViews>
  <sheetFormatPr defaultColWidth="8.7109375" defaultRowHeight="15" x14ac:dyDescent="0.25"/>
  <cols>
    <col min="1" max="1" width="6" customWidth="1"/>
    <col min="2" max="2" width="34" customWidth="1"/>
    <col min="3" max="3" width="11" customWidth="1"/>
    <col min="4" max="4" width="62" customWidth="1"/>
    <col min="5" max="5" width="24" customWidth="1"/>
    <col min="6" max="6" width="9" customWidth="1"/>
    <col min="7" max="7" width="11" customWidth="1"/>
    <col min="8" max="8" width="15" customWidth="1"/>
    <col min="9" max="9" width="18" customWidth="1"/>
    <col min="10" max="11" width="13" customWidth="1"/>
    <col min="12" max="12" width="40" customWidth="1"/>
  </cols>
  <sheetData>
    <row r="1" spans="1:12" ht="21.75" customHeight="1" x14ac:dyDescent="0.25">
      <c r="A1" s="154" t="s">
        <v>6086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12" x14ac:dyDescent="0.25">
      <c r="A2" s="155" t="s">
        <v>6087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</row>
    <row r="3" spans="1:12" x14ac:dyDescent="0.25">
      <c r="A3" s="155" t="s">
        <v>6088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1:12" x14ac:dyDescent="0.25">
      <c r="A4" s="155" t="s">
        <v>6089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</row>
    <row r="5" spans="1:12" x14ac:dyDescent="0.25">
      <c r="A5" s="155" t="s">
        <v>6090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</row>
    <row r="7" spans="1:12" ht="31.5" customHeight="1" x14ac:dyDescent="0.25">
      <c r="A7" s="99" t="s">
        <v>6091</v>
      </c>
      <c r="B7" s="99" t="s">
        <v>6092</v>
      </c>
      <c r="C7" s="99" t="s">
        <v>6093</v>
      </c>
      <c r="D7" s="99" t="s">
        <v>6094</v>
      </c>
      <c r="E7" s="99" t="s">
        <v>6095</v>
      </c>
      <c r="F7" s="99" t="s">
        <v>5</v>
      </c>
      <c r="G7" s="99" t="s">
        <v>6</v>
      </c>
      <c r="H7" s="99" t="s">
        <v>7</v>
      </c>
      <c r="I7" s="99" t="s">
        <v>8</v>
      </c>
      <c r="J7" s="99" t="s">
        <v>6096</v>
      </c>
      <c r="K7" s="99" t="s">
        <v>6097</v>
      </c>
      <c r="L7" s="99" t="s">
        <v>6098</v>
      </c>
    </row>
    <row r="8" spans="1:12" x14ac:dyDescent="0.25">
      <c r="A8" s="153" t="s">
        <v>6099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</row>
    <row r="9" spans="1:12" ht="63.75" x14ac:dyDescent="0.25">
      <c r="A9" s="100">
        <v>1</v>
      </c>
      <c r="B9" s="101" t="s">
        <v>6100</v>
      </c>
      <c r="C9" s="102" t="s">
        <v>12</v>
      </c>
      <c r="D9" s="101" t="s">
        <v>13</v>
      </c>
      <c r="E9" s="101" t="s">
        <v>6101</v>
      </c>
      <c r="F9" s="102" t="s">
        <v>15</v>
      </c>
      <c r="G9" s="103">
        <f>Спецификация!G3</f>
        <v>269</v>
      </c>
      <c r="H9" s="104">
        <f>Спецификация!H3</f>
        <v>900</v>
      </c>
      <c r="I9" s="104">
        <f>Спецификация!I3</f>
        <v>242100</v>
      </c>
      <c r="J9" s="100">
        <v>3</v>
      </c>
      <c r="K9" s="102" t="str">
        <f t="shared" ref="K9:K23" si="0">IF(H9=0,"НЕТ ЦЕНЫ","проценено")</f>
        <v>проценено</v>
      </c>
      <c r="L9" s="101" t="s">
        <v>6102</v>
      </c>
    </row>
    <row r="10" spans="1:12" ht="63.75" x14ac:dyDescent="0.25">
      <c r="A10" s="100">
        <v>2</v>
      </c>
      <c r="B10" s="101" t="s">
        <v>6100</v>
      </c>
      <c r="C10" s="102" t="s">
        <v>17</v>
      </c>
      <c r="D10" s="101" t="s">
        <v>18</v>
      </c>
      <c r="E10" s="101" t="s">
        <v>6103</v>
      </c>
      <c r="F10" s="102" t="s">
        <v>15</v>
      </c>
      <c r="G10" s="103">
        <f>Спецификация!G4</f>
        <v>26796.799999999999</v>
      </c>
      <c r="H10" s="104">
        <f>Спецификация!H4</f>
        <v>900</v>
      </c>
      <c r="I10" s="104">
        <f>Спецификация!I4</f>
        <v>24117120</v>
      </c>
      <c r="J10" s="100">
        <v>4</v>
      </c>
      <c r="K10" s="102" t="str">
        <f t="shared" si="0"/>
        <v>проценено</v>
      </c>
      <c r="L10" s="101" t="s">
        <v>6102</v>
      </c>
    </row>
    <row r="11" spans="1:12" ht="63.75" x14ac:dyDescent="0.25">
      <c r="A11" s="100">
        <v>3</v>
      </c>
      <c r="B11" s="101" t="s">
        <v>6100</v>
      </c>
      <c r="C11" s="102" t="s">
        <v>20</v>
      </c>
      <c r="D11" s="101" t="s">
        <v>18</v>
      </c>
      <c r="E11" s="101" t="s">
        <v>6104</v>
      </c>
      <c r="F11" s="102" t="s">
        <v>6105</v>
      </c>
      <c r="G11" s="103">
        <f>Спецификация!G5</f>
        <v>112.70399999999999</v>
      </c>
      <c r="H11" s="104">
        <f>Спецификация!H5</f>
        <v>900</v>
      </c>
      <c r="I11" s="104">
        <f>Спецификация!I5</f>
        <v>101433.59999999999</v>
      </c>
      <c r="J11" s="100">
        <v>5</v>
      </c>
      <c r="K11" s="102" t="str">
        <f t="shared" si="0"/>
        <v>проценено</v>
      </c>
      <c r="L11" s="101" t="s">
        <v>6106</v>
      </c>
    </row>
    <row r="12" spans="1:12" ht="63.75" x14ac:dyDescent="0.25">
      <c r="A12" s="100">
        <v>4</v>
      </c>
      <c r="B12" s="101" t="s">
        <v>6100</v>
      </c>
      <c r="C12" s="102" t="s">
        <v>17</v>
      </c>
      <c r="D12" s="101" t="s">
        <v>18</v>
      </c>
      <c r="E12" s="101" t="s">
        <v>6107</v>
      </c>
      <c r="F12" s="102" t="s">
        <v>15</v>
      </c>
      <c r="G12" s="103">
        <f>Спецификация!G6</f>
        <v>169.6</v>
      </c>
      <c r="H12" s="104">
        <f>Спецификация!H6</f>
        <v>900</v>
      </c>
      <c r="I12" s="104">
        <f>Спецификация!I6</f>
        <v>152640</v>
      </c>
      <c r="J12" s="100">
        <v>6</v>
      </c>
      <c r="K12" s="102" t="str">
        <f t="shared" si="0"/>
        <v>проценено</v>
      </c>
      <c r="L12" s="101" t="s">
        <v>6108</v>
      </c>
    </row>
    <row r="13" spans="1:12" ht="63.75" x14ac:dyDescent="0.25">
      <c r="A13" s="100">
        <v>5</v>
      </c>
      <c r="B13" s="101" t="s">
        <v>6100</v>
      </c>
      <c r="C13" s="102" t="s">
        <v>23</v>
      </c>
      <c r="D13" s="101" t="s">
        <v>18</v>
      </c>
      <c r="E13" s="101" t="s">
        <v>6107</v>
      </c>
      <c r="F13" s="102" t="s">
        <v>15</v>
      </c>
      <c r="G13" s="103">
        <f>Спецификация!G7</f>
        <v>851.2</v>
      </c>
      <c r="H13" s="104">
        <f>Спецификация!H7</f>
        <v>900</v>
      </c>
      <c r="I13" s="104">
        <f>Спецификация!I7</f>
        <v>766080</v>
      </c>
      <c r="J13" s="100">
        <v>7</v>
      </c>
      <c r="K13" s="102" t="str">
        <f t="shared" si="0"/>
        <v>проценено</v>
      </c>
      <c r="L13" s="101" t="s">
        <v>6108</v>
      </c>
    </row>
    <row r="14" spans="1:12" ht="63.75" x14ac:dyDescent="0.25">
      <c r="A14" s="100">
        <v>6</v>
      </c>
      <c r="B14" s="101" t="s">
        <v>6100</v>
      </c>
      <c r="C14" s="102" t="s">
        <v>24</v>
      </c>
      <c r="D14" s="101" t="s">
        <v>18</v>
      </c>
      <c r="E14" s="101" t="s">
        <v>6109</v>
      </c>
      <c r="F14" s="102" t="s">
        <v>15</v>
      </c>
      <c r="G14" s="103">
        <f>Спецификация!G8</f>
        <v>76.8</v>
      </c>
      <c r="H14" s="104">
        <f>Спецификация!H8</f>
        <v>900</v>
      </c>
      <c r="I14" s="104">
        <f>Спецификация!I8</f>
        <v>69120</v>
      </c>
      <c r="J14" s="100">
        <v>8</v>
      </c>
      <c r="K14" s="102" t="str">
        <f t="shared" si="0"/>
        <v>проценено</v>
      </c>
      <c r="L14" s="101" t="s">
        <v>6108</v>
      </c>
    </row>
    <row r="15" spans="1:12" ht="63.75" x14ac:dyDescent="0.25">
      <c r="A15" s="100">
        <v>7</v>
      </c>
      <c r="B15" s="101" t="s">
        <v>6100</v>
      </c>
      <c r="C15" s="102" t="s">
        <v>17</v>
      </c>
      <c r="D15" s="101" t="s">
        <v>18</v>
      </c>
      <c r="E15" s="101" t="s">
        <v>6110</v>
      </c>
      <c r="F15" s="102" t="s">
        <v>6111</v>
      </c>
      <c r="G15" s="103">
        <f>Спецификация!G9</f>
        <v>228.8</v>
      </c>
      <c r="H15" s="104">
        <f>Спецификация!H9</f>
        <v>900</v>
      </c>
      <c r="I15" s="104">
        <f>Спецификация!I9</f>
        <v>205920</v>
      </c>
      <c r="J15" s="100">
        <v>9</v>
      </c>
      <c r="K15" s="102" t="str">
        <f t="shared" si="0"/>
        <v>проценено</v>
      </c>
      <c r="L15" s="101" t="s">
        <v>6112</v>
      </c>
    </row>
    <row r="16" spans="1:12" ht="63.75" x14ac:dyDescent="0.25">
      <c r="A16" s="100">
        <v>8</v>
      </c>
      <c r="B16" s="101" t="s">
        <v>6100</v>
      </c>
      <c r="C16" s="102" t="s">
        <v>27</v>
      </c>
      <c r="D16" s="101" t="s">
        <v>18</v>
      </c>
      <c r="E16" s="101" t="s">
        <v>6113</v>
      </c>
      <c r="F16" s="102" t="s">
        <v>15</v>
      </c>
      <c r="G16" s="103">
        <f>Спецификация!G10</f>
        <v>30.4</v>
      </c>
      <c r="H16" s="104">
        <f>Спецификация!H10</f>
        <v>900</v>
      </c>
      <c r="I16" s="104">
        <f>Спецификация!I10</f>
        <v>27360</v>
      </c>
      <c r="J16" s="100">
        <v>10</v>
      </c>
      <c r="K16" s="102" t="str">
        <f t="shared" si="0"/>
        <v>проценено</v>
      </c>
      <c r="L16" s="101" t="s">
        <v>6112</v>
      </c>
    </row>
    <row r="17" spans="1:12" ht="63.75" x14ac:dyDescent="0.25">
      <c r="A17" s="100">
        <v>9</v>
      </c>
      <c r="B17" s="101" t="s">
        <v>6100</v>
      </c>
      <c r="C17" s="102" t="s">
        <v>29</v>
      </c>
      <c r="D17" s="101" t="s">
        <v>18</v>
      </c>
      <c r="E17" s="101" t="s">
        <v>6110</v>
      </c>
      <c r="F17" s="102" t="s">
        <v>6111</v>
      </c>
      <c r="G17" s="103">
        <f>Спецификация!G11</f>
        <v>625.6</v>
      </c>
      <c r="H17" s="104">
        <f>Спецификация!H11</f>
        <v>900</v>
      </c>
      <c r="I17" s="104">
        <f>Спецификация!I11</f>
        <v>563040</v>
      </c>
      <c r="J17" s="100">
        <v>11</v>
      </c>
      <c r="K17" s="102" t="str">
        <f t="shared" si="0"/>
        <v>проценено</v>
      </c>
      <c r="L17" s="101" t="s">
        <v>6112</v>
      </c>
    </row>
    <row r="18" spans="1:12" ht="63.75" x14ac:dyDescent="0.25">
      <c r="A18" s="100">
        <v>10</v>
      </c>
      <c r="B18" s="101" t="s">
        <v>6100</v>
      </c>
      <c r="C18" s="102" t="s">
        <v>30</v>
      </c>
      <c r="D18" s="101" t="s">
        <v>18</v>
      </c>
      <c r="E18" s="101" t="s">
        <v>6113</v>
      </c>
      <c r="F18" s="102" t="s">
        <v>15</v>
      </c>
      <c r="G18" s="103">
        <f>Спецификация!G12</f>
        <v>104</v>
      </c>
      <c r="H18" s="104">
        <f>Спецификация!H12</f>
        <v>900</v>
      </c>
      <c r="I18" s="104">
        <f>Спецификация!I12</f>
        <v>93600</v>
      </c>
      <c r="J18" s="100">
        <v>12</v>
      </c>
      <c r="K18" s="102" t="str">
        <f t="shared" si="0"/>
        <v>проценено</v>
      </c>
      <c r="L18" s="101" t="s">
        <v>6112</v>
      </c>
    </row>
    <row r="19" spans="1:12" ht="63.75" x14ac:dyDescent="0.25">
      <c r="A19" s="100">
        <v>11</v>
      </c>
      <c r="B19" s="101" t="s">
        <v>6100</v>
      </c>
      <c r="C19" s="102" t="s">
        <v>31</v>
      </c>
      <c r="D19" s="101" t="s">
        <v>18</v>
      </c>
      <c r="E19" s="101" t="s">
        <v>6110</v>
      </c>
      <c r="F19" s="102" t="s">
        <v>15</v>
      </c>
      <c r="G19" s="103">
        <f>Спецификация!G13</f>
        <v>1510.4</v>
      </c>
      <c r="H19" s="104">
        <f>Спецификация!H13</f>
        <v>900</v>
      </c>
      <c r="I19" s="104">
        <f>Спецификация!I13</f>
        <v>1359360</v>
      </c>
      <c r="J19" s="100">
        <v>13</v>
      </c>
      <c r="K19" s="102" t="str">
        <f t="shared" si="0"/>
        <v>проценено</v>
      </c>
      <c r="L19" s="101" t="s">
        <v>6112</v>
      </c>
    </row>
    <row r="20" spans="1:12" ht="63.75" x14ac:dyDescent="0.25">
      <c r="A20" s="100">
        <v>12</v>
      </c>
      <c r="B20" s="101" t="s">
        <v>6100</v>
      </c>
      <c r="C20" s="102" t="s">
        <v>32</v>
      </c>
      <c r="D20" s="101" t="s">
        <v>18</v>
      </c>
      <c r="E20" s="101" t="s">
        <v>6114</v>
      </c>
      <c r="F20" s="102" t="s">
        <v>15</v>
      </c>
      <c r="G20" s="103">
        <f>Спецификация!G14</f>
        <v>329.6</v>
      </c>
      <c r="H20" s="104">
        <f>Спецификация!H14</f>
        <v>900</v>
      </c>
      <c r="I20" s="104">
        <f>Спецификация!I14</f>
        <v>296640</v>
      </c>
      <c r="J20" s="100">
        <v>14</v>
      </c>
      <c r="K20" s="102" t="str">
        <f t="shared" si="0"/>
        <v>проценено</v>
      </c>
      <c r="L20" s="101" t="s">
        <v>6112</v>
      </c>
    </row>
    <row r="21" spans="1:12" ht="63.75" x14ac:dyDescent="0.25">
      <c r="A21" s="100">
        <v>13</v>
      </c>
      <c r="B21" s="101" t="s">
        <v>6100</v>
      </c>
      <c r="C21" s="102" t="s">
        <v>34</v>
      </c>
      <c r="D21" s="101" t="s">
        <v>18</v>
      </c>
      <c r="E21" s="101" t="s">
        <v>6115</v>
      </c>
      <c r="F21" s="102" t="s">
        <v>15</v>
      </c>
      <c r="G21" s="103">
        <f>Спецификация!G15</f>
        <v>452.8</v>
      </c>
      <c r="H21" s="104">
        <f>Спецификация!H15</f>
        <v>900</v>
      </c>
      <c r="I21" s="104">
        <f>Спецификация!I15</f>
        <v>407520</v>
      </c>
      <c r="J21" s="100">
        <v>15</v>
      </c>
      <c r="K21" s="102" t="str">
        <f t="shared" si="0"/>
        <v>проценено</v>
      </c>
      <c r="L21" s="101" t="s">
        <v>6116</v>
      </c>
    </row>
    <row r="22" spans="1:12" ht="63.75" x14ac:dyDescent="0.25">
      <c r="A22" s="100">
        <v>14</v>
      </c>
      <c r="B22" s="101" t="s">
        <v>6100</v>
      </c>
      <c r="C22" s="102" t="s">
        <v>36</v>
      </c>
      <c r="D22" s="101" t="s">
        <v>18</v>
      </c>
      <c r="E22" s="101" t="s">
        <v>6117</v>
      </c>
      <c r="F22" s="102" t="s">
        <v>15</v>
      </c>
      <c r="G22" s="103">
        <f>Спецификация!G16</f>
        <v>7708.8</v>
      </c>
      <c r="H22" s="104">
        <f>Спецификация!H16</f>
        <v>900</v>
      </c>
      <c r="I22" s="104">
        <f>Спецификация!I16</f>
        <v>6937920</v>
      </c>
      <c r="J22" s="100">
        <v>16</v>
      </c>
      <c r="K22" s="102" t="str">
        <f t="shared" si="0"/>
        <v>проценено</v>
      </c>
      <c r="L22" s="101" t="s">
        <v>6118</v>
      </c>
    </row>
    <row r="23" spans="1:12" ht="63.75" x14ac:dyDescent="0.25">
      <c r="A23" s="100">
        <v>15</v>
      </c>
      <c r="B23" s="101" t="s">
        <v>6100</v>
      </c>
      <c r="C23" s="102" t="s">
        <v>38</v>
      </c>
      <c r="D23" s="101" t="s">
        <v>18</v>
      </c>
      <c r="E23" s="101" t="s">
        <v>6119</v>
      </c>
      <c r="F23" s="102" t="s">
        <v>15</v>
      </c>
      <c r="G23" s="103">
        <f>Спецификация!G17</f>
        <v>124.03</v>
      </c>
      <c r="H23" s="104">
        <f>Спецификация!H17</f>
        <v>900</v>
      </c>
      <c r="I23" s="104">
        <f>Спецификация!I17</f>
        <v>111627</v>
      </c>
      <c r="J23" s="100">
        <v>17</v>
      </c>
      <c r="K23" s="102" t="str">
        <f t="shared" si="0"/>
        <v>проценено</v>
      </c>
      <c r="L23" s="101" t="s">
        <v>6120</v>
      </c>
    </row>
    <row r="24" spans="1:12" x14ac:dyDescent="0.25">
      <c r="A24" s="105"/>
      <c r="B24" s="105"/>
      <c r="C24" s="105"/>
      <c r="D24" s="106" t="s">
        <v>6121</v>
      </c>
      <c r="E24" s="105"/>
      <c r="F24" s="105"/>
      <c r="G24" s="105"/>
      <c r="H24" s="105"/>
      <c r="I24" s="107">
        <f>SUM(I9:I23)</f>
        <v>35451480.600000001</v>
      </c>
      <c r="J24" s="105"/>
      <c r="K24" s="105"/>
      <c r="L24" s="105"/>
    </row>
    <row r="26" spans="1:12" x14ac:dyDescent="0.25">
      <c r="A26" s="153" t="s">
        <v>6122</v>
      </c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</row>
    <row r="27" spans="1:12" ht="63.75" x14ac:dyDescent="0.25">
      <c r="A27" s="100">
        <v>16</v>
      </c>
      <c r="B27" s="101" t="s">
        <v>6123</v>
      </c>
      <c r="C27" s="102" t="s">
        <v>491</v>
      </c>
      <c r="D27" s="101" t="s">
        <v>6124</v>
      </c>
      <c r="E27" s="101" t="s">
        <v>6125</v>
      </c>
      <c r="F27" s="102" t="s">
        <v>6126</v>
      </c>
      <c r="G27" s="103">
        <f>Спецификация!G384</f>
        <v>68</v>
      </c>
      <c r="H27" s="104">
        <f>Спецификация!H384</f>
        <v>0</v>
      </c>
      <c r="I27" s="104">
        <f>Спецификация!I384</f>
        <v>0</v>
      </c>
      <c r="J27" s="100">
        <v>384</v>
      </c>
      <c r="K27" s="102" t="str">
        <f t="shared" ref="K27:K72" si="1">IF(H27=0,"НЕТ ЦЕНЫ","проценено")</f>
        <v>НЕТ ЦЕНЫ</v>
      </c>
      <c r="L27" s="101" t="s">
        <v>6127</v>
      </c>
    </row>
    <row r="28" spans="1:12" ht="51" x14ac:dyDescent="0.25">
      <c r="A28" s="100">
        <v>17</v>
      </c>
      <c r="B28" s="101" t="s">
        <v>6123</v>
      </c>
      <c r="C28" s="102" t="s">
        <v>495</v>
      </c>
      <c r="D28" s="101" t="s">
        <v>6128</v>
      </c>
      <c r="E28" s="101" t="s">
        <v>6125</v>
      </c>
      <c r="F28" s="102" t="s">
        <v>6126</v>
      </c>
      <c r="G28" s="103">
        <f>Спецификация!G385</f>
        <v>51</v>
      </c>
      <c r="H28" s="104">
        <f>Спецификация!H385</f>
        <v>0</v>
      </c>
      <c r="I28" s="104">
        <f>Спецификация!I385</f>
        <v>0</v>
      </c>
      <c r="J28" s="100">
        <v>385</v>
      </c>
      <c r="K28" s="102" t="str">
        <f t="shared" si="1"/>
        <v>НЕТ ЦЕНЫ</v>
      </c>
      <c r="L28" s="101" t="s">
        <v>6127</v>
      </c>
    </row>
    <row r="29" spans="1:12" ht="51" x14ac:dyDescent="0.25">
      <c r="A29" s="100">
        <v>18</v>
      </c>
      <c r="B29" s="101" t="s">
        <v>6123</v>
      </c>
      <c r="C29" s="102" t="s">
        <v>497</v>
      </c>
      <c r="D29" s="101" t="s">
        <v>6129</v>
      </c>
      <c r="E29" s="101" t="s">
        <v>6125</v>
      </c>
      <c r="F29" s="102" t="s">
        <v>78</v>
      </c>
      <c r="G29" s="103">
        <f>Спецификация!G386</f>
        <v>10</v>
      </c>
      <c r="H29" s="104">
        <f>Спецификация!H386</f>
        <v>0</v>
      </c>
      <c r="I29" s="104">
        <f>Спецификация!I386</f>
        <v>0</v>
      </c>
      <c r="J29" s="100">
        <v>386</v>
      </c>
      <c r="K29" s="102" t="str">
        <f t="shared" si="1"/>
        <v>НЕТ ЦЕНЫ</v>
      </c>
      <c r="L29" s="101" t="s">
        <v>6127</v>
      </c>
    </row>
    <row r="30" spans="1:12" ht="63.75" x14ac:dyDescent="0.25">
      <c r="A30" s="100">
        <v>19</v>
      </c>
      <c r="B30" s="101" t="s">
        <v>6123</v>
      </c>
      <c r="C30" s="102" t="s">
        <v>499</v>
      </c>
      <c r="D30" s="101" t="s">
        <v>500</v>
      </c>
      <c r="E30" s="101" t="s">
        <v>6125</v>
      </c>
      <c r="F30" s="102" t="s">
        <v>6126</v>
      </c>
      <c r="G30" s="103">
        <f>Спецификация!G387</f>
        <v>32</v>
      </c>
      <c r="H30" s="104">
        <f>Спецификация!H387</f>
        <v>0</v>
      </c>
      <c r="I30" s="104">
        <f>Спецификация!I387</f>
        <v>0</v>
      </c>
      <c r="J30" s="100">
        <v>387</v>
      </c>
      <c r="K30" s="102" t="str">
        <f t="shared" si="1"/>
        <v>НЕТ ЦЕНЫ</v>
      </c>
      <c r="L30" s="101" t="s">
        <v>6127</v>
      </c>
    </row>
    <row r="31" spans="1:12" ht="51" x14ac:dyDescent="0.25">
      <c r="A31" s="100">
        <v>20</v>
      </c>
      <c r="B31" s="101" t="s">
        <v>6123</v>
      </c>
      <c r="C31" s="102" t="s">
        <v>501</v>
      </c>
      <c r="D31" s="101" t="s">
        <v>6130</v>
      </c>
      <c r="E31" s="101" t="s">
        <v>6125</v>
      </c>
      <c r="F31" s="102" t="s">
        <v>6126</v>
      </c>
      <c r="G31" s="103">
        <f>Спецификация!G388</f>
        <v>8</v>
      </c>
      <c r="H31" s="104">
        <f>Спецификация!H388</f>
        <v>0</v>
      </c>
      <c r="I31" s="104">
        <f>Спецификация!I388</f>
        <v>0</v>
      </c>
      <c r="J31" s="100">
        <v>388</v>
      </c>
      <c r="K31" s="102" t="str">
        <f t="shared" si="1"/>
        <v>НЕТ ЦЕНЫ</v>
      </c>
      <c r="L31" s="101" t="s">
        <v>6127</v>
      </c>
    </row>
    <row r="32" spans="1:12" ht="51" x14ac:dyDescent="0.25">
      <c r="A32" s="100">
        <v>21</v>
      </c>
      <c r="B32" s="101" t="s">
        <v>6123</v>
      </c>
      <c r="C32" s="102" t="s">
        <v>503</v>
      </c>
      <c r="D32" s="101" t="s">
        <v>504</v>
      </c>
      <c r="E32" s="101" t="s">
        <v>6131</v>
      </c>
      <c r="F32" s="102" t="s">
        <v>89</v>
      </c>
      <c r="G32" s="103">
        <f>Спецификация!G389</f>
        <v>269.45999999999998</v>
      </c>
      <c r="H32" s="104">
        <f>Спецификация!H389</f>
        <v>0</v>
      </c>
      <c r="I32" s="104">
        <f>Спецификация!I389</f>
        <v>0</v>
      </c>
      <c r="J32" s="100">
        <v>389</v>
      </c>
      <c r="K32" s="102" t="str">
        <f t="shared" si="1"/>
        <v>НЕТ ЦЕНЫ</v>
      </c>
      <c r="L32" s="101" t="s">
        <v>6127</v>
      </c>
    </row>
    <row r="33" spans="1:12" ht="51" x14ac:dyDescent="0.25">
      <c r="A33" s="100">
        <v>22</v>
      </c>
      <c r="B33" s="101" t="s">
        <v>6123</v>
      </c>
      <c r="C33" s="102" t="s">
        <v>506</v>
      </c>
      <c r="D33" s="101" t="s">
        <v>507</v>
      </c>
      <c r="E33" s="101" t="s">
        <v>6131</v>
      </c>
      <c r="F33" s="102" t="s">
        <v>89</v>
      </c>
      <c r="G33" s="103">
        <f>Спецификация!G390</f>
        <v>449.1</v>
      </c>
      <c r="H33" s="104">
        <f>Спецификация!H390</f>
        <v>0</v>
      </c>
      <c r="I33" s="104">
        <f>Спецификация!I390</f>
        <v>0</v>
      </c>
      <c r="J33" s="100">
        <v>390</v>
      </c>
      <c r="K33" s="102" t="str">
        <f t="shared" si="1"/>
        <v>НЕТ ЦЕНЫ</v>
      </c>
      <c r="L33" s="101" t="s">
        <v>6127</v>
      </c>
    </row>
    <row r="34" spans="1:12" ht="51" x14ac:dyDescent="0.25">
      <c r="A34" s="100">
        <v>23</v>
      </c>
      <c r="B34" s="101" t="s">
        <v>6123</v>
      </c>
      <c r="C34" s="102" t="s">
        <v>508</v>
      </c>
      <c r="D34" s="101" t="s">
        <v>509</v>
      </c>
      <c r="E34" s="101" t="s">
        <v>6125</v>
      </c>
      <c r="F34" s="102" t="s">
        <v>78</v>
      </c>
      <c r="G34" s="103">
        <f>Спецификация!G391</f>
        <v>98.14</v>
      </c>
      <c r="H34" s="104">
        <f>Спецификация!H391</f>
        <v>0</v>
      </c>
      <c r="I34" s="104">
        <f>Спецификация!I391</f>
        <v>0</v>
      </c>
      <c r="J34" s="100">
        <v>391</v>
      </c>
      <c r="K34" s="102" t="str">
        <f t="shared" si="1"/>
        <v>НЕТ ЦЕНЫ</v>
      </c>
      <c r="L34" s="101" t="s">
        <v>6127</v>
      </c>
    </row>
    <row r="35" spans="1:12" ht="51" x14ac:dyDescent="0.25">
      <c r="A35" s="100">
        <v>24</v>
      </c>
      <c r="B35" s="101" t="s">
        <v>6123</v>
      </c>
      <c r="C35" s="102" t="s">
        <v>510</v>
      </c>
      <c r="D35" s="101" t="s">
        <v>511</v>
      </c>
      <c r="E35" s="101" t="s">
        <v>6131</v>
      </c>
      <c r="F35" s="102" t="s">
        <v>78</v>
      </c>
      <c r="G35" s="103">
        <f>Спецификация!G392</f>
        <v>20</v>
      </c>
      <c r="H35" s="104">
        <f>Спецификация!H392</f>
        <v>0</v>
      </c>
      <c r="I35" s="104">
        <f>Спецификация!I392</f>
        <v>0</v>
      </c>
      <c r="J35" s="100">
        <v>392</v>
      </c>
      <c r="K35" s="102" t="str">
        <f t="shared" si="1"/>
        <v>НЕТ ЦЕНЫ</v>
      </c>
      <c r="L35" s="101" t="s">
        <v>6127</v>
      </c>
    </row>
    <row r="36" spans="1:12" ht="51" x14ac:dyDescent="0.25">
      <c r="A36" s="100">
        <v>25</v>
      </c>
      <c r="B36" s="101" t="s">
        <v>6123</v>
      </c>
      <c r="C36" s="102" t="s">
        <v>512</v>
      </c>
      <c r="D36" s="101" t="s">
        <v>513</v>
      </c>
      <c r="E36" s="101" t="s">
        <v>6131</v>
      </c>
      <c r="F36" s="102" t="s">
        <v>78</v>
      </c>
      <c r="G36" s="103">
        <f>Спецификация!G393</f>
        <v>76</v>
      </c>
      <c r="H36" s="104">
        <f>Спецификация!H393</f>
        <v>0</v>
      </c>
      <c r="I36" s="104">
        <f>Спецификация!I393</f>
        <v>0</v>
      </c>
      <c r="J36" s="100">
        <v>393</v>
      </c>
      <c r="K36" s="102" t="str">
        <f t="shared" si="1"/>
        <v>НЕТ ЦЕНЫ</v>
      </c>
      <c r="L36" s="101" t="s">
        <v>6127</v>
      </c>
    </row>
    <row r="37" spans="1:12" ht="51" x14ac:dyDescent="0.25">
      <c r="A37" s="100">
        <v>26</v>
      </c>
      <c r="B37" s="101" t="s">
        <v>6123</v>
      </c>
      <c r="C37" s="102" t="s">
        <v>514</v>
      </c>
      <c r="D37" s="101" t="s">
        <v>515</v>
      </c>
      <c r="E37" s="101" t="s">
        <v>6131</v>
      </c>
      <c r="F37" s="102" t="s">
        <v>78</v>
      </c>
      <c r="G37" s="103">
        <f>Спецификация!G394</f>
        <v>117</v>
      </c>
      <c r="H37" s="104">
        <f>Спецификация!H394</f>
        <v>0</v>
      </c>
      <c r="I37" s="104">
        <f>Спецификация!I394</f>
        <v>0</v>
      </c>
      <c r="J37" s="100">
        <v>394</v>
      </c>
      <c r="K37" s="102" t="str">
        <f t="shared" si="1"/>
        <v>НЕТ ЦЕНЫ</v>
      </c>
      <c r="L37" s="101" t="s">
        <v>6127</v>
      </c>
    </row>
    <row r="38" spans="1:12" ht="51" x14ac:dyDescent="0.25">
      <c r="A38" s="100">
        <v>27</v>
      </c>
      <c r="B38" s="101" t="s">
        <v>6123</v>
      </c>
      <c r="C38" s="102" t="s">
        <v>516</v>
      </c>
      <c r="D38" s="101" t="s">
        <v>517</v>
      </c>
      <c r="E38" s="101" t="s">
        <v>6131</v>
      </c>
      <c r="F38" s="102" t="s">
        <v>78</v>
      </c>
      <c r="G38" s="103">
        <f>Спецификация!G395</f>
        <v>49</v>
      </c>
      <c r="H38" s="104">
        <f>Спецификация!H395</f>
        <v>0</v>
      </c>
      <c r="I38" s="104">
        <f>Спецификация!I395</f>
        <v>0</v>
      </c>
      <c r="J38" s="100">
        <v>395</v>
      </c>
      <c r="K38" s="102" t="str">
        <f t="shared" si="1"/>
        <v>НЕТ ЦЕНЫ</v>
      </c>
      <c r="L38" s="101" t="s">
        <v>6127</v>
      </c>
    </row>
    <row r="39" spans="1:12" ht="51" x14ac:dyDescent="0.25">
      <c r="A39" s="100">
        <v>28</v>
      </c>
      <c r="B39" s="101" t="s">
        <v>6123</v>
      </c>
      <c r="C39" s="102" t="s">
        <v>518</v>
      </c>
      <c r="D39" s="101" t="s">
        <v>519</v>
      </c>
      <c r="E39" s="101" t="s">
        <v>6125</v>
      </c>
      <c r="F39" s="102" t="s">
        <v>78</v>
      </c>
      <c r="G39" s="103">
        <f>Спецификация!G396</f>
        <v>24</v>
      </c>
      <c r="H39" s="104">
        <f>Спецификация!H396</f>
        <v>0</v>
      </c>
      <c r="I39" s="104">
        <f>Спецификация!I396</f>
        <v>0</v>
      </c>
      <c r="J39" s="100">
        <v>396</v>
      </c>
      <c r="K39" s="102" t="str">
        <f t="shared" si="1"/>
        <v>НЕТ ЦЕНЫ</v>
      </c>
      <c r="L39" s="101" t="s">
        <v>6127</v>
      </c>
    </row>
    <row r="40" spans="1:12" ht="51" x14ac:dyDescent="0.25">
      <c r="A40" s="100">
        <v>29</v>
      </c>
      <c r="B40" s="101" t="s">
        <v>6123</v>
      </c>
      <c r="C40" s="102" t="s">
        <v>520</v>
      </c>
      <c r="D40" s="101" t="s">
        <v>521</v>
      </c>
      <c r="E40" s="101" t="s">
        <v>6125</v>
      </c>
      <c r="F40" s="102" t="s">
        <v>78</v>
      </c>
      <c r="G40" s="103">
        <f>Спецификация!G397</f>
        <v>50</v>
      </c>
      <c r="H40" s="104">
        <f>Спецификация!H397</f>
        <v>7188</v>
      </c>
      <c r="I40" s="104">
        <f>Спецификация!I397</f>
        <v>359400</v>
      </c>
      <c r="J40" s="100">
        <v>397</v>
      </c>
      <c r="K40" s="102" t="str">
        <f t="shared" si="1"/>
        <v>проценено</v>
      </c>
      <c r="L40" s="101" t="s">
        <v>6127</v>
      </c>
    </row>
    <row r="41" spans="1:12" ht="51" x14ac:dyDescent="0.25">
      <c r="A41" s="100">
        <v>30</v>
      </c>
      <c r="B41" s="101" t="s">
        <v>6123</v>
      </c>
      <c r="C41" s="102" t="s">
        <v>522</v>
      </c>
      <c r="D41" s="101" t="s">
        <v>504</v>
      </c>
      <c r="E41" s="101" t="s">
        <v>6131</v>
      </c>
      <c r="F41" s="102" t="s">
        <v>89</v>
      </c>
      <c r="G41" s="103">
        <f>Спецификация!G398</f>
        <v>49.9</v>
      </c>
      <c r="H41" s="104">
        <f>Спецификация!H398</f>
        <v>0</v>
      </c>
      <c r="I41" s="104">
        <f>Спецификация!I398</f>
        <v>0</v>
      </c>
      <c r="J41" s="100">
        <v>398</v>
      </c>
      <c r="K41" s="102" t="str">
        <f t="shared" si="1"/>
        <v>НЕТ ЦЕНЫ</v>
      </c>
      <c r="L41" s="101" t="s">
        <v>6127</v>
      </c>
    </row>
    <row r="42" spans="1:12" ht="51" x14ac:dyDescent="0.25">
      <c r="A42" s="100">
        <v>31</v>
      </c>
      <c r="B42" s="101" t="s">
        <v>6123</v>
      </c>
      <c r="C42" s="102" t="s">
        <v>523</v>
      </c>
      <c r="D42" s="101" t="s">
        <v>507</v>
      </c>
      <c r="E42" s="101" t="s">
        <v>6131</v>
      </c>
      <c r="F42" s="102" t="s">
        <v>89</v>
      </c>
      <c r="G42" s="103">
        <f>Спецификация!G399</f>
        <v>499</v>
      </c>
      <c r="H42" s="104">
        <f>Спецификация!H399</f>
        <v>0</v>
      </c>
      <c r="I42" s="104">
        <f>Спецификация!I399</f>
        <v>0</v>
      </c>
      <c r="J42" s="100">
        <v>399</v>
      </c>
      <c r="K42" s="102" t="str">
        <f t="shared" si="1"/>
        <v>НЕТ ЦЕНЫ</v>
      </c>
      <c r="L42" s="101" t="s">
        <v>6127</v>
      </c>
    </row>
    <row r="43" spans="1:12" ht="51" x14ac:dyDescent="0.25">
      <c r="A43" s="100">
        <v>32</v>
      </c>
      <c r="B43" s="101" t="s">
        <v>6123</v>
      </c>
      <c r="C43" s="102" t="s">
        <v>524</v>
      </c>
      <c r="D43" s="101" t="s">
        <v>525</v>
      </c>
      <c r="E43" s="101" t="s">
        <v>6125</v>
      </c>
      <c r="F43" s="102" t="s">
        <v>78</v>
      </c>
      <c r="G43" s="103">
        <f>Спецификация!G400</f>
        <v>100</v>
      </c>
      <c r="H43" s="104">
        <f>Спецификация!H400</f>
        <v>0</v>
      </c>
      <c r="I43" s="104">
        <f>Спецификация!I400</f>
        <v>0</v>
      </c>
      <c r="J43" s="100">
        <v>400</v>
      </c>
      <c r="K43" s="102" t="str">
        <f t="shared" si="1"/>
        <v>НЕТ ЦЕНЫ</v>
      </c>
      <c r="L43" s="101" t="s">
        <v>6127</v>
      </c>
    </row>
    <row r="44" spans="1:12" ht="51" x14ac:dyDescent="0.25">
      <c r="A44" s="100">
        <v>33</v>
      </c>
      <c r="B44" s="101" t="s">
        <v>6123</v>
      </c>
      <c r="C44" s="102" t="s">
        <v>526</v>
      </c>
      <c r="D44" s="101" t="s">
        <v>511</v>
      </c>
      <c r="E44" s="101" t="s">
        <v>6131</v>
      </c>
      <c r="F44" s="102" t="s">
        <v>78</v>
      </c>
      <c r="G44" s="103">
        <f>Спецификация!G401</f>
        <v>15</v>
      </c>
      <c r="H44" s="104">
        <f>Спецификация!H401</f>
        <v>0</v>
      </c>
      <c r="I44" s="104">
        <f>Спецификация!I401</f>
        <v>0</v>
      </c>
      <c r="J44" s="100">
        <v>401</v>
      </c>
      <c r="K44" s="102" t="str">
        <f t="shared" si="1"/>
        <v>НЕТ ЦЕНЫ</v>
      </c>
      <c r="L44" s="101" t="s">
        <v>6127</v>
      </c>
    </row>
    <row r="45" spans="1:12" ht="51" x14ac:dyDescent="0.25">
      <c r="A45" s="100">
        <v>34</v>
      </c>
      <c r="B45" s="101" t="s">
        <v>6123</v>
      </c>
      <c r="C45" s="102" t="s">
        <v>527</v>
      </c>
      <c r="D45" s="101" t="s">
        <v>528</v>
      </c>
      <c r="E45" s="101" t="s">
        <v>6131</v>
      </c>
      <c r="F45" s="102" t="s">
        <v>78</v>
      </c>
      <c r="G45" s="103">
        <f>Спецификация!G402</f>
        <v>1</v>
      </c>
      <c r="H45" s="104">
        <f>Спецификация!H402</f>
        <v>117000</v>
      </c>
      <c r="I45" s="104">
        <f>Спецификация!I402</f>
        <v>117000</v>
      </c>
      <c r="J45" s="100">
        <v>402</v>
      </c>
      <c r="K45" s="102" t="str">
        <f t="shared" si="1"/>
        <v>проценено</v>
      </c>
      <c r="L45" s="101" t="s">
        <v>6127</v>
      </c>
    </row>
    <row r="46" spans="1:12" ht="51" x14ac:dyDescent="0.25">
      <c r="A46" s="100">
        <v>35</v>
      </c>
      <c r="B46" s="101" t="s">
        <v>6123</v>
      </c>
      <c r="C46" s="102" t="s">
        <v>529</v>
      </c>
      <c r="D46" s="101" t="s">
        <v>504</v>
      </c>
      <c r="E46" s="101" t="s">
        <v>6131</v>
      </c>
      <c r="F46" s="102" t="s">
        <v>89</v>
      </c>
      <c r="G46" s="103">
        <f>Спецификация!G403</f>
        <v>29.94</v>
      </c>
      <c r="H46" s="104">
        <f>Спецификация!H403</f>
        <v>0</v>
      </c>
      <c r="I46" s="104">
        <f>Спецификация!I403</f>
        <v>0</v>
      </c>
      <c r="J46" s="100">
        <v>403</v>
      </c>
      <c r="K46" s="102" t="str">
        <f t="shared" si="1"/>
        <v>НЕТ ЦЕНЫ</v>
      </c>
      <c r="L46" s="101" t="s">
        <v>6127</v>
      </c>
    </row>
    <row r="47" spans="1:12" ht="51" x14ac:dyDescent="0.25">
      <c r="A47" s="100">
        <v>36</v>
      </c>
      <c r="B47" s="101" t="s">
        <v>6123</v>
      </c>
      <c r="C47" s="102" t="s">
        <v>530</v>
      </c>
      <c r="D47" s="101" t="s">
        <v>507</v>
      </c>
      <c r="E47" s="101" t="s">
        <v>6131</v>
      </c>
      <c r="F47" s="102" t="s">
        <v>89</v>
      </c>
      <c r="G47" s="103">
        <f>Спецификация!G404</f>
        <v>219.56</v>
      </c>
      <c r="H47" s="104">
        <f>Спецификация!H404</f>
        <v>0</v>
      </c>
      <c r="I47" s="104">
        <f>Спецификация!I404</f>
        <v>0</v>
      </c>
      <c r="J47" s="100">
        <v>404</v>
      </c>
      <c r="K47" s="102" t="str">
        <f t="shared" si="1"/>
        <v>НЕТ ЦЕНЫ</v>
      </c>
      <c r="L47" s="101" t="s">
        <v>6127</v>
      </c>
    </row>
    <row r="48" spans="1:12" ht="51" x14ac:dyDescent="0.25">
      <c r="A48" s="100">
        <v>37</v>
      </c>
      <c r="B48" s="101" t="s">
        <v>6123</v>
      </c>
      <c r="C48" s="102" t="s">
        <v>531</v>
      </c>
      <c r="D48" s="101" t="s">
        <v>532</v>
      </c>
      <c r="E48" s="101" t="s">
        <v>6125</v>
      </c>
      <c r="F48" s="102" t="s">
        <v>78</v>
      </c>
      <c r="G48" s="103">
        <f>Спецификация!G405</f>
        <v>10</v>
      </c>
      <c r="H48" s="104">
        <f>Спецификация!H405</f>
        <v>0</v>
      </c>
      <c r="I48" s="104">
        <f>Спецификация!I405</f>
        <v>0</v>
      </c>
      <c r="J48" s="100">
        <v>405</v>
      </c>
      <c r="K48" s="102" t="str">
        <f t="shared" si="1"/>
        <v>НЕТ ЦЕНЫ</v>
      </c>
      <c r="L48" s="101" t="s">
        <v>6127</v>
      </c>
    </row>
    <row r="49" spans="1:12" ht="51" x14ac:dyDescent="0.25">
      <c r="A49" s="100">
        <v>38</v>
      </c>
      <c r="B49" s="101" t="s">
        <v>6123</v>
      </c>
      <c r="C49" s="102" t="s">
        <v>533</v>
      </c>
      <c r="D49" s="101" t="s">
        <v>511</v>
      </c>
      <c r="E49" s="101" t="s">
        <v>6131</v>
      </c>
      <c r="F49" s="102" t="s">
        <v>78</v>
      </c>
      <c r="G49" s="103">
        <f>Спецификация!G406</f>
        <v>8</v>
      </c>
      <c r="H49" s="104">
        <f>Спецификация!H406</f>
        <v>0</v>
      </c>
      <c r="I49" s="104">
        <f>Спецификация!I406</f>
        <v>0</v>
      </c>
      <c r="J49" s="100">
        <v>406</v>
      </c>
      <c r="K49" s="102" t="str">
        <f t="shared" si="1"/>
        <v>НЕТ ЦЕНЫ</v>
      </c>
      <c r="L49" s="101" t="s">
        <v>6127</v>
      </c>
    </row>
    <row r="50" spans="1:12" ht="51" x14ac:dyDescent="0.25">
      <c r="A50" s="100">
        <v>39</v>
      </c>
      <c r="B50" s="101" t="s">
        <v>6123</v>
      </c>
      <c r="C50" s="102" t="s">
        <v>534</v>
      </c>
      <c r="D50" s="101" t="s">
        <v>515</v>
      </c>
      <c r="E50" s="101" t="s">
        <v>6131</v>
      </c>
      <c r="F50" s="102" t="s">
        <v>78</v>
      </c>
      <c r="G50" s="103">
        <f>Спецификация!G407</f>
        <v>15</v>
      </c>
      <c r="H50" s="104">
        <f>Спецификация!H407</f>
        <v>0</v>
      </c>
      <c r="I50" s="104">
        <f>Спецификация!I407</f>
        <v>0</v>
      </c>
      <c r="J50" s="100">
        <v>407</v>
      </c>
      <c r="K50" s="102" t="str">
        <f t="shared" si="1"/>
        <v>НЕТ ЦЕНЫ</v>
      </c>
      <c r="L50" s="101" t="s">
        <v>6127</v>
      </c>
    </row>
    <row r="51" spans="1:12" ht="51" x14ac:dyDescent="0.25">
      <c r="A51" s="100">
        <v>40</v>
      </c>
      <c r="B51" s="101" t="s">
        <v>6123</v>
      </c>
      <c r="C51" s="102" t="s">
        <v>535</v>
      </c>
      <c r="D51" s="101" t="s">
        <v>519</v>
      </c>
      <c r="E51" s="101" t="s">
        <v>6125</v>
      </c>
      <c r="F51" s="102" t="s">
        <v>78</v>
      </c>
      <c r="G51" s="103">
        <f>Спецификация!G408</f>
        <v>21</v>
      </c>
      <c r="H51" s="104">
        <f>Спецификация!H408</f>
        <v>0</v>
      </c>
      <c r="I51" s="104">
        <f>Спецификация!I408</f>
        <v>0</v>
      </c>
      <c r="J51" s="100">
        <v>408</v>
      </c>
      <c r="K51" s="102" t="str">
        <f t="shared" si="1"/>
        <v>НЕТ ЦЕНЫ</v>
      </c>
      <c r="L51" s="101" t="s">
        <v>6127</v>
      </c>
    </row>
    <row r="52" spans="1:12" ht="51" x14ac:dyDescent="0.25">
      <c r="A52" s="100">
        <v>41</v>
      </c>
      <c r="B52" s="101" t="s">
        <v>6123</v>
      </c>
      <c r="C52" s="102" t="s">
        <v>548</v>
      </c>
      <c r="D52" s="101" t="s">
        <v>549</v>
      </c>
      <c r="E52" s="101" t="s">
        <v>6132</v>
      </c>
      <c r="F52" s="102" t="s">
        <v>78</v>
      </c>
      <c r="G52" s="103">
        <f>Спецификация!G423</f>
        <v>35</v>
      </c>
      <c r="H52" s="104">
        <f>Спецификация!H423</f>
        <v>0</v>
      </c>
      <c r="I52" s="104">
        <f>Спецификация!I423</f>
        <v>0</v>
      </c>
      <c r="J52" s="100">
        <v>423</v>
      </c>
      <c r="K52" s="102" t="str">
        <f t="shared" si="1"/>
        <v>НЕТ ЦЕНЫ</v>
      </c>
      <c r="L52" s="101" t="s">
        <v>6127</v>
      </c>
    </row>
    <row r="53" spans="1:12" ht="51" x14ac:dyDescent="0.25">
      <c r="A53" s="100">
        <v>42</v>
      </c>
      <c r="B53" s="101" t="s">
        <v>6123</v>
      </c>
      <c r="C53" s="102" t="s">
        <v>551</v>
      </c>
      <c r="D53" s="101" t="s">
        <v>552</v>
      </c>
      <c r="E53" s="101" t="s">
        <v>6132</v>
      </c>
      <c r="F53" s="102" t="s">
        <v>78</v>
      </c>
      <c r="G53" s="103">
        <f>Спецификация!G424</f>
        <v>22</v>
      </c>
      <c r="H53" s="104">
        <f>Спецификация!H424</f>
        <v>0</v>
      </c>
      <c r="I53" s="104">
        <f>Спецификация!I424</f>
        <v>0</v>
      </c>
      <c r="J53" s="100">
        <v>424</v>
      </c>
      <c r="K53" s="102" t="str">
        <f t="shared" si="1"/>
        <v>НЕТ ЦЕНЫ</v>
      </c>
      <c r="L53" s="101" t="s">
        <v>6127</v>
      </c>
    </row>
    <row r="54" spans="1:12" ht="51" x14ac:dyDescent="0.25">
      <c r="A54" s="100">
        <v>43</v>
      </c>
      <c r="B54" s="101" t="s">
        <v>6123</v>
      </c>
      <c r="C54" s="102" t="s">
        <v>553</v>
      </c>
      <c r="D54" s="101" t="s">
        <v>554</v>
      </c>
      <c r="E54" s="101" t="s">
        <v>6133</v>
      </c>
      <c r="F54" s="102" t="s">
        <v>89</v>
      </c>
      <c r="G54" s="103">
        <f>Спецификация!G425</f>
        <v>25.25</v>
      </c>
      <c r="H54" s="104">
        <f>Спецификация!H425</f>
        <v>0</v>
      </c>
      <c r="I54" s="104">
        <f>Спецификация!I425</f>
        <v>0</v>
      </c>
      <c r="J54" s="100">
        <v>425</v>
      </c>
      <c r="K54" s="102" t="str">
        <f t="shared" si="1"/>
        <v>НЕТ ЦЕНЫ</v>
      </c>
      <c r="L54" s="101" t="s">
        <v>6127</v>
      </c>
    </row>
    <row r="55" spans="1:12" ht="51" x14ac:dyDescent="0.25">
      <c r="A55" s="100">
        <v>44</v>
      </c>
      <c r="B55" s="101" t="s">
        <v>6123</v>
      </c>
      <c r="C55" s="102" t="s">
        <v>556</v>
      </c>
      <c r="D55" s="101" t="s">
        <v>557</v>
      </c>
      <c r="E55" s="101" t="s">
        <v>6133</v>
      </c>
      <c r="F55" s="102" t="s">
        <v>89</v>
      </c>
      <c r="G55" s="103">
        <f>Спецификация!G426</f>
        <v>363.6</v>
      </c>
      <c r="H55" s="104">
        <f>Спецификация!H426</f>
        <v>0</v>
      </c>
      <c r="I55" s="104">
        <f>Спецификация!I426</f>
        <v>0</v>
      </c>
      <c r="J55" s="100">
        <v>426</v>
      </c>
      <c r="K55" s="102" t="str">
        <f t="shared" si="1"/>
        <v>НЕТ ЦЕНЫ</v>
      </c>
      <c r="L55" s="101" t="s">
        <v>6127</v>
      </c>
    </row>
    <row r="56" spans="1:12" ht="51" x14ac:dyDescent="0.25">
      <c r="A56" s="100">
        <v>45</v>
      </c>
      <c r="B56" s="101" t="s">
        <v>6123</v>
      </c>
      <c r="C56" s="102" t="s">
        <v>558</v>
      </c>
      <c r="D56" s="101" t="s">
        <v>559</v>
      </c>
      <c r="E56" s="101" t="s">
        <v>6133</v>
      </c>
      <c r="F56" s="102" t="s">
        <v>89</v>
      </c>
      <c r="G56" s="103">
        <f>Спецификация!G427</f>
        <v>303</v>
      </c>
      <c r="H56" s="104">
        <f>Спецификация!H427</f>
        <v>0</v>
      </c>
      <c r="I56" s="104">
        <f>Спецификация!I427</f>
        <v>0</v>
      </c>
      <c r="J56" s="100">
        <v>427</v>
      </c>
      <c r="K56" s="102" t="str">
        <f t="shared" si="1"/>
        <v>НЕТ ЦЕНЫ</v>
      </c>
      <c r="L56" s="101" t="s">
        <v>6127</v>
      </c>
    </row>
    <row r="57" spans="1:12" ht="51" x14ac:dyDescent="0.25">
      <c r="A57" s="100">
        <v>46</v>
      </c>
      <c r="B57" s="101" t="s">
        <v>6123</v>
      </c>
      <c r="C57" s="102" t="s">
        <v>560</v>
      </c>
      <c r="D57" s="101" t="s">
        <v>561</v>
      </c>
      <c r="E57" s="101" t="s">
        <v>6134</v>
      </c>
      <c r="F57" s="102" t="s">
        <v>78</v>
      </c>
      <c r="G57" s="103">
        <f>Спецификация!G428</f>
        <v>8</v>
      </c>
      <c r="H57" s="104">
        <f>Спецификация!H428</f>
        <v>0</v>
      </c>
      <c r="I57" s="104">
        <f>Спецификация!I428</f>
        <v>0</v>
      </c>
      <c r="J57" s="100">
        <v>428</v>
      </c>
      <c r="K57" s="102" t="str">
        <f t="shared" si="1"/>
        <v>НЕТ ЦЕНЫ</v>
      </c>
      <c r="L57" s="101" t="s">
        <v>6127</v>
      </c>
    </row>
    <row r="58" spans="1:12" ht="51" x14ac:dyDescent="0.25">
      <c r="A58" s="100">
        <v>47</v>
      </c>
      <c r="B58" s="101" t="s">
        <v>6123</v>
      </c>
      <c r="C58" s="102" t="s">
        <v>563</v>
      </c>
      <c r="D58" s="101" t="s">
        <v>564</v>
      </c>
      <c r="E58" s="101" t="s">
        <v>6134</v>
      </c>
      <c r="F58" s="102" t="s">
        <v>78</v>
      </c>
      <c r="G58" s="103">
        <f>Спецификация!G429</f>
        <v>36</v>
      </c>
      <c r="H58" s="104">
        <f>Спецификация!H429</f>
        <v>0</v>
      </c>
      <c r="I58" s="104">
        <f>Спецификация!I429</f>
        <v>0</v>
      </c>
      <c r="J58" s="100">
        <v>429</v>
      </c>
      <c r="K58" s="102" t="str">
        <f t="shared" si="1"/>
        <v>НЕТ ЦЕНЫ</v>
      </c>
      <c r="L58" s="101" t="s">
        <v>6127</v>
      </c>
    </row>
    <row r="59" spans="1:12" ht="51" x14ac:dyDescent="0.25">
      <c r="A59" s="100">
        <v>48</v>
      </c>
      <c r="B59" s="101" t="s">
        <v>6123</v>
      </c>
      <c r="C59" s="102" t="s">
        <v>565</v>
      </c>
      <c r="D59" s="101" t="s">
        <v>566</v>
      </c>
      <c r="E59" s="101" t="s">
        <v>6134</v>
      </c>
      <c r="F59" s="102" t="s">
        <v>78</v>
      </c>
      <c r="G59" s="103">
        <f>Спецификация!G430</f>
        <v>18</v>
      </c>
      <c r="H59" s="104">
        <f>Спецификация!H430</f>
        <v>0</v>
      </c>
      <c r="I59" s="104">
        <f>Спецификация!I430</f>
        <v>0</v>
      </c>
      <c r="J59" s="100">
        <v>430</v>
      </c>
      <c r="K59" s="102" t="str">
        <f t="shared" si="1"/>
        <v>НЕТ ЦЕНЫ</v>
      </c>
      <c r="L59" s="101" t="s">
        <v>6127</v>
      </c>
    </row>
    <row r="60" spans="1:12" ht="51" x14ac:dyDescent="0.25">
      <c r="A60" s="100">
        <v>49</v>
      </c>
      <c r="B60" s="101" t="s">
        <v>6123</v>
      </c>
      <c r="C60" s="102" t="s">
        <v>567</v>
      </c>
      <c r="D60" s="101" t="s">
        <v>552</v>
      </c>
      <c r="E60" s="101" t="s">
        <v>6133</v>
      </c>
      <c r="F60" s="102" t="s">
        <v>78</v>
      </c>
      <c r="G60" s="103">
        <f>Спецификация!G431</f>
        <v>29</v>
      </c>
      <c r="H60" s="104">
        <f>Спецификация!H431</f>
        <v>0</v>
      </c>
      <c r="I60" s="104">
        <f>Спецификация!I431</f>
        <v>0</v>
      </c>
      <c r="J60" s="100">
        <v>431</v>
      </c>
      <c r="K60" s="102" t="str">
        <f t="shared" si="1"/>
        <v>НЕТ ЦЕНЫ</v>
      </c>
      <c r="L60" s="101" t="s">
        <v>6127</v>
      </c>
    </row>
    <row r="61" spans="1:12" ht="38.25" x14ac:dyDescent="0.25">
      <c r="A61" s="100">
        <v>50</v>
      </c>
      <c r="B61" s="101" t="s">
        <v>6123</v>
      </c>
      <c r="C61" s="102" t="s">
        <v>581</v>
      </c>
      <c r="D61" s="101" t="s">
        <v>554</v>
      </c>
      <c r="E61" s="101" t="s">
        <v>6135</v>
      </c>
      <c r="F61" s="102" t="s">
        <v>89</v>
      </c>
      <c r="G61" s="103">
        <f>Спецификация!G439</f>
        <v>385.67675000000003</v>
      </c>
      <c r="H61" s="104">
        <f>Спецификация!H439</f>
        <v>0</v>
      </c>
      <c r="I61" s="104">
        <f>Спецификация!I439</f>
        <v>0</v>
      </c>
      <c r="J61" s="100">
        <v>439</v>
      </c>
      <c r="K61" s="102" t="str">
        <f t="shared" si="1"/>
        <v>НЕТ ЦЕНЫ</v>
      </c>
      <c r="L61" s="101" t="s">
        <v>6127</v>
      </c>
    </row>
    <row r="62" spans="1:12" ht="51" x14ac:dyDescent="0.25">
      <c r="A62" s="100">
        <v>51</v>
      </c>
      <c r="B62" s="101" t="s">
        <v>6123</v>
      </c>
      <c r="C62" s="102" t="s">
        <v>803</v>
      </c>
      <c r="D62" s="101" t="s">
        <v>804</v>
      </c>
      <c r="E62" s="101" t="s">
        <v>6136</v>
      </c>
      <c r="F62" s="102" t="s">
        <v>78</v>
      </c>
      <c r="G62" s="103">
        <f>Спецификация!G558</f>
        <v>3</v>
      </c>
      <c r="H62" s="104">
        <f>Спецификация!H558</f>
        <v>0</v>
      </c>
      <c r="I62" s="104">
        <f>Спецификация!I558</f>
        <v>0</v>
      </c>
      <c r="J62" s="100">
        <v>558</v>
      </c>
      <c r="K62" s="102" t="str">
        <f t="shared" si="1"/>
        <v>НЕТ ЦЕНЫ</v>
      </c>
      <c r="L62" s="101" t="s">
        <v>6127</v>
      </c>
    </row>
    <row r="63" spans="1:12" ht="63.75" x14ac:dyDescent="0.25">
      <c r="A63" s="100">
        <v>52</v>
      </c>
      <c r="B63" s="101" t="s">
        <v>6123</v>
      </c>
      <c r="C63" s="102" t="s">
        <v>1876</v>
      </c>
      <c r="D63" s="101" t="s">
        <v>1877</v>
      </c>
      <c r="E63" s="101" t="s">
        <v>6137</v>
      </c>
      <c r="F63" s="102" t="s">
        <v>1878</v>
      </c>
      <c r="G63" s="103">
        <f>Спецификация!G1226</f>
        <v>4.0948000000000002</v>
      </c>
      <c r="H63" s="104">
        <f>Спецификация!H1226</f>
        <v>0</v>
      </c>
      <c r="I63" s="104">
        <f>Спецификация!I1226</f>
        <v>0</v>
      </c>
      <c r="J63" s="100">
        <v>1226</v>
      </c>
      <c r="K63" s="102" t="str">
        <f t="shared" si="1"/>
        <v>НЕТ ЦЕНЫ</v>
      </c>
      <c r="L63" s="101" t="s">
        <v>6127</v>
      </c>
    </row>
    <row r="64" spans="1:12" ht="63.75" x14ac:dyDescent="0.25">
      <c r="A64" s="100">
        <v>53</v>
      </c>
      <c r="B64" s="101" t="s">
        <v>6123</v>
      </c>
      <c r="C64" s="102" t="s">
        <v>1880</v>
      </c>
      <c r="D64" s="101" t="s">
        <v>1877</v>
      </c>
      <c r="E64" s="101" t="s">
        <v>6138</v>
      </c>
      <c r="F64" s="102" t="s">
        <v>1878</v>
      </c>
      <c r="G64" s="103">
        <f>Спецификация!G1227</f>
        <v>0.46010000000000001</v>
      </c>
      <c r="H64" s="104">
        <f>Спецификация!H1227</f>
        <v>0</v>
      </c>
      <c r="I64" s="104">
        <f>Спецификация!I1227</f>
        <v>0</v>
      </c>
      <c r="J64" s="100">
        <v>1227</v>
      </c>
      <c r="K64" s="102" t="str">
        <f t="shared" si="1"/>
        <v>НЕТ ЦЕНЫ</v>
      </c>
      <c r="L64" s="101" t="s">
        <v>6127</v>
      </c>
    </row>
    <row r="65" spans="1:12" ht="63.75" x14ac:dyDescent="0.25">
      <c r="A65" s="100">
        <v>54</v>
      </c>
      <c r="B65" s="101" t="s">
        <v>6123</v>
      </c>
      <c r="C65" s="102" t="s">
        <v>1882</v>
      </c>
      <c r="D65" s="101" t="s">
        <v>6139</v>
      </c>
      <c r="E65" s="101" t="s">
        <v>6140</v>
      </c>
      <c r="F65" s="102" t="s">
        <v>6126</v>
      </c>
      <c r="G65" s="103">
        <f>Спецификация!G1228</f>
        <v>18</v>
      </c>
      <c r="H65" s="104">
        <f>Спецификация!H1228</f>
        <v>0</v>
      </c>
      <c r="I65" s="104">
        <f>Спецификация!I1228</f>
        <v>0</v>
      </c>
      <c r="J65" s="100">
        <v>1228</v>
      </c>
      <c r="K65" s="102" t="str">
        <f t="shared" si="1"/>
        <v>НЕТ ЦЕНЫ</v>
      </c>
      <c r="L65" s="101" t="s">
        <v>6127</v>
      </c>
    </row>
    <row r="66" spans="1:12" ht="63.75" x14ac:dyDescent="0.25">
      <c r="A66" s="100">
        <v>55</v>
      </c>
      <c r="B66" s="101" t="s">
        <v>6123</v>
      </c>
      <c r="C66" s="102" t="s">
        <v>1885</v>
      </c>
      <c r="D66" s="101" t="s">
        <v>6139</v>
      </c>
      <c r="E66" s="101" t="s">
        <v>6140</v>
      </c>
      <c r="F66" s="102" t="s">
        <v>6126</v>
      </c>
      <c r="G66" s="103">
        <f>Спецификация!G1229</f>
        <v>9</v>
      </c>
      <c r="H66" s="104">
        <f>Спецификация!H1229</f>
        <v>0</v>
      </c>
      <c r="I66" s="104">
        <f>Спецификация!I1229</f>
        <v>0</v>
      </c>
      <c r="J66" s="100">
        <v>1229</v>
      </c>
      <c r="K66" s="102" t="str">
        <f t="shared" si="1"/>
        <v>НЕТ ЦЕНЫ</v>
      </c>
      <c r="L66" s="101" t="s">
        <v>6127</v>
      </c>
    </row>
    <row r="67" spans="1:12" ht="63.75" x14ac:dyDescent="0.25">
      <c r="A67" s="100">
        <v>56</v>
      </c>
      <c r="B67" s="101" t="s">
        <v>6123</v>
      </c>
      <c r="C67" s="102" t="s">
        <v>1886</v>
      </c>
      <c r="D67" s="101" t="s">
        <v>6139</v>
      </c>
      <c r="E67" s="101" t="s">
        <v>6140</v>
      </c>
      <c r="F67" s="102" t="s">
        <v>6126</v>
      </c>
      <c r="G67" s="103">
        <f>Спецификация!G1230</f>
        <v>9</v>
      </c>
      <c r="H67" s="104">
        <f>Спецификация!H1230</f>
        <v>0</v>
      </c>
      <c r="I67" s="104">
        <f>Спецификация!I1230</f>
        <v>0</v>
      </c>
      <c r="J67" s="100">
        <v>1230</v>
      </c>
      <c r="K67" s="102" t="str">
        <f t="shared" si="1"/>
        <v>НЕТ ЦЕНЫ</v>
      </c>
      <c r="L67" s="101" t="s">
        <v>6127</v>
      </c>
    </row>
    <row r="68" spans="1:12" ht="63.75" x14ac:dyDescent="0.25">
      <c r="A68" s="100">
        <v>57</v>
      </c>
      <c r="B68" s="101" t="s">
        <v>6123</v>
      </c>
      <c r="C68" s="102" t="s">
        <v>1887</v>
      </c>
      <c r="D68" s="101" t="s">
        <v>1888</v>
      </c>
      <c r="E68" s="101" t="s">
        <v>6140</v>
      </c>
      <c r="F68" s="102" t="s">
        <v>5218</v>
      </c>
      <c r="G68" s="103">
        <f>Спецификация!G1231</f>
        <v>2</v>
      </c>
      <c r="H68" s="104">
        <f>Спецификация!H1231</f>
        <v>0</v>
      </c>
      <c r="I68" s="104">
        <f>Спецификация!I1231</f>
        <v>0</v>
      </c>
      <c r="J68" s="100">
        <v>1231</v>
      </c>
      <c r="K68" s="102" t="str">
        <f t="shared" si="1"/>
        <v>НЕТ ЦЕНЫ</v>
      </c>
      <c r="L68" s="101" t="s">
        <v>6141</v>
      </c>
    </row>
    <row r="69" spans="1:12" ht="51" x14ac:dyDescent="0.25">
      <c r="A69" s="100">
        <v>58</v>
      </c>
      <c r="B69" s="101" t="s">
        <v>6123</v>
      </c>
      <c r="C69" s="102" t="s">
        <v>2517</v>
      </c>
      <c r="D69" s="101" t="s">
        <v>2518</v>
      </c>
      <c r="E69" s="101" t="s">
        <v>6142</v>
      </c>
      <c r="F69" s="102" t="s">
        <v>5218</v>
      </c>
      <c r="G69" s="103">
        <f>Спецификация!G1514</f>
        <v>8</v>
      </c>
      <c r="H69" s="104">
        <f>Спецификация!H1514</f>
        <v>0</v>
      </c>
      <c r="I69" s="104">
        <f>Спецификация!I1514</f>
        <v>0</v>
      </c>
      <c r="J69" s="100">
        <v>1514</v>
      </c>
      <c r="K69" s="102" t="str">
        <f t="shared" si="1"/>
        <v>НЕТ ЦЕНЫ</v>
      </c>
      <c r="L69" s="101" t="s">
        <v>6143</v>
      </c>
    </row>
    <row r="70" spans="1:12" ht="51" x14ac:dyDescent="0.25">
      <c r="A70" s="100">
        <v>59</v>
      </c>
      <c r="B70" s="101" t="s">
        <v>6123</v>
      </c>
      <c r="C70" s="102" t="s">
        <v>548</v>
      </c>
      <c r="D70" s="101" t="s">
        <v>2518</v>
      </c>
      <c r="E70" s="101" t="s">
        <v>6144</v>
      </c>
      <c r="F70" s="102" t="s">
        <v>5218</v>
      </c>
      <c r="G70" s="103">
        <f>Спецификация!G1515</f>
        <v>8</v>
      </c>
      <c r="H70" s="104">
        <f>Спецификация!H1515</f>
        <v>0</v>
      </c>
      <c r="I70" s="104">
        <f>Спецификация!I1515</f>
        <v>0</v>
      </c>
      <c r="J70" s="100">
        <v>1515</v>
      </c>
      <c r="K70" s="102" t="str">
        <f t="shared" si="1"/>
        <v>НЕТ ЦЕНЫ</v>
      </c>
      <c r="L70" s="101" t="s">
        <v>6145</v>
      </c>
    </row>
    <row r="71" spans="1:12" ht="51" x14ac:dyDescent="0.25">
      <c r="A71" s="100">
        <v>60</v>
      </c>
      <c r="B71" s="101" t="s">
        <v>6123</v>
      </c>
      <c r="C71" s="102" t="s">
        <v>2521</v>
      </c>
      <c r="D71" s="101" t="s">
        <v>2522</v>
      </c>
      <c r="E71" s="101" t="s">
        <v>6144</v>
      </c>
      <c r="F71" s="102" t="s">
        <v>5218</v>
      </c>
      <c r="G71" s="103">
        <f>Спецификация!G1516</f>
        <v>2</v>
      </c>
      <c r="H71" s="104">
        <f>Спецификация!H1516</f>
        <v>0</v>
      </c>
      <c r="I71" s="104">
        <f>Спецификация!I1516</f>
        <v>0</v>
      </c>
      <c r="J71" s="100">
        <v>1516</v>
      </c>
      <c r="K71" s="102" t="str">
        <f t="shared" si="1"/>
        <v>НЕТ ЦЕНЫ</v>
      </c>
      <c r="L71" s="101" t="s">
        <v>6146</v>
      </c>
    </row>
    <row r="72" spans="1:12" ht="51" x14ac:dyDescent="0.25">
      <c r="A72" s="100">
        <v>61</v>
      </c>
      <c r="B72" s="101" t="s">
        <v>6123</v>
      </c>
      <c r="C72" s="102" t="s">
        <v>3431</v>
      </c>
      <c r="D72" s="101" t="s">
        <v>3432</v>
      </c>
      <c r="E72" s="101" t="s">
        <v>6147</v>
      </c>
      <c r="F72" s="102" t="s">
        <v>89</v>
      </c>
      <c r="G72" s="103">
        <f>Спецификация!G1894</f>
        <v>160</v>
      </c>
      <c r="H72" s="104">
        <f>Спецификация!H1894</f>
        <v>0</v>
      </c>
      <c r="I72" s="104">
        <f>Спецификация!I1894</f>
        <v>0</v>
      </c>
      <c r="J72" s="100">
        <v>1894</v>
      </c>
      <c r="K72" s="102" t="str">
        <f t="shared" si="1"/>
        <v>НЕТ ЦЕНЫ</v>
      </c>
      <c r="L72" s="101" t="s">
        <v>6148</v>
      </c>
    </row>
    <row r="73" spans="1:12" x14ac:dyDescent="0.25">
      <c r="A73" s="105"/>
      <c r="B73" s="105"/>
      <c r="C73" s="105"/>
      <c r="D73" s="106" t="s">
        <v>6121</v>
      </c>
      <c r="E73" s="105"/>
      <c r="F73" s="105"/>
      <c r="G73" s="105"/>
      <c r="H73" s="105"/>
      <c r="I73" s="107">
        <f>SUM(I27:I72)</f>
        <v>476400</v>
      </c>
      <c r="J73" s="105"/>
      <c r="K73" s="105"/>
      <c r="L73" s="105"/>
    </row>
    <row r="75" spans="1:12" x14ac:dyDescent="0.25">
      <c r="A75" s="153" t="s">
        <v>6149</v>
      </c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</row>
    <row r="76" spans="1:12" ht="51" x14ac:dyDescent="0.25">
      <c r="A76" s="100">
        <v>62</v>
      </c>
      <c r="B76" s="101" t="s">
        <v>5594</v>
      </c>
      <c r="C76" s="102" t="s">
        <v>5595</v>
      </c>
      <c r="D76" s="101" t="s">
        <v>5596</v>
      </c>
      <c r="E76" s="101" t="s">
        <v>6150</v>
      </c>
      <c r="F76" s="102" t="s">
        <v>315</v>
      </c>
      <c r="G76" s="103">
        <f>Спецификация!G4096</f>
        <v>15581.052600000001</v>
      </c>
      <c r="H76" s="104">
        <f>Спецификация!H4096</f>
        <v>1600</v>
      </c>
      <c r="I76" s="104">
        <f>Спецификация!I4096</f>
        <v>24929684.16</v>
      </c>
      <c r="J76" s="100">
        <v>4096</v>
      </c>
      <c r="K76" s="102" t="str">
        <f t="shared" ref="K76:K94" si="2">IF(H76=0,"НЕТ ЦЕНЫ","проценено")</f>
        <v>проценено</v>
      </c>
      <c r="L76" s="101" t="s">
        <v>6151</v>
      </c>
    </row>
    <row r="77" spans="1:12" ht="76.5" x14ac:dyDescent="0.25">
      <c r="A77" s="100">
        <v>63</v>
      </c>
      <c r="B77" s="101" t="s">
        <v>5594</v>
      </c>
      <c r="C77" s="102" t="s">
        <v>34</v>
      </c>
      <c r="D77" s="101" t="s">
        <v>5598</v>
      </c>
      <c r="E77" s="101" t="s">
        <v>6152</v>
      </c>
      <c r="F77" s="102" t="s">
        <v>315</v>
      </c>
      <c r="G77" s="103">
        <f>Спецификация!G4097</f>
        <v>40.878900000000002</v>
      </c>
      <c r="H77" s="104">
        <f>Спецификация!H4097</f>
        <v>4000</v>
      </c>
      <c r="I77" s="104">
        <f>Спецификация!I4097</f>
        <v>163515.6</v>
      </c>
      <c r="J77" s="100">
        <v>4097</v>
      </c>
      <c r="K77" s="102" t="str">
        <f t="shared" si="2"/>
        <v>проценено</v>
      </c>
      <c r="L77" s="101" t="s">
        <v>6153</v>
      </c>
    </row>
    <row r="78" spans="1:12" ht="89.25" x14ac:dyDescent="0.25">
      <c r="A78" s="100">
        <v>64</v>
      </c>
      <c r="B78" s="101" t="s">
        <v>5594</v>
      </c>
      <c r="C78" s="102" t="s">
        <v>5600</v>
      </c>
      <c r="D78" s="101" t="s">
        <v>5601</v>
      </c>
      <c r="E78" s="101" t="s">
        <v>6154</v>
      </c>
      <c r="F78" s="102" t="s">
        <v>315</v>
      </c>
      <c r="G78" s="103">
        <f>Спецификация!G4098</f>
        <v>1016.8785</v>
      </c>
      <c r="H78" s="104">
        <f>Спецификация!H4098</f>
        <v>4000</v>
      </c>
      <c r="I78" s="104">
        <f>Спецификация!I4098</f>
        <v>4067514</v>
      </c>
      <c r="J78" s="100">
        <v>4098</v>
      </c>
      <c r="K78" s="102" t="str">
        <f t="shared" si="2"/>
        <v>проценено</v>
      </c>
      <c r="L78" s="101" t="s">
        <v>6155</v>
      </c>
    </row>
    <row r="79" spans="1:12" ht="76.5" x14ac:dyDescent="0.25">
      <c r="A79" s="100">
        <v>65</v>
      </c>
      <c r="B79" s="101" t="s">
        <v>5594</v>
      </c>
      <c r="C79" s="102" t="s">
        <v>5603</v>
      </c>
      <c r="D79" s="101" t="s">
        <v>5604</v>
      </c>
      <c r="E79" s="101" t="s">
        <v>6156</v>
      </c>
      <c r="F79" s="102" t="s">
        <v>315</v>
      </c>
      <c r="G79" s="103">
        <f>Спецификация!G4099</f>
        <v>889.23599999999999</v>
      </c>
      <c r="H79" s="104">
        <f>Спецификация!H4099</f>
        <v>8500</v>
      </c>
      <c r="I79" s="104">
        <f>Спецификация!I4099</f>
        <v>7558506</v>
      </c>
      <c r="J79" s="100">
        <v>4099</v>
      </c>
      <c r="K79" s="102" t="str">
        <f t="shared" si="2"/>
        <v>проценено</v>
      </c>
      <c r="L79" s="101" t="s">
        <v>6157</v>
      </c>
    </row>
    <row r="80" spans="1:12" ht="102" x14ac:dyDescent="0.25">
      <c r="A80" s="100">
        <v>66</v>
      </c>
      <c r="B80" s="101" t="s">
        <v>5594</v>
      </c>
      <c r="C80" s="102" t="s">
        <v>27</v>
      </c>
      <c r="D80" s="101" t="s">
        <v>5606</v>
      </c>
      <c r="E80" s="101" t="s">
        <v>6158</v>
      </c>
      <c r="F80" s="102" t="s">
        <v>315</v>
      </c>
      <c r="G80" s="103">
        <f>Спецификация!G4100</f>
        <v>28.389399999999998</v>
      </c>
      <c r="H80" s="104">
        <f>Спецификация!H4100</f>
        <v>25000</v>
      </c>
      <c r="I80" s="104">
        <f>Спецификация!I4100</f>
        <v>709735</v>
      </c>
      <c r="J80" s="100">
        <v>4100</v>
      </c>
      <c r="K80" s="102" t="str">
        <f t="shared" si="2"/>
        <v>проценено</v>
      </c>
      <c r="L80" s="101" t="s">
        <v>6159</v>
      </c>
    </row>
    <row r="81" spans="1:12" ht="153" x14ac:dyDescent="0.25">
      <c r="A81" s="100">
        <v>67</v>
      </c>
      <c r="B81" s="101" t="s">
        <v>5594</v>
      </c>
      <c r="C81" s="102" t="s">
        <v>23</v>
      </c>
      <c r="D81" s="101" t="s">
        <v>5609</v>
      </c>
      <c r="E81" s="101" t="s">
        <v>6158</v>
      </c>
      <c r="F81" s="102" t="s">
        <v>315</v>
      </c>
      <c r="G81" s="103">
        <f>Спецификация!G4101</f>
        <v>3946.1732999999999</v>
      </c>
      <c r="H81" s="104">
        <f>Спецификация!H4101</f>
        <v>8500</v>
      </c>
      <c r="I81" s="104">
        <f>Спецификация!I4101</f>
        <v>33542473.050000001</v>
      </c>
      <c r="J81" s="100">
        <v>4101</v>
      </c>
      <c r="K81" s="102" t="str">
        <f t="shared" si="2"/>
        <v>проценено</v>
      </c>
      <c r="L81" s="101" t="s">
        <v>6160</v>
      </c>
    </row>
    <row r="82" spans="1:12" ht="63.75" x14ac:dyDescent="0.25">
      <c r="A82" s="100">
        <v>68</v>
      </c>
      <c r="B82" s="101" t="s">
        <v>5594</v>
      </c>
      <c r="C82" s="102" t="s">
        <v>5611</v>
      </c>
      <c r="D82" s="101" t="s">
        <v>5612</v>
      </c>
      <c r="E82" s="101" t="s">
        <v>6161</v>
      </c>
      <c r="F82" s="102" t="s">
        <v>1878</v>
      </c>
      <c r="G82" s="103">
        <f>Спецификация!G4102</f>
        <v>259.68579999999997</v>
      </c>
      <c r="H82" s="104">
        <f>Спецификация!H4102</f>
        <v>110000</v>
      </c>
      <c r="I82" s="104">
        <f>Спецификация!I4102</f>
        <v>28565437.999999996</v>
      </c>
      <c r="J82" s="100">
        <v>4102</v>
      </c>
      <c r="K82" s="102" t="str">
        <f t="shared" si="2"/>
        <v>проценено</v>
      </c>
      <c r="L82" s="101" t="s">
        <v>6162</v>
      </c>
    </row>
    <row r="83" spans="1:12" ht="102" x14ac:dyDescent="0.25">
      <c r="A83" s="100">
        <v>69</v>
      </c>
      <c r="B83" s="101" t="s">
        <v>5594</v>
      </c>
      <c r="C83" s="102" t="s">
        <v>5615</v>
      </c>
      <c r="D83" s="101" t="s">
        <v>5616</v>
      </c>
      <c r="E83" s="101" t="s">
        <v>6163</v>
      </c>
      <c r="F83" s="102" t="s">
        <v>1878</v>
      </c>
      <c r="G83" s="103">
        <f>Спецификация!G4103</f>
        <v>240.66630000000001</v>
      </c>
      <c r="H83" s="104">
        <f>Спецификация!H4103</f>
        <v>110000</v>
      </c>
      <c r="I83" s="104">
        <f>Спецификация!I4103</f>
        <v>26473293</v>
      </c>
      <c r="J83" s="100">
        <v>4103</v>
      </c>
      <c r="K83" s="102" t="str">
        <f t="shared" si="2"/>
        <v>проценено</v>
      </c>
      <c r="L83" s="101" t="s">
        <v>6164</v>
      </c>
    </row>
    <row r="84" spans="1:12" ht="76.5" x14ac:dyDescent="0.25">
      <c r="A84" s="100">
        <v>70</v>
      </c>
      <c r="B84" s="101" t="s">
        <v>5594</v>
      </c>
      <c r="C84" s="102" t="s">
        <v>5618</v>
      </c>
      <c r="D84" s="101" t="s">
        <v>5619</v>
      </c>
      <c r="E84" s="101" t="s">
        <v>6165</v>
      </c>
      <c r="F84" s="102" t="s">
        <v>1878</v>
      </c>
      <c r="G84" s="103">
        <f>Спецификация!G4104</f>
        <v>41.4011</v>
      </c>
      <c r="H84" s="104">
        <f>Спецификация!H4104</f>
        <v>110000</v>
      </c>
      <c r="I84" s="104">
        <f>Спецификация!I4104</f>
        <v>4554121</v>
      </c>
      <c r="J84" s="100">
        <v>4104</v>
      </c>
      <c r="K84" s="102" t="str">
        <f t="shared" si="2"/>
        <v>проценено</v>
      </c>
      <c r="L84" s="101" t="s">
        <v>6166</v>
      </c>
    </row>
    <row r="85" spans="1:12" ht="51" x14ac:dyDescent="0.25">
      <c r="A85" s="100">
        <v>71</v>
      </c>
      <c r="B85" s="101" t="s">
        <v>5594</v>
      </c>
      <c r="C85" s="102" t="s">
        <v>5621</v>
      </c>
      <c r="D85" s="101" t="s">
        <v>5622</v>
      </c>
      <c r="E85" s="101" t="s">
        <v>6167</v>
      </c>
      <c r="F85" s="102" t="s">
        <v>1878</v>
      </c>
      <c r="G85" s="103">
        <f>Спецификация!G4105</f>
        <v>10.4733</v>
      </c>
      <c r="H85" s="104">
        <f>Спецификация!H4105</f>
        <v>140000</v>
      </c>
      <c r="I85" s="104">
        <f>Спецификация!I4105</f>
        <v>1466262</v>
      </c>
      <c r="J85" s="100">
        <v>4105</v>
      </c>
      <c r="K85" s="102" t="str">
        <f t="shared" si="2"/>
        <v>проценено</v>
      </c>
      <c r="L85" s="101" t="s">
        <v>6168</v>
      </c>
    </row>
    <row r="86" spans="1:12" ht="89.25" x14ac:dyDescent="0.25">
      <c r="A86" s="100">
        <v>72</v>
      </c>
      <c r="B86" s="101" t="s">
        <v>5594</v>
      </c>
      <c r="C86" s="102" t="s">
        <v>5624</v>
      </c>
      <c r="D86" s="101" t="s">
        <v>5625</v>
      </c>
      <c r="E86" s="101" t="s">
        <v>6169</v>
      </c>
      <c r="F86" s="102" t="s">
        <v>1878</v>
      </c>
      <c r="G86" s="103">
        <f>Спецификация!G4106</f>
        <v>55.457900000000002</v>
      </c>
      <c r="H86" s="104">
        <f>Спецификация!H4106</f>
        <v>282000</v>
      </c>
      <c r="I86" s="104">
        <f>Спецификация!I4106</f>
        <v>15639127.800000001</v>
      </c>
      <c r="J86" s="100">
        <v>4106</v>
      </c>
      <c r="K86" s="102" t="str">
        <f t="shared" si="2"/>
        <v>проценено</v>
      </c>
      <c r="L86" s="101" t="s">
        <v>6170</v>
      </c>
    </row>
    <row r="87" spans="1:12" ht="89.25" x14ac:dyDescent="0.25">
      <c r="A87" s="100">
        <v>73</v>
      </c>
      <c r="B87" s="101" t="s">
        <v>5594</v>
      </c>
      <c r="C87" s="102" t="s">
        <v>5628</v>
      </c>
      <c r="D87" s="101" t="s">
        <v>5629</v>
      </c>
      <c r="E87" s="101" t="s">
        <v>6169</v>
      </c>
      <c r="F87" s="102" t="s">
        <v>1878</v>
      </c>
      <c r="G87" s="103">
        <f>Спецификация!G4107</f>
        <v>2.7433999999999998</v>
      </c>
      <c r="H87" s="104">
        <f>Спецификация!H4107</f>
        <v>48000</v>
      </c>
      <c r="I87" s="104">
        <f>Спецификация!I4107</f>
        <v>131683.19999999998</v>
      </c>
      <c r="J87" s="100">
        <v>4107</v>
      </c>
      <c r="K87" s="102" t="str">
        <f t="shared" si="2"/>
        <v>проценено</v>
      </c>
      <c r="L87" s="101" t="s">
        <v>6171</v>
      </c>
    </row>
    <row r="88" spans="1:12" ht="51" x14ac:dyDescent="0.25">
      <c r="A88" s="100">
        <v>74</v>
      </c>
      <c r="B88" s="101" t="s">
        <v>5594</v>
      </c>
      <c r="C88" s="102" t="s">
        <v>5631</v>
      </c>
      <c r="D88" s="101" t="s">
        <v>5632</v>
      </c>
      <c r="E88" s="101" t="s">
        <v>6172</v>
      </c>
      <c r="F88" s="102" t="s">
        <v>1878</v>
      </c>
      <c r="G88" s="103">
        <f>Спецификация!G4108</f>
        <v>10.0304</v>
      </c>
      <c r="H88" s="104">
        <f>Спецификация!H4108</f>
        <v>140000</v>
      </c>
      <c r="I88" s="104">
        <f>Спецификация!I4108</f>
        <v>1404256</v>
      </c>
      <c r="J88" s="100">
        <v>4108</v>
      </c>
      <c r="K88" s="102" t="str">
        <f t="shared" si="2"/>
        <v>проценено</v>
      </c>
      <c r="L88" s="101" t="s">
        <v>6173</v>
      </c>
    </row>
    <row r="89" spans="1:12" ht="51" x14ac:dyDescent="0.25">
      <c r="A89" s="100">
        <v>75</v>
      </c>
      <c r="B89" s="101" t="s">
        <v>5594</v>
      </c>
      <c r="C89" s="102" t="s">
        <v>5634</v>
      </c>
      <c r="D89" s="101" t="s">
        <v>5635</v>
      </c>
      <c r="E89" s="101" t="s">
        <v>6174</v>
      </c>
      <c r="F89" s="102" t="s">
        <v>1878</v>
      </c>
      <c r="G89" s="103">
        <f>Спецификация!G4109</f>
        <v>14.285</v>
      </c>
      <c r="H89" s="104">
        <f>Спецификация!H4109</f>
        <v>110000</v>
      </c>
      <c r="I89" s="104">
        <f>Спецификация!I4109</f>
        <v>1571350</v>
      </c>
      <c r="J89" s="100">
        <v>4109</v>
      </c>
      <c r="K89" s="102" t="str">
        <f t="shared" si="2"/>
        <v>проценено</v>
      </c>
      <c r="L89" s="101" t="s">
        <v>6175</v>
      </c>
    </row>
    <row r="90" spans="1:12" ht="51" x14ac:dyDescent="0.25">
      <c r="A90" s="100">
        <v>76</v>
      </c>
      <c r="B90" s="101" t="s">
        <v>5594</v>
      </c>
      <c r="C90" s="102" t="s">
        <v>5637</v>
      </c>
      <c r="D90" s="101" t="s">
        <v>5638</v>
      </c>
      <c r="E90" s="101" t="s">
        <v>6176</v>
      </c>
      <c r="F90" s="102" t="s">
        <v>576</v>
      </c>
      <c r="G90" s="103">
        <f>Спецификация!G4110</f>
        <v>17378</v>
      </c>
      <c r="H90" s="104">
        <f>Спецификация!H4110</f>
        <v>2000</v>
      </c>
      <c r="I90" s="104">
        <f>Спецификация!I4110</f>
        <v>34756000</v>
      </c>
      <c r="J90" s="100">
        <v>4110</v>
      </c>
      <c r="K90" s="102" t="str">
        <f t="shared" si="2"/>
        <v>проценено</v>
      </c>
      <c r="L90" s="101" t="s">
        <v>6177</v>
      </c>
    </row>
    <row r="91" spans="1:12" ht="51" x14ac:dyDescent="0.25">
      <c r="A91" s="100">
        <v>77</v>
      </c>
      <c r="B91" s="101" t="s">
        <v>5594</v>
      </c>
      <c r="C91" s="102" t="s">
        <v>5640</v>
      </c>
      <c r="D91" s="101" t="s">
        <v>5641</v>
      </c>
      <c r="E91" s="101" t="s">
        <v>6178</v>
      </c>
      <c r="F91" s="102" t="s">
        <v>315</v>
      </c>
      <c r="G91" s="103">
        <f>Спецификация!G4111</f>
        <v>177.875</v>
      </c>
      <c r="H91" s="104">
        <f>Спецификация!H4111</f>
        <v>7000</v>
      </c>
      <c r="I91" s="104">
        <f>Спецификация!I4111</f>
        <v>1245125</v>
      </c>
      <c r="J91" s="100">
        <v>4111</v>
      </c>
      <c r="K91" s="102" t="str">
        <f t="shared" si="2"/>
        <v>проценено</v>
      </c>
      <c r="L91" s="101" t="s">
        <v>6179</v>
      </c>
    </row>
    <row r="92" spans="1:12" ht="51" x14ac:dyDescent="0.25">
      <c r="A92" s="100">
        <v>78</v>
      </c>
      <c r="B92" s="101" t="s">
        <v>5594</v>
      </c>
      <c r="C92" s="102" t="s">
        <v>5643</v>
      </c>
      <c r="D92" s="101" t="s">
        <v>5644</v>
      </c>
      <c r="E92" s="101" t="s">
        <v>6180</v>
      </c>
      <c r="F92" s="102" t="s">
        <v>89</v>
      </c>
      <c r="G92" s="103">
        <f>Спецификация!G4112</f>
        <v>1440</v>
      </c>
      <c r="H92" s="104">
        <f>Спецификация!H4112</f>
        <v>0</v>
      </c>
      <c r="I92" s="104">
        <f>Спецификация!I4112</f>
        <v>0</v>
      </c>
      <c r="J92" s="100">
        <v>4112</v>
      </c>
      <c r="K92" s="102" t="str">
        <f t="shared" si="2"/>
        <v>НЕТ ЦЕНЫ</v>
      </c>
      <c r="L92" s="101" t="s">
        <v>6151</v>
      </c>
    </row>
    <row r="93" spans="1:12" ht="51" x14ac:dyDescent="0.25">
      <c r="A93" s="100">
        <v>79</v>
      </c>
      <c r="B93" s="101" t="s">
        <v>5594</v>
      </c>
      <c r="C93" s="102" t="s">
        <v>5646</v>
      </c>
      <c r="D93" s="101" t="s">
        <v>5647</v>
      </c>
      <c r="E93" s="101" t="s">
        <v>6181</v>
      </c>
      <c r="F93" s="102" t="s">
        <v>576</v>
      </c>
      <c r="G93" s="103">
        <f>Спецификация!G4113</f>
        <v>6065.9444999999996</v>
      </c>
      <c r="H93" s="104">
        <f>Спецификация!H4113</f>
        <v>0</v>
      </c>
      <c r="I93" s="104">
        <f>Спецификация!I4113</f>
        <v>0</v>
      </c>
      <c r="J93" s="100">
        <v>4113</v>
      </c>
      <c r="K93" s="102" t="str">
        <f t="shared" si="2"/>
        <v>НЕТ ЦЕНЫ</v>
      </c>
      <c r="L93" s="101" t="s">
        <v>6182</v>
      </c>
    </row>
    <row r="94" spans="1:12" ht="51" x14ac:dyDescent="0.25">
      <c r="A94" s="100">
        <v>80</v>
      </c>
      <c r="B94" s="101" t="s">
        <v>5594</v>
      </c>
      <c r="C94" s="102" t="s">
        <v>5650</v>
      </c>
      <c r="D94" s="101" t="s">
        <v>5651</v>
      </c>
      <c r="E94" s="101" t="s">
        <v>6181</v>
      </c>
      <c r="F94" s="102" t="s">
        <v>1878</v>
      </c>
      <c r="G94" s="103">
        <f>Спецификация!G4114</f>
        <v>34.936999999999998</v>
      </c>
      <c r="H94" s="104">
        <f>Спецификация!H4114</f>
        <v>110000</v>
      </c>
      <c r="I94" s="104">
        <f>Спецификация!I4114</f>
        <v>3843069.9999999995</v>
      </c>
      <c r="J94" s="100">
        <v>4114</v>
      </c>
      <c r="K94" s="102" t="str">
        <f t="shared" si="2"/>
        <v>проценено</v>
      </c>
      <c r="L94" s="101" t="s">
        <v>6183</v>
      </c>
    </row>
    <row r="95" spans="1:12" x14ac:dyDescent="0.25">
      <c r="A95" s="105"/>
      <c r="B95" s="105"/>
      <c r="C95" s="105"/>
      <c r="D95" s="106" t="s">
        <v>6121</v>
      </c>
      <c r="E95" s="105"/>
      <c r="F95" s="105"/>
      <c r="G95" s="105"/>
      <c r="H95" s="105"/>
      <c r="I95" s="107">
        <f>SUM(I76:I94)</f>
        <v>190621153.81</v>
      </c>
      <c r="J95" s="105"/>
      <c r="K95" s="105"/>
      <c r="L95" s="105"/>
    </row>
    <row r="97" spans="1:12" x14ac:dyDescent="0.25">
      <c r="A97" s="153" t="s">
        <v>6184</v>
      </c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</row>
    <row r="98" spans="1:12" ht="38.25" x14ac:dyDescent="0.25">
      <c r="A98" s="100">
        <v>81</v>
      </c>
      <c r="B98" s="101" t="s">
        <v>5653</v>
      </c>
      <c r="C98" s="102" t="s">
        <v>5585</v>
      </c>
      <c r="D98" s="101" t="s">
        <v>5654</v>
      </c>
      <c r="E98" s="101" t="s">
        <v>6185</v>
      </c>
      <c r="F98" s="102" t="s">
        <v>1878</v>
      </c>
      <c r="G98" s="103">
        <f>Спецификация!G4116</f>
        <v>555.91</v>
      </c>
      <c r="H98" s="104">
        <f>Спецификация!H4116</f>
        <v>0</v>
      </c>
      <c r="I98" s="104">
        <f>Спецификация!I4116</f>
        <v>0</v>
      </c>
      <c r="J98" s="100">
        <v>4116</v>
      </c>
      <c r="K98" s="102" t="str">
        <f t="shared" ref="K98:K106" si="3">IF(H98=0,"НЕТ ЦЕНЫ","проценено")</f>
        <v>НЕТ ЦЕНЫ</v>
      </c>
      <c r="L98" s="101" t="s">
        <v>6186</v>
      </c>
    </row>
    <row r="99" spans="1:12" ht="38.25" x14ac:dyDescent="0.25">
      <c r="A99" s="100">
        <v>82</v>
      </c>
      <c r="B99" s="101" t="s">
        <v>5653</v>
      </c>
      <c r="C99" s="102" t="s">
        <v>581</v>
      </c>
      <c r="D99" s="101" t="s">
        <v>5657</v>
      </c>
      <c r="E99" s="101" t="s">
        <v>6185</v>
      </c>
      <c r="F99" s="102" t="s">
        <v>1878</v>
      </c>
      <c r="G99" s="103">
        <f>Спецификация!G4117</f>
        <v>409.06</v>
      </c>
      <c r="H99" s="104">
        <f>Спецификация!H4117</f>
        <v>210000</v>
      </c>
      <c r="I99" s="104">
        <f>Спецификация!I4117</f>
        <v>85902600</v>
      </c>
      <c r="J99" s="100">
        <v>4117</v>
      </c>
      <c r="K99" s="102" t="str">
        <f t="shared" si="3"/>
        <v>проценено</v>
      </c>
      <c r="L99" s="101" t="s">
        <v>6187</v>
      </c>
    </row>
    <row r="100" spans="1:12" ht="38.25" x14ac:dyDescent="0.25">
      <c r="A100" s="100">
        <v>83</v>
      </c>
      <c r="B100" s="101" t="s">
        <v>5653</v>
      </c>
      <c r="C100" s="102" t="s">
        <v>20</v>
      </c>
      <c r="D100" s="101" t="s">
        <v>5659</v>
      </c>
      <c r="E100" s="101" t="s">
        <v>6185</v>
      </c>
      <c r="F100" s="102" t="s">
        <v>1878</v>
      </c>
      <c r="G100" s="103">
        <f>Спецификация!G4118</f>
        <v>164.19399999999999</v>
      </c>
      <c r="H100" s="104">
        <f>Спецификация!H4118</f>
        <v>210000</v>
      </c>
      <c r="I100" s="104">
        <f>Спецификация!I4118</f>
        <v>34480740</v>
      </c>
      <c r="J100" s="100">
        <v>4118</v>
      </c>
      <c r="K100" s="102" t="str">
        <f t="shared" si="3"/>
        <v>проценено</v>
      </c>
      <c r="L100" s="101" t="s">
        <v>6188</v>
      </c>
    </row>
    <row r="101" spans="1:12" ht="38.25" x14ac:dyDescent="0.25">
      <c r="A101" s="100">
        <v>84</v>
      </c>
      <c r="B101" s="101" t="s">
        <v>5653</v>
      </c>
      <c r="C101" s="102" t="s">
        <v>36</v>
      </c>
      <c r="D101" s="101" t="s">
        <v>5661</v>
      </c>
      <c r="E101" s="101" t="s">
        <v>6185</v>
      </c>
      <c r="F101" s="102" t="s">
        <v>1878</v>
      </c>
      <c r="G101" s="103">
        <f>Спецификация!G4119</f>
        <v>262.32</v>
      </c>
      <c r="H101" s="104">
        <f>Спецификация!H4119</f>
        <v>210000</v>
      </c>
      <c r="I101" s="104">
        <f>Спецификация!I4119</f>
        <v>55087200</v>
      </c>
      <c r="J101" s="100">
        <v>4119</v>
      </c>
      <c r="K101" s="102" t="str">
        <f t="shared" si="3"/>
        <v>проценено</v>
      </c>
      <c r="L101" s="101" t="s">
        <v>6189</v>
      </c>
    </row>
    <row r="102" spans="1:12" ht="38.25" x14ac:dyDescent="0.25">
      <c r="A102" s="100">
        <v>85</v>
      </c>
      <c r="B102" s="101" t="s">
        <v>5653</v>
      </c>
      <c r="C102" s="102" t="s">
        <v>5663</v>
      </c>
      <c r="D102" s="101" t="s">
        <v>5664</v>
      </c>
      <c r="E102" s="101" t="s">
        <v>6185</v>
      </c>
      <c r="F102" s="102" t="s">
        <v>1878</v>
      </c>
      <c r="G102" s="103">
        <f>Спецификация!G4120</f>
        <v>319.5</v>
      </c>
      <c r="H102" s="104">
        <f>Спецификация!H4120</f>
        <v>210000</v>
      </c>
      <c r="I102" s="104">
        <f>Спецификация!I4120</f>
        <v>67095000</v>
      </c>
      <c r="J102" s="100">
        <v>4120</v>
      </c>
      <c r="K102" s="102" t="str">
        <f t="shared" si="3"/>
        <v>проценено</v>
      </c>
      <c r="L102" s="101" t="s">
        <v>6190</v>
      </c>
    </row>
    <row r="103" spans="1:12" ht="38.25" x14ac:dyDescent="0.25">
      <c r="A103" s="100">
        <v>86</v>
      </c>
      <c r="B103" s="101" t="s">
        <v>5653</v>
      </c>
      <c r="C103" s="102" t="s">
        <v>5666</v>
      </c>
      <c r="D103" s="101" t="s">
        <v>5667</v>
      </c>
      <c r="E103" s="101" t="s">
        <v>6191</v>
      </c>
      <c r="F103" s="102" t="s">
        <v>1878</v>
      </c>
      <c r="G103" s="103">
        <f>Спецификация!G4121</f>
        <v>182.53</v>
      </c>
      <c r="H103" s="104">
        <f>Спецификация!H4121</f>
        <v>210000</v>
      </c>
      <c r="I103" s="104">
        <f>Спецификация!I4121</f>
        <v>38331300</v>
      </c>
      <c r="J103" s="100">
        <v>4121</v>
      </c>
      <c r="K103" s="102" t="str">
        <f t="shared" si="3"/>
        <v>проценено</v>
      </c>
      <c r="L103" s="101" t="s">
        <v>6192</v>
      </c>
    </row>
    <row r="104" spans="1:12" ht="38.25" x14ac:dyDescent="0.25">
      <c r="A104" s="100">
        <v>87</v>
      </c>
      <c r="B104" s="101" t="s">
        <v>5653</v>
      </c>
      <c r="C104" s="102" t="s">
        <v>5603</v>
      </c>
      <c r="D104" s="101" t="s">
        <v>5669</v>
      </c>
      <c r="E104" s="101" t="s">
        <v>6193</v>
      </c>
      <c r="F104" s="102" t="s">
        <v>1878</v>
      </c>
      <c r="G104" s="103">
        <f>Спецификация!G4122</f>
        <v>527.28</v>
      </c>
      <c r="H104" s="104">
        <f>Спецификация!H4122</f>
        <v>210000</v>
      </c>
      <c r="I104" s="104">
        <f>Спецификация!I4122</f>
        <v>110728800</v>
      </c>
      <c r="J104" s="100">
        <v>4122</v>
      </c>
      <c r="K104" s="102" t="str">
        <f t="shared" si="3"/>
        <v>проценено</v>
      </c>
      <c r="L104" s="101" t="s">
        <v>6187</v>
      </c>
    </row>
    <row r="105" spans="1:12" ht="38.25" x14ac:dyDescent="0.25">
      <c r="A105" s="100">
        <v>88</v>
      </c>
      <c r="B105" s="101" t="s">
        <v>5653</v>
      </c>
      <c r="C105" s="102" t="s">
        <v>29</v>
      </c>
      <c r="D105" s="101" t="s">
        <v>5671</v>
      </c>
      <c r="E105" s="101" t="s">
        <v>6194</v>
      </c>
      <c r="F105" s="102" t="s">
        <v>1878</v>
      </c>
      <c r="G105" s="103">
        <f>Спецификация!G4123</f>
        <v>6.48</v>
      </c>
      <c r="H105" s="104">
        <f>Спецификация!H4123</f>
        <v>210000</v>
      </c>
      <c r="I105" s="104">
        <f>Спецификация!I4123</f>
        <v>1360800</v>
      </c>
      <c r="J105" s="100">
        <v>4123</v>
      </c>
      <c r="K105" s="102" t="str">
        <f t="shared" si="3"/>
        <v>проценено</v>
      </c>
      <c r="L105" s="101" t="s">
        <v>6187</v>
      </c>
    </row>
    <row r="106" spans="1:12" ht="51" x14ac:dyDescent="0.25">
      <c r="A106" s="100">
        <v>89</v>
      </c>
      <c r="B106" s="101" t="s">
        <v>5653</v>
      </c>
      <c r="C106" s="102" t="s">
        <v>24</v>
      </c>
      <c r="D106" s="101" t="s">
        <v>5674</v>
      </c>
      <c r="E106" s="101" t="s">
        <v>6195</v>
      </c>
      <c r="F106" s="102" t="s">
        <v>158</v>
      </c>
      <c r="G106" s="103">
        <f>Спецификация!G4124</f>
        <v>59732.01</v>
      </c>
      <c r="H106" s="104">
        <f>Спецификация!H4124</f>
        <v>1100</v>
      </c>
      <c r="I106" s="104">
        <f>Спецификация!I4124</f>
        <v>65705211</v>
      </c>
      <c r="J106" s="100">
        <v>4124</v>
      </c>
      <c r="K106" s="102" t="str">
        <f t="shared" si="3"/>
        <v>проценено</v>
      </c>
      <c r="L106" s="101" t="s">
        <v>6196</v>
      </c>
    </row>
    <row r="107" spans="1:12" x14ac:dyDescent="0.25">
      <c r="A107" s="105"/>
      <c r="B107" s="105"/>
      <c r="C107" s="105"/>
      <c r="D107" s="106" t="s">
        <v>6121</v>
      </c>
      <c r="E107" s="105"/>
      <c r="F107" s="105"/>
      <c r="G107" s="105"/>
      <c r="H107" s="105"/>
      <c r="I107" s="107">
        <f>SUM(I98:I106)</f>
        <v>458691651</v>
      </c>
      <c r="J107" s="105"/>
      <c r="K107" s="105"/>
      <c r="L107" s="105"/>
    </row>
    <row r="109" spans="1:12" x14ac:dyDescent="0.25">
      <c r="A109" s="153" t="s">
        <v>6197</v>
      </c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</row>
    <row r="110" spans="1:12" ht="51" x14ac:dyDescent="0.25">
      <c r="A110" s="100">
        <v>90</v>
      </c>
      <c r="B110" s="101" t="s">
        <v>5677</v>
      </c>
      <c r="C110" s="102" t="s">
        <v>581</v>
      </c>
      <c r="D110" s="101" t="s">
        <v>5678</v>
      </c>
      <c r="E110" s="101" t="s">
        <v>6198</v>
      </c>
      <c r="F110" s="102" t="s">
        <v>576</v>
      </c>
      <c r="G110" s="103">
        <f>Спецификация!G4126</f>
        <v>2179.4270000000001</v>
      </c>
      <c r="H110" s="104">
        <f>Спецификация!H4126</f>
        <v>3500</v>
      </c>
      <c r="I110" s="104">
        <f>Спецификация!I4126</f>
        <v>7627994.5000000009</v>
      </c>
      <c r="J110" s="100">
        <v>4126</v>
      </c>
      <c r="K110" s="102" t="str">
        <f t="shared" ref="K110:K141" si="4">IF(H110=0,"НЕТ ЦЕНЫ","проценено")</f>
        <v>проценено</v>
      </c>
      <c r="L110" s="101" t="s">
        <v>6199</v>
      </c>
    </row>
    <row r="111" spans="1:12" ht="63.75" x14ac:dyDescent="0.25">
      <c r="A111" s="100">
        <v>91</v>
      </c>
      <c r="B111" s="101" t="s">
        <v>5677</v>
      </c>
      <c r="C111" s="102" t="s">
        <v>20</v>
      </c>
      <c r="D111" s="101" t="s">
        <v>5681</v>
      </c>
      <c r="E111" s="101" t="s">
        <v>6198</v>
      </c>
      <c r="F111" s="102" t="s">
        <v>315</v>
      </c>
      <c r="G111" s="103">
        <f>Спецификация!G4127</f>
        <v>10.6768</v>
      </c>
      <c r="H111" s="104">
        <f>Спецификация!H4127</f>
        <v>14000</v>
      </c>
      <c r="I111" s="104">
        <f>Спецификация!I4127</f>
        <v>149475.20000000001</v>
      </c>
      <c r="J111" s="100">
        <v>4127</v>
      </c>
      <c r="K111" s="102" t="str">
        <f t="shared" si="4"/>
        <v>проценено</v>
      </c>
      <c r="L111" s="101" t="s">
        <v>6200</v>
      </c>
    </row>
    <row r="112" spans="1:12" ht="51" x14ac:dyDescent="0.25">
      <c r="A112" s="100">
        <v>92</v>
      </c>
      <c r="B112" s="101" t="s">
        <v>5677</v>
      </c>
      <c r="C112" s="102" t="s">
        <v>36</v>
      </c>
      <c r="D112" s="101" t="s">
        <v>6201</v>
      </c>
      <c r="E112" s="101" t="s">
        <v>6198</v>
      </c>
      <c r="F112" s="102" t="s">
        <v>576</v>
      </c>
      <c r="G112" s="103">
        <f>Спецификация!G4128</f>
        <v>1481.35</v>
      </c>
      <c r="H112" s="104">
        <f>Спецификация!H4128</f>
        <v>58000</v>
      </c>
      <c r="I112" s="104">
        <f>Спецификация!I4128</f>
        <v>85918300</v>
      </c>
      <c r="J112" s="100">
        <v>4128</v>
      </c>
      <c r="K112" s="102" t="str">
        <f t="shared" si="4"/>
        <v>проценено</v>
      </c>
      <c r="L112" s="101" t="s">
        <v>6200</v>
      </c>
    </row>
    <row r="113" spans="1:12" ht="63.75" x14ac:dyDescent="0.25">
      <c r="A113" s="100">
        <v>93</v>
      </c>
      <c r="B113" s="101" t="s">
        <v>5677</v>
      </c>
      <c r="C113" s="102" t="s">
        <v>5663</v>
      </c>
      <c r="D113" s="101" t="s">
        <v>6202</v>
      </c>
      <c r="E113" s="101" t="s">
        <v>6198</v>
      </c>
      <c r="F113" s="102" t="s">
        <v>576</v>
      </c>
      <c r="G113" s="103">
        <f>Спецификация!G4129</f>
        <v>1284.49</v>
      </c>
      <c r="H113" s="104">
        <f>Спецификация!H4129</f>
        <v>58000</v>
      </c>
      <c r="I113" s="104">
        <f>Спецификация!I4129</f>
        <v>74500420</v>
      </c>
      <c r="J113" s="100">
        <v>4129</v>
      </c>
      <c r="K113" s="102" t="str">
        <f t="shared" si="4"/>
        <v>проценено</v>
      </c>
      <c r="L113" s="101" t="s">
        <v>6203</v>
      </c>
    </row>
    <row r="114" spans="1:12" ht="51" x14ac:dyDescent="0.25">
      <c r="A114" s="100">
        <v>94</v>
      </c>
      <c r="B114" s="101" t="s">
        <v>5677</v>
      </c>
      <c r="C114" s="102" t="s">
        <v>5666</v>
      </c>
      <c r="D114" s="101" t="s">
        <v>5688</v>
      </c>
      <c r="E114" s="101" t="s">
        <v>6198</v>
      </c>
      <c r="F114" s="102" t="s">
        <v>576</v>
      </c>
      <c r="G114" s="103">
        <f>Спецификация!G4130</f>
        <v>82.71</v>
      </c>
      <c r="H114" s="104">
        <f>Спецификация!H4130</f>
        <v>58000</v>
      </c>
      <c r="I114" s="104">
        <f>Спецификация!I4130</f>
        <v>4797180</v>
      </c>
      <c r="J114" s="100">
        <v>4130</v>
      </c>
      <c r="K114" s="102" t="str">
        <f t="shared" si="4"/>
        <v>проценено</v>
      </c>
      <c r="L114" s="101" t="s">
        <v>6200</v>
      </c>
    </row>
    <row r="115" spans="1:12" ht="51" x14ac:dyDescent="0.25">
      <c r="A115" s="100">
        <v>95</v>
      </c>
      <c r="B115" s="101" t="s">
        <v>5677</v>
      </c>
      <c r="C115" s="102" t="s">
        <v>34</v>
      </c>
      <c r="D115" s="101" t="s">
        <v>5690</v>
      </c>
      <c r="E115" s="101" t="s">
        <v>6204</v>
      </c>
      <c r="F115" s="102" t="s">
        <v>89</v>
      </c>
      <c r="G115" s="103">
        <f>Спецификация!G4131</f>
        <v>6613.82</v>
      </c>
      <c r="H115" s="104">
        <f>Спецификация!H4131</f>
        <v>200</v>
      </c>
      <c r="I115" s="104">
        <f>Спецификация!I4131</f>
        <v>1322764</v>
      </c>
      <c r="J115" s="100">
        <v>4131</v>
      </c>
      <c r="K115" s="102" t="str">
        <f t="shared" si="4"/>
        <v>проценено</v>
      </c>
      <c r="L115" s="101" t="s">
        <v>6205</v>
      </c>
    </row>
    <row r="116" spans="1:12" ht="51" x14ac:dyDescent="0.25">
      <c r="A116" s="100">
        <v>96</v>
      </c>
      <c r="B116" s="101" t="s">
        <v>5677</v>
      </c>
      <c r="C116" s="102" t="s">
        <v>5600</v>
      </c>
      <c r="D116" s="101" t="s">
        <v>5692</v>
      </c>
      <c r="E116" s="101" t="s">
        <v>6204</v>
      </c>
      <c r="F116" s="102" t="s">
        <v>576</v>
      </c>
      <c r="G116" s="103">
        <f>Спецификация!G4132</f>
        <v>2671.44</v>
      </c>
      <c r="H116" s="104">
        <f>Спецификация!H4132</f>
        <v>2400</v>
      </c>
      <c r="I116" s="104">
        <f>Спецификация!I4132</f>
        <v>6411456</v>
      </c>
      <c r="J116" s="100">
        <v>4132</v>
      </c>
      <c r="K116" s="102" t="str">
        <f t="shared" si="4"/>
        <v>проценено</v>
      </c>
      <c r="L116" s="101" t="s">
        <v>6200</v>
      </c>
    </row>
    <row r="117" spans="1:12" ht="51" x14ac:dyDescent="0.25">
      <c r="A117" s="100">
        <v>97</v>
      </c>
      <c r="B117" s="101" t="s">
        <v>5677</v>
      </c>
      <c r="C117" s="102" t="s">
        <v>5694</v>
      </c>
      <c r="D117" s="101" t="s">
        <v>5695</v>
      </c>
      <c r="E117" s="101" t="s">
        <v>6198</v>
      </c>
      <c r="F117" s="102" t="s">
        <v>576</v>
      </c>
      <c r="G117" s="103">
        <f>Спецификация!G4133</f>
        <v>2671.44</v>
      </c>
      <c r="H117" s="104">
        <f>Спецификация!H4133</f>
        <v>2400</v>
      </c>
      <c r="I117" s="104">
        <f>Спецификация!I4133</f>
        <v>6411456</v>
      </c>
      <c r="J117" s="100">
        <v>4133</v>
      </c>
      <c r="K117" s="102" t="str">
        <f t="shared" si="4"/>
        <v>проценено</v>
      </c>
      <c r="L117" s="101" t="s">
        <v>6200</v>
      </c>
    </row>
    <row r="118" spans="1:12" ht="51" x14ac:dyDescent="0.25">
      <c r="A118" s="100">
        <v>98</v>
      </c>
      <c r="B118" s="101" t="s">
        <v>5677</v>
      </c>
      <c r="C118" s="102" t="s">
        <v>5697</v>
      </c>
      <c r="D118" s="101" t="s">
        <v>5698</v>
      </c>
      <c r="E118" s="101" t="s">
        <v>6198</v>
      </c>
      <c r="F118" s="102" t="s">
        <v>576</v>
      </c>
      <c r="G118" s="103">
        <f>Спецификация!G4134</f>
        <v>4326.6899999999996</v>
      </c>
      <c r="H118" s="104">
        <f>Спецификация!H4134</f>
        <v>6500</v>
      </c>
      <c r="I118" s="104">
        <f>Спецификация!I4134</f>
        <v>28123484.999999996</v>
      </c>
      <c r="J118" s="100">
        <v>4134</v>
      </c>
      <c r="K118" s="102" t="str">
        <f t="shared" si="4"/>
        <v>проценено</v>
      </c>
      <c r="L118" s="101" t="s">
        <v>6206</v>
      </c>
    </row>
    <row r="119" spans="1:12" ht="51" x14ac:dyDescent="0.25">
      <c r="A119" s="100">
        <v>99</v>
      </c>
      <c r="B119" s="101" t="s">
        <v>5677</v>
      </c>
      <c r="C119" s="102" t="s">
        <v>5611</v>
      </c>
      <c r="D119" s="101" t="s">
        <v>5701</v>
      </c>
      <c r="E119" s="101" t="s">
        <v>6198</v>
      </c>
      <c r="F119" s="102" t="s">
        <v>576</v>
      </c>
      <c r="G119" s="103">
        <f>Спецификация!G4135</f>
        <v>55.1</v>
      </c>
      <c r="H119" s="104">
        <f>Спецификация!H4135</f>
        <v>58000</v>
      </c>
      <c r="I119" s="104">
        <f>Спецификация!I4135</f>
        <v>3195800</v>
      </c>
      <c r="J119" s="100">
        <v>4135</v>
      </c>
      <c r="K119" s="102" t="str">
        <f t="shared" si="4"/>
        <v>проценено</v>
      </c>
      <c r="L119" s="101" t="s">
        <v>6200</v>
      </c>
    </row>
    <row r="120" spans="1:12" ht="63.75" x14ac:dyDescent="0.25">
      <c r="A120" s="100">
        <v>100</v>
      </c>
      <c r="B120" s="101" t="s">
        <v>5677</v>
      </c>
      <c r="C120" s="102" t="s">
        <v>5618</v>
      </c>
      <c r="D120" s="101" t="s">
        <v>5702</v>
      </c>
      <c r="E120" s="101" t="s">
        <v>6207</v>
      </c>
      <c r="F120" s="102" t="s">
        <v>315</v>
      </c>
      <c r="G120" s="103">
        <f>Спецификация!G4136</f>
        <v>344.7953</v>
      </c>
      <c r="H120" s="104">
        <f>Спецификация!H4136</f>
        <v>7000</v>
      </c>
      <c r="I120" s="104">
        <f>Спецификация!I4136</f>
        <v>2413567.1</v>
      </c>
      <c r="J120" s="100">
        <v>4136</v>
      </c>
      <c r="K120" s="102" t="str">
        <f t="shared" si="4"/>
        <v>проценено</v>
      </c>
      <c r="L120" s="101" t="s">
        <v>6208</v>
      </c>
    </row>
    <row r="121" spans="1:12" ht="51" x14ac:dyDescent="0.25">
      <c r="A121" s="100">
        <v>101</v>
      </c>
      <c r="B121" s="101" t="s">
        <v>5677</v>
      </c>
      <c r="C121" s="102" t="s">
        <v>5624</v>
      </c>
      <c r="D121" s="101" t="s">
        <v>5704</v>
      </c>
      <c r="E121" s="101" t="s">
        <v>6209</v>
      </c>
      <c r="F121" s="102" t="s">
        <v>576</v>
      </c>
      <c r="G121" s="103">
        <f>Спецификация!G4137</f>
        <v>4693.2376999999997</v>
      </c>
      <c r="H121" s="104">
        <f>Спецификация!H4137</f>
        <v>110</v>
      </c>
      <c r="I121" s="104">
        <f>Спецификация!I4137</f>
        <v>516256.14699999994</v>
      </c>
      <c r="J121" s="100">
        <v>4137</v>
      </c>
      <c r="K121" s="102" t="str">
        <f t="shared" si="4"/>
        <v>проценено</v>
      </c>
      <c r="L121" s="101" t="s">
        <v>6210</v>
      </c>
    </row>
    <row r="122" spans="1:12" ht="51" x14ac:dyDescent="0.25">
      <c r="A122" s="100">
        <v>102</v>
      </c>
      <c r="B122" s="101" t="s">
        <v>5677</v>
      </c>
      <c r="C122" s="102" t="s">
        <v>29</v>
      </c>
      <c r="D122" s="101" t="s">
        <v>5706</v>
      </c>
      <c r="E122" s="101" t="s">
        <v>6209</v>
      </c>
      <c r="F122" s="102" t="s">
        <v>1878</v>
      </c>
      <c r="G122" s="103">
        <f>Спецификация!G4138</f>
        <v>13.6937</v>
      </c>
      <c r="H122" s="104">
        <f>Спецификация!H4138</f>
        <v>3500</v>
      </c>
      <c r="I122" s="104">
        <f>Спецификация!I4138</f>
        <v>47927.95</v>
      </c>
      <c r="J122" s="100">
        <v>4138</v>
      </c>
      <c r="K122" s="102" t="str">
        <f t="shared" si="4"/>
        <v>проценено</v>
      </c>
      <c r="L122" s="101" t="s">
        <v>6211</v>
      </c>
    </row>
    <row r="123" spans="1:12" ht="51" x14ac:dyDescent="0.25">
      <c r="A123" s="100">
        <v>103</v>
      </c>
      <c r="B123" s="101" t="s">
        <v>5677</v>
      </c>
      <c r="C123" s="102" t="s">
        <v>5708</v>
      </c>
      <c r="D123" s="101" t="s">
        <v>5709</v>
      </c>
      <c r="E123" s="101" t="s">
        <v>6209</v>
      </c>
      <c r="F123" s="102" t="s">
        <v>315</v>
      </c>
      <c r="G123" s="103">
        <f>Спецификация!G4139</f>
        <v>47.286200000000001</v>
      </c>
      <c r="H123" s="104">
        <f>Спецификация!H4139</f>
        <v>7000</v>
      </c>
      <c r="I123" s="104">
        <f>Спецификация!I4139</f>
        <v>331003.40000000002</v>
      </c>
      <c r="J123" s="100">
        <v>4139</v>
      </c>
      <c r="K123" s="102" t="str">
        <f t="shared" si="4"/>
        <v>проценено</v>
      </c>
      <c r="L123" s="101" t="s">
        <v>6212</v>
      </c>
    </row>
    <row r="124" spans="1:12" ht="51" x14ac:dyDescent="0.25">
      <c r="A124" s="100">
        <v>104</v>
      </c>
      <c r="B124" s="101" t="s">
        <v>5677</v>
      </c>
      <c r="C124" s="102" t="s">
        <v>5711</v>
      </c>
      <c r="D124" s="101" t="s">
        <v>5638</v>
      </c>
      <c r="E124" s="101" t="s">
        <v>6209</v>
      </c>
      <c r="F124" s="102" t="s">
        <v>576</v>
      </c>
      <c r="G124" s="103">
        <f>Спецификация!G4140</f>
        <v>1006.2192</v>
      </c>
      <c r="H124" s="104">
        <f>Спецификация!H4140</f>
        <v>500</v>
      </c>
      <c r="I124" s="104">
        <f>Спецификация!I4140</f>
        <v>503109.6</v>
      </c>
      <c r="J124" s="100">
        <v>4140</v>
      </c>
      <c r="K124" s="102" t="str">
        <f t="shared" si="4"/>
        <v>проценено</v>
      </c>
      <c r="L124" s="101" t="s">
        <v>6213</v>
      </c>
    </row>
    <row r="125" spans="1:12" ht="63.75" x14ac:dyDescent="0.25">
      <c r="A125" s="100">
        <v>105</v>
      </c>
      <c r="B125" s="101" t="s">
        <v>5677</v>
      </c>
      <c r="C125" s="102" t="s">
        <v>5713</v>
      </c>
      <c r="D125" s="101" t="s">
        <v>5714</v>
      </c>
      <c r="E125" s="101" t="s">
        <v>6209</v>
      </c>
      <c r="F125" s="102" t="s">
        <v>158</v>
      </c>
      <c r="G125" s="103">
        <f>Спецификация!G4141</f>
        <v>8485.3086000000003</v>
      </c>
      <c r="H125" s="104">
        <f>Спецификация!H4141</f>
        <v>232.9</v>
      </c>
      <c r="I125" s="104">
        <f>Спецификация!I4141</f>
        <v>1976228.3729400001</v>
      </c>
      <c r="J125" s="100">
        <v>4141</v>
      </c>
      <c r="K125" s="102" t="str">
        <f t="shared" si="4"/>
        <v>проценено</v>
      </c>
      <c r="L125" s="101" t="s">
        <v>6214</v>
      </c>
    </row>
    <row r="126" spans="1:12" ht="51" x14ac:dyDescent="0.25">
      <c r="A126" s="100">
        <v>106</v>
      </c>
      <c r="B126" s="101" t="s">
        <v>5677</v>
      </c>
      <c r="C126" s="102" t="s">
        <v>5716</v>
      </c>
      <c r="D126" s="101" t="s">
        <v>5717</v>
      </c>
      <c r="E126" s="101" t="s">
        <v>6209</v>
      </c>
      <c r="F126" s="102" t="s">
        <v>576</v>
      </c>
      <c r="G126" s="103">
        <f>Спецификация!G4142</f>
        <v>1681.2048</v>
      </c>
      <c r="H126" s="104">
        <f>Спецификация!H4142</f>
        <v>8000</v>
      </c>
      <c r="I126" s="104">
        <f>Спецификация!I4142</f>
        <v>13449638.4</v>
      </c>
      <c r="J126" s="100">
        <v>4142</v>
      </c>
      <c r="K126" s="102" t="str">
        <f t="shared" si="4"/>
        <v>проценено</v>
      </c>
      <c r="L126" s="101" t="s">
        <v>6200</v>
      </c>
    </row>
    <row r="127" spans="1:12" ht="51" x14ac:dyDescent="0.25">
      <c r="A127" s="100">
        <v>107</v>
      </c>
      <c r="B127" s="101" t="s">
        <v>5677</v>
      </c>
      <c r="C127" s="102" t="s">
        <v>5719</v>
      </c>
      <c r="D127" s="101" t="s">
        <v>5720</v>
      </c>
      <c r="E127" s="101" t="s">
        <v>6215</v>
      </c>
      <c r="F127" s="102" t="s">
        <v>158</v>
      </c>
      <c r="G127" s="103">
        <f>Спецификация!G4143</f>
        <v>69.182199999999995</v>
      </c>
      <c r="H127" s="104">
        <f>Спецификация!H4143</f>
        <v>111</v>
      </c>
      <c r="I127" s="104">
        <f>Спецификация!I4143</f>
        <v>7679.2241999999997</v>
      </c>
      <c r="J127" s="100">
        <v>4143</v>
      </c>
      <c r="K127" s="102" t="str">
        <f t="shared" si="4"/>
        <v>проценено</v>
      </c>
      <c r="L127" s="101" t="s">
        <v>6216</v>
      </c>
    </row>
    <row r="128" spans="1:12" ht="63.75" x14ac:dyDescent="0.25">
      <c r="A128" s="100">
        <v>108</v>
      </c>
      <c r="B128" s="101" t="s">
        <v>5677</v>
      </c>
      <c r="C128" s="102" t="s">
        <v>5722</v>
      </c>
      <c r="D128" s="101" t="s">
        <v>5723</v>
      </c>
      <c r="E128" s="101" t="s">
        <v>6215</v>
      </c>
      <c r="F128" s="102" t="s">
        <v>315</v>
      </c>
      <c r="G128" s="103">
        <f>Спецификация!G4144</f>
        <v>353.49849999999998</v>
      </c>
      <c r="H128" s="104">
        <f>Спецификация!H4144</f>
        <v>14000</v>
      </c>
      <c r="I128" s="104">
        <f>Спецификация!I4144</f>
        <v>4948979</v>
      </c>
      <c r="J128" s="100">
        <v>4144</v>
      </c>
      <c r="K128" s="102" t="str">
        <f t="shared" si="4"/>
        <v>проценено</v>
      </c>
      <c r="L128" s="101" t="s">
        <v>6217</v>
      </c>
    </row>
    <row r="129" spans="1:12" ht="51" x14ac:dyDescent="0.25">
      <c r="A129" s="100">
        <v>109</v>
      </c>
      <c r="B129" s="101" t="s">
        <v>5677</v>
      </c>
      <c r="C129" s="102" t="s">
        <v>5725</v>
      </c>
      <c r="D129" s="101" t="s">
        <v>5726</v>
      </c>
      <c r="E129" s="101" t="s">
        <v>6215</v>
      </c>
      <c r="F129" s="102" t="s">
        <v>315</v>
      </c>
      <c r="G129" s="103">
        <f>Спецификация!G4145</f>
        <v>34.561900000000001</v>
      </c>
      <c r="H129" s="104">
        <f>Спецификация!H4145</f>
        <v>8500</v>
      </c>
      <c r="I129" s="104">
        <f>Спецификация!I4145</f>
        <v>293776.15000000002</v>
      </c>
      <c r="J129" s="100">
        <v>4145</v>
      </c>
      <c r="K129" s="102" t="str">
        <f t="shared" si="4"/>
        <v>проценено</v>
      </c>
      <c r="L129" s="101" t="s">
        <v>6218</v>
      </c>
    </row>
    <row r="130" spans="1:12" ht="51" x14ac:dyDescent="0.25">
      <c r="A130" s="100">
        <v>110</v>
      </c>
      <c r="B130" s="101" t="s">
        <v>5677</v>
      </c>
      <c r="C130" s="102" t="s">
        <v>5728</v>
      </c>
      <c r="D130" s="101" t="s">
        <v>5729</v>
      </c>
      <c r="E130" s="101" t="s">
        <v>6209</v>
      </c>
      <c r="F130" s="102" t="s">
        <v>1878</v>
      </c>
      <c r="G130" s="103">
        <f>Спецификация!G4146</f>
        <v>24.0702</v>
      </c>
      <c r="H130" s="104">
        <f>Спецификация!H4146</f>
        <v>49000</v>
      </c>
      <c r="I130" s="104">
        <f>Спецификация!I4146</f>
        <v>1179439.8</v>
      </c>
      <c r="J130" s="100">
        <v>4146</v>
      </c>
      <c r="K130" s="102" t="str">
        <f t="shared" si="4"/>
        <v>проценено</v>
      </c>
      <c r="L130" s="101" t="s">
        <v>6219</v>
      </c>
    </row>
    <row r="131" spans="1:12" ht="51" x14ac:dyDescent="0.25">
      <c r="A131" s="100">
        <v>111</v>
      </c>
      <c r="B131" s="101" t="s">
        <v>5677</v>
      </c>
      <c r="C131" s="102" t="s">
        <v>5731</v>
      </c>
      <c r="D131" s="101" t="s">
        <v>5732</v>
      </c>
      <c r="E131" s="101" t="s">
        <v>6207</v>
      </c>
      <c r="F131" s="102" t="s">
        <v>315</v>
      </c>
      <c r="G131" s="103">
        <f>Спецификация!G4147</f>
        <v>99.476500000000001</v>
      </c>
      <c r="H131" s="104">
        <f>Спецификация!H4147</f>
        <v>7000</v>
      </c>
      <c r="I131" s="104">
        <f>Спецификация!I4147</f>
        <v>696335.5</v>
      </c>
      <c r="J131" s="100">
        <v>4147</v>
      </c>
      <c r="K131" s="102" t="str">
        <f t="shared" si="4"/>
        <v>проценено</v>
      </c>
      <c r="L131" s="101" t="s">
        <v>6220</v>
      </c>
    </row>
    <row r="132" spans="1:12" ht="63.75" x14ac:dyDescent="0.25">
      <c r="A132" s="100">
        <v>112</v>
      </c>
      <c r="B132" s="101" t="s">
        <v>5677</v>
      </c>
      <c r="C132" s="102" t="s">
        <v>558</v>
      </c>
      <c r="D132" s="101" t="s">
        <v>5734</v>
      </c>
      <c r="E132" s="101" t="s">
        <v>6209</v>
      </c>
      <c r="F132" s="102" t="s">
        <v>315</v>
      </c>
      <c r="G132" s="103">
        <f>Спецификация!G4148</f>
        <v>200.90360000000001</v>
      </c>
      <c r="H132" s="104">
        <f>Спецификация!H4148</f>
        <v>14000</v>
      </c>
      <c r="I132" s="104">
        <f>Спецификация!I4148</f>
        <v>2812650.4000000004</v>
      </c>
      <c r="J132" s="100">
        <v>4148</v>
      </c>
      <c r="K132" s="102" t="str">
        <f t="shared" si="4"/>
        <v>проценено</v>
      </c>
      <c r="L132" s="101" t="s">
        <v>6200</v>
      </c>
    </row>
    <row r="133" spans="1:12" ht="51" x14ac:dyDescent="0.25">
      <c r="A133" s="100">
        <v>113</v>
      </c>
      <c r="B133" s="101" t="s">
        <v>5677</v>
      </c>
      <c r="C133" s="102" t="s">
        <v>565</v>
      </c>
      <c r="D133" s="101" t="s">
        <v>5735</v>
      </c>
      <c r="E133" s="101" t="s">
        <v>6209</v>
      </c>
      <c r="F133" s="102" t="s">
        <v>315</v>
      </c>
      <c r="G133" s="103">
        <f>Спецификация!G4149</f>
        <v>0.33700000000000002</v>
      </c>
      <c r="H133" s="104">
        <f>Спецификация!H4149</f>
        <v>25000</v>
      </c>
      <c r="I133" s="104">
        <f>Спецификация!I4149</f>
        <v>8425</v>
      </c>
      <c r="J133" s="100">
        <v>4149</v>
      </c>
      <c r="K133" s="102" t="str">
        <f t="shared" si="4"/>
        <v>проценено</v>
      </c>
      <c r="L133" s="101" t="s">
        <v>6200</v>
      </c>
    </row>
    <row r="134" spans="1:12" ht="51" x14ac:dyDescent="0.25">
      <c r="A134" s="100">
        <v>114</v>
      </c>
      <c r="B134" s="101" t="s">
        <v>5677</v>
      </c>
      <c r="C134" s="102" t="s">
        <v>803</v>
      </c>
      <c r="D134" s="101" t="s">
        <v>5651</v>
      </c>
      <c r="E134" s="101" t="s">
        <v>6209</v>
      </c>
      <c r="F134" s="102" t="s">
        <v>1878</v>
      </c>
      <c r="G134" s="103">
        <f>Спецификация!G4150</f>
        <v>18.959099999999999</v>
      </c>
      <c r="H134" s="104">
        <f>Спецификация!H4150</f>
        <v>110000</v>
      </c>
      <c r="I134" s="104">
        <f>Спецификация!I4150</f>
        <v>2085501</v>
      </c>
      <c r="J134" s="100">
        <v>4150</v>
      </c>
      <c r="K134" s="102" t="str">
        <f t="shared" si="4"/>
        <v>проценено</v>
      </c>
      <c r="L134" s="101" t="s">
        <v>6200</v>
      </c>
    </row>
    <row r="135" spans="1:12" ht="51" x14ac:dyDescent="0.25">
      <c r="A135" s="100">
        <v>115</v>
      </c>
      <c r="B135" s="101" t="s">
        <v>5677</v>
      </c>
      <c r="C135" s="102" t="s">
        <v>5736</v>
      </c>
      <c r="D135" s="101" t="s">
        <v>5737</v>
      </c>
      <c r="E135" s="101" t="s">
        <v>6209</v>
      </c>
      <c r="F135" s="102" t="s">
        <v>315</v>
      </c>
      <c r="G135" s="103">
        <f>Спецификация!G4151</f>
        <v>237.57329999999999</v>
      </c>
      <c r="H135" s="104">
        <f>Спецификация!H4151</f>
        <v>8500</v>
      </c>
      <c r="I135" s="104">
        <f>Спецификация!I4151</f>
        <v>2019373.0499999998</v>
      </c>
      <c r="J135" s="100">
        <v>4151</v>
      </c>
      <c r="K135" s="102" t="str">
        <f t="shared" si="4"/>
        <v>проценено</v>
      </c>
      <c r="L135" s="101" t="s">
        <v>6200</v>
      </c>
    </row>
    <row r="136" spans="1:12" ht="51" x14ac:dyDescent="0.25">
      <c r="A136" s="100">
        <v>116</v>
      </c>
      <c r="B136" s="101" t="s">
        <v>5677</v>
      </c>
      <c r="C136" s="102" t="s">
        <v>5738</v>
      </c>
      <c r="D136" s="101" t="s">
        <v>5739</v>
      </c>
      <c r="E136" s="101" t="s">
        <v>6209</v>
      </c>
      <c r="F136" s="102" t="s">
        <v>1878</v>
      </c>
      <c r="G136" s="103">
        <f>Спецификация!G4152</f>
        <v>70.477699999999999</v>
      </c>
      <c r="H136" s="104">
        <f>Спецификация!H4152</f>
        <v>5000</v>
      </c>
      <c r="I136" s="104">
        <f>Спецификация!I4152</f>
        <v>352388.5</v>
      </c>
      <c r="J136" s="100">
        <v>4152</v>
      </c>
      <c r="K136" s="102" t="str">
        <f t="shared" si="4"/>
        <v>проценено</v>
      </c>
      <c r="L136" s="101" t="s">
        <v>6221</v>
      </c>
    </row>
    <row r="137" spans="1:12" ht="51" x14ac:dyDescent="0.25">
      <c r="A137" s="100">
        <v>117</v>
      </c>
      <c r="B137" s="101" t="s">
        <v>5677</v>
      </c>
      <c r="C137" s="102" t="s">
        <v>5741</v>
      </c>
      <c r="D137" s="101" t="s">
        <v>5742</v>
      </c>
      <c r="E137" s="101" t="s">
        <v>6209</v>
      </c>
      <c r="F137" s="102" t="s">
        <v>576</v>
      </c>
      <c r="G137" s="103">
        <f>Спецификация!G4153</f>
        <v>145.7988</v>
      </c>
      <c r="H137" s="104">
        <f>Спецификация!H4153</f>
        <v>2500</v>
      </c>
      <c r="I137" s="104">
        <f>Спецификация!I4153</f>
        <v>364497</v>
      </c>
      <c r="J137" s="100">
        <v>4153</v>
      </c>
      <c r="K137" s="102" t="str">
        <f t="shared" si="4"/>
        <v>проценено</v>
      </c>
      <c r="L137" s="101" t="s">
        <v>6200</v>
      </c>
    </row>
    <row r="138" spans="1:12" ht="51" x14ac:dyDescent="0.25">
      <c r="A138" s="100">
        <v>118</v>
      </c>
      <c r="B138" s="101" t="s">
        <v>5677</v>
      </c>
      <c r="C138" s="102" t="s">
        <v>5743</v>
      </c>
      <c r="D138" s="101" t="s">
        <v>5744</v>
      </c>
      <c r="E138" s="101" t="s">
        <v>6209</v>
      </c>
      <c r="F138" s="102" t="s">
        <v>1878</v>
      </c>
      <c r="G138" s="103">
        <f>Спецификация!G4154</f>
        <v>0.20200000000000001</v>
      </c>
      <c r="H138" s="104">
        <f>Спецификация!H4154</f>
        <v>111000</v>
      </c>
      <c r="I138" s="104">
        <f>Спецификация!I4154</f>
        <v>22422</v>
      </c>
      <c r="J138" s="100">
        <v>4154</v>
      </c>
      <c r="K138" s="102" t="str">
        <f t="shared" si="4"/>
        <v>проценено</v>
      </c>
      <c r="L138" s="101" t="s">
        <v>6222</v>
      </c>
    </row>
    <row r="139" spans="1:12" ht="51" x14ac:dyDescent="0.25">
      <c r="A139" s="100">
        <v>119</v>
      </c>
      <c r="B139" s="101" t="s">
        <v>5677</v>
      </c>
      <c r="C139" s="102" t="s">
        <v>5746</v>
      </c>
      <c r="D139" s="101" t="s">
        <v>5747</v>
      </c>
      <c r="E139" s="101" t="s">
        <v>6209</v>
      </c>
      <c r="F139" s="102" t="s">
        <v>576</v>
      </c>
      <c r="G139" s="103">
        <f>Спецификация!G4155</f>
        <v>665.79899999999998</v>
      </c>
      <c r="H139" s="104">
        <f>Спецификация!H4155</f>
        <v>25000</v>
      </c>
      <c r="I139" s="104">
        <f>Спецификация!I4155</f>
        <v>16644975</v>
      </c>
      <c r="J139" s="100">
        <v>4155</v>
      </c>
      <c r="K139" s="102" t="str">
        <f t="shared" si="4"/>
        <v>проценено</v>
      </c>
      <c r="L139" s="101" t="s">
        <v>6200</v>
      </c>
    </row>
    <row r="140" spans="1:12" ht="51" x14ac:dyDescent="0.25">
      <c r="A140" s="100">
        <v>120</v>
      </c>
      <c r="B140" s="101" t="s">
        <v>5677</v>
      </c>
      <c r="C140" s="102" t="s">
        <v>499</v>
      </c>
      <c r="D140" s="101" t="s">
        <v>5748</v>
      </c>
      <c r="E140" s="101" t="s">
        <v>6207</v>
      </c>
      <c r="F140" s="102" t="s">
        <v>315</v>
      </c>
      <c r="G140" s="103">
        <f>Спецификация!G4156</f>
        <v>7.7706</v>
      </c>
      <c r="H140" s="104">
        <f>Спецификация!H4156</f>
        <v>7000</v>
      </c>
      <c r="I140" s="104">
        <f>Спецификация!I4156</f>
        <v>54394.2</v>
      </c>
      <c r="J140" s="100">
        <v>4156</v>
      </c>
      <c r="K140" s="102" t="str">
        <f t="shared" si="4"/>
        <v>проценено</v>
      </c>
      <c r="L140" s="101" t="s">
        <v>6200</v>
      </c>
    </row>
    <row r="141" spans="1:12" ht="38.25" x14ac:dyDescent="0.25">
      <c r="A141" s="100">
        <v>121</v>
      </c>
      <c r="B141" s="101" t="s">
        <v>5677</v>
      </c>
      <c r="C141" s="102" t="s">
        <v>535</v>
      </c>
      <c r="D141" s="101" t="s">
        <v>5750</v>
      </c>
      <c r="E141" s="101" t="s">
        <v>6223</v>
      </c>
      <c r="F141" s="102" t="s">
        <v>89</v>
      </c>
      <c r="G141" s="103">
        <f>Спецификация!G4157</f>
        <v>48.995100000000001</v>
      </c>
      <c r="H141" s="104">
        <f>Спецификация!H4157</f>
        <v>400</v>
      </c>
      <c r="I141" s="104">
        <f>Спецификация!I4157</f>
        <v>19598.04</v>
      </c>
      <c r="J141" s="100">
        <v>4157</v>
      </c>
      <c r="K141" s="102" t="str">
        <f t="shared" si="4"/>
        <v>проценено</v>
      </c>
      <c r="L141" s="101" t="s">
        <v>6200</v>
      </c>
    </row>
    <row r="142" spans="1:12" ht="38.25" x14ac:dyDescent="0.25">
      <c r="A142" s="100">
        <v>122</v>
      </c>
      <c r="B142" s="101" t="s">
        <v>5677</v>
      </c>
      <c r="C142" s="102" t="s">
        <v>5752</v>
      </c>
      <c r="D142" s="101" t="s">
        <v>5753</v>
      </c>
      <c r="E142" s="101" t="s">
        <v>6223</v>
      </c>
      <c r="F142" s="102" t="s">
        <v>89</v>
      </c>
      <c r="G142" s="103">
        <f>Спецификация!G4158</f>
        <v>1142.9564</v>
      </c>
      <c r="H142" s="104">
        <f>Спецификация!H4158</f>
        <v>2000</v>
      </c>
      <c r="I142" s="104">
        <f>Спецификация!I4158</f>
        <v>2285912.8000000003</v>
      </c>
      <c r="J142" s="100">
        <v>4158</v>
      </c>
      <c r="K142" s="102" t="str">
        <f t="shared" ref="K142:K173" si="5">IF(H142=0,"НЕТ ЦЕНЫ","проценено")</f>
        <v>проценено</v>
      </c>
      <c r="L142" s="101" t="s">
        <v>6200</v>
      </c>
    </row>
    <row r="143" spans="1:12" ht="38.25" x14ac:dyDescent="0.25">
      <c r="A143" s="100">
        <v>123</v>
      </c>
      <c r="B143" s="101" t="s">
        <v>5677</v>
      </c>
      <c r="C143" s="102" t="s">
        <v>5754</v>
      </c>
      <c r="D143" s="101" t="s">
        <v>5755</v>
      </c>
      <c r="E143" s="101" t="s">
        <v>6223</v>
      </c>
      <c r="F143" s="102" t="s">
        <v>89</v>
      </c>
      <c r="G143" s="103">
        <f>Спецификация!G4159</f>
        <v>121.06870000000001</v>
      </c>
      <c r="H143" s="104">
        <f>Спецификация!H4159</f>
        <v>800</v>
      </c>
      <c r="I143" s="104">
        <f>Спецификация!I4159</f>
        <v>96854.96</v>
      </c>
      <c r="J143" s="100">
        <v>4159</v>
      </c>
      <c r="K143" s="102" t="str">
        <f t="shared" si="5"/>
        <v>проценено</v>
      </c>
      <c r="L143" s="101" t="s">
        <v>6200</v>
      </c>
    </row>
    <row r="144" spans="1:12" ht="51" x14ac:dyDescent="0.25">
      <c r="A144" s="100">
        <v>124</v>
      </c>
      <c r="B144" s="101" t="s">
        <v>5677</v>
      </c>
      <c r="C144" s="102" t="s">
        <v>5756</v>
      </c>
      <c r="D144" s="101" t="s">
        <v>5757</v>
      </c>
      <c r="E144" s="101" t="s">
        <v>6223</v>
      </c>
      <c r="F144" s="102" t="s">
        <v>315</v>
      </c>
      <c r="G144" s="103">
        <f>Спецификация!G4160</f>
        <v>1.8329</v>
      </c>
      <c r="H144" s="104">
        <f>Спецификация!H4160</f>
        <v>14000</v>
      </c>
      <c r="I144" s="104">
        <f>Спецификация!I4160</f>
        <v>25660.6</v>
      </c>
      <c r="J144" s="100">
        <v>4160</v>
      </c>
      <c r="K144" s="102" t="str">
        <f t="shared" si="5"/>
        <v>проценено</v>
      </c>
      <c r="L144" s="101" t="s">
        <v>6200</v>
      </c>
    </row>
    <row r="145" spans="1:12" ht="38.25" x14ac:dyDescent="0.25">
      <c r="A145" s="100">
        <v>125</v>
      </c>
      <c r="B145" s="101" t="s">
        <v>5677</v>
      </c>
      <c r="C145" s="102" t="s">
        <v>5758</v>
      </c>
      <c r="D145" s="101" t="s">
        <v>5759</v>
      </c>
      <c r="E145" s="101" t="s">
        <v>6224</v>
      </c>
      <c r="F145" s="102" t="s">
        <v>576</v>
      </c>
      <c r="G145" s="103">
        <f>Спецификация!G4161</f>
        <v>6443</v>
      </c>
      <c r="H145" s="104">
        <f>Спецификация!H4161</f>
        <v>1300</v>
      </c>
      <c r="I145" s="104">
        <f>Спецификация!I4161</f>
        <v>8375900</v>
      </c>
      <c r="J145" s="100">
        <v>4161</v>
      </c>
      <c r="K145" s="102" t="str">
        <f t="shared" si="5"/>
        <v>проценено</v>
      </c>
      <c r="L145" s="101" t="s">
        <v>6225</v>
      </c>
    </row>
    <row r="146" spans="1:12" ht="38.25" x14ac:dyDescent="0.25">
      <c r="A146" s="100">
        <v>126</v>
      </c>
      <c r="B146" s="101" t="s">
        <v>5677</v>
      </c>
      <c r="C146" s="102" t="s">
        <v>5761</v>
      </c>
      <c r="D146" s="101" t="s">
        <v>5762</v>
      </c>
      <c r="E146" s="101" t="s">
        <v>6224</v>
      </c>
      <c r="F146" s="102" t="s">
        <v>576</v>
      </c>
      <c r="G146" s="103">
        <f>Спецификация!G4162</f>
        <v>4906.1719999999996</v>
      </c>
      <c r="H146" s="104">
        <f>Спецификация!H4162</f>
        <v>50</v>
      </c>
      <c r="I146" s="104">
        <f>Спецификация!I4162</f>
        <v>245308.59999999998</v>
      </c>
      <c r="J146" s="100">
        <v>4162</v>
      </c>
      <c r="K146" s="102" t="str">
        <f t="shared" si="5"/>
        <v>проценено</v>
      </c>
      <c r="L146" s="101" t="s">
        <v>6200</v>
      </c>
    </row>
    <row r="147" spans="1:12" ht="38.25" x14ac:dyDescent="0.25">
      <c r="A147" s="100">
        <v>127</v>
      </c>
      <c r="B147" s="101" t="s">
        <v>5677</v>
      </c>
      <c r="C147" s="102" t="s">
        <v>5764</v>
      </c>
      <c r="D147" s="101" t="s">
        <v>5765</v>
      </c>
      <c r="E147" s="101" t="s">
        <v>6224</v>
      </c>
      <c r="F147" s="102" t="s">
        <v>315</v>
      </c>
      <c r="G147" s="103">
        <f>Спецификация!G4163</f>
        <v>989.15589999999997</v>
      </c>
      <c r="H147" s="104">
        <f>Спецификация!H4163</f>
        <v>12000</v>
      </c>
      <c r="I147" s="104">
        <f>Спецификация!I4163</f>
        <v>11869870.799999999</v>
      </c>
      <c r="J147" s="100">
        <v>4163</v>
      </c>
      <c r="K147" s="102" t="str">
        <f t="shared" si="5"/>
        <v>проценено</v>
      </c>
      <c r="L147" s="101" t="s">
        <v>6226</v>
      </c>
    </row>
    <row r="148" spans="1:12" ht="38.25" x14ac:dyDescent="0.25">
      <c r="A148" s="100">
        <v>128</v>
      </c>
      <c r="B148" s="101" t="s">
        <v>5677</v>
      </c>
      <c r="C148" s="102" t="s">
        <v>5768</v>
      </c>
      <c r="D148" s="101" t="s">
        <v>5769</v>
      </c>
      <c r="E148" s="101" t="s">
        <v>6224</v>
      </c>
      <c r="F148" s="102" t="s">
        <v>576</v>
      </c>
      <c r="G148" s="103">
        <f>Спецификация!G4164</f>
        <v>4642</v>
      </c>
      <c r="H148" s="104">
        <f>Спецификация!H4164</f>
        <v>11</v>
      </c>
      <c r="I148" s="104">
        <f>Спецификация!I4164</f>
        <v>51062</v>
      </c>
      <c r="J148" s="100">
        <v>4164</v>
      </c>
      <c r="K148" s="102" t="str">
        <f t="shared" si="5"/>
        <v>проценено</v>
      </c>
      <c r="L148" s="101" t="s">
        <v>6200</v>
      </c>
    </row>
    <row r="149" spans="1:12" ht="38.25" x14ac:dyDescent="0.25">
      <c r="A149" s="100">
        <v>129</v>
      </c>
      <c r="B149" s="101" t="s">
        <v>5677</v>
      </c>
      <c r="C149" s="102" t="s">
        <v>5770</v>
      </c>
      <c r="D149" s="101" t="s">
        <v>5771</v>
      </c>
      <c r="E149" s="101" t="s">
        <v>6224</v>
      </c>
      <c r="F149" s="102" t="s">
        <v>576</v>
      </c>
      <c r="G149" s="103">
        <f>Спецификация!G4165</f>
        <v>4878.32</v>
      </c>
      <c r="H149" s="104">
        <f>Спецификация!H4165</f>
        <v>2000</v>
      </c>
      <c r="I149" s="104">
        <f>Спецификация!I4165</f>
        <v>9756640</v>
      </c>
      <c r="J149" s="100">
        <v>4165</v>
      </c>
      <c r="K149" s="102" t="str">
        <f t="shared" si="5"/>
        <v>проценено</v>
      </c>
      <c r="L149" s="101" t="s">
        <v>6200</v>
      </c>
    </row>
    <row r="150" spans="1:12" ht="38.25" x14ac:dyDescent="0.25">
      <c r="A150" s="100">
        <v>130</v>
      </c>
      <c r="B150" s="101" t="s">
        <v>5677</v>
      </c>
      <c r="C150" s="102" t="s">
        <v>5772</v>
      </c>
      <c r="D150" s="101" t="s">
        <v>5773</v>
      </c>
      <c r="E150" s="101" t="s">
        <v>6224</v>
      </c>
      <c r="F150" s="102" t="s">
        <v>576</v>
      </c>
      <c r="G150" s="103">
        <f>Спецификация!G4166</f>
        <v>1717</v>
      </c>
      <c r="H150" s="104">
        <f>Спецификация!H4166</f>
        <v>60</v>
      </c>
      <c r="I150" s="104">
        <f>Спецификация!I4166</f>
        <v>103020</v>
      </c>
      <c r="J150" s="100">
        <v>4166</v>
      </c>
      <c r="K150" s="102" t="str">
        <f t="shared" si="5"/>
        <v>проценено</v>
      </c>
      <c r="L150" s="101" t="s">
        <v>6200</v>
      </c>
    </row>
    <row r="151" spans="1:12" ht="38.25" x14ac:dyDescent="0.25">
      <c r="A151" s="100">
        <v>131</v>
      </c>
      <c r="B151" s="101" t="s">
        <v>5677</v>
      </c>
      <c r="C151" s="102" t="s">
        <v>5774</v>
      </c>
      <c r="D151" s="101" t="s">
        <v>5775</v>
      </c>
      <c r="E151" s="101" t="s">
        <v>6224</v>
      </c>
      <c r="F151" s="102" t="s">
        <v>576</v>
      </c>
      <c r="G151" s="103">
        <f>Спецификация!G4167</f>
        <v>1717</v>
      </c>
      <c r="H151" s="104">
        <f>Спецификация!H4167</f>
        <v>50</v>
      </c>
      <c r="I151" s="104">
        <f>Спецификация!I4167</f>
        <v>85850</v>
      </c>
      <c r="J151" s="100">
        <v>4167</v>
      </c>
      <c r="K151" s="102" t="str">
        <f t="shared" si="5"/>
        <v>проценено</v>
      </c>
      <c r="L151" s="101" t="s">
        <v>6200</v>
      </c>
    </row>
    <row r="152" spans="1:12" ht="38.25" x14ac:dyDescent="0.25">
      <c r="A152" s="100">
        <v>132</v>
      </c>
      <c r="B152" s="101" t="s">
        <v>5677</v>
      </c>
      <c r="C152" s="102" t="s">
        <v>5776</v>
      </c>
      <c r="D152" s="101" t="s">
        <v>5777</v>
      </c>
      <c r="E152" s="101" t="s">
        <v>6224</v>
      </c>
      <c r="F152" s="102" t="s">
        <v>315</v>
      </c>
      <c r="G152" s="103">
        <f>Спецификация!G4168</f>
        <v>172.01</v>
      </c>
      <c r="H152" s="104">
        <f>Спецификация!H4168</f>
        <v>0</v>
      </c>
      <c r="I152" s="104">
        <f>Спецификация!I4168</f>
        <v>0</v>
      </c>
      <c r="J152" s="100">
        <v>4168</v>
      </c>
      <c r="K152" s="102" t="str">
        <f t="shared" si="5"/>
        <v>НЕТ ЦЕНЫ</v>
      </c>
      <c r="L152" s="101" t="s">
        <v>6200</v>
      </c>
    </row>
    <row r="153" spans="1:12" ht="38.25" x14ac:dyDescent="0.25">
      <c r="A153" s="100">
        <v>133</v>
      </c>
      <c r="B153" s="101" t="s">
        <v>5677</v>
      </c>
      <c r="C153" s="102" t="s">
        <v>5778</v>
      </c>
      <c r="D153" s="101" t="s">
        <v>5779</v>
      </c>
      <c r="E153" s="101" t="s">
        <v>6224</v>
      </c>
      <c r="F153" s="102" t="s">
        <v>576</v>
      </c>
      <c r="G153" s="103">
        <f>Спецификация!G4169</f>
        <v>1601.8982000000001</v>
      </c>
      <c r="H153" s="104">
        <f>Спецификация!H4169</f>
        <v>99</v>
      </c>
      <c r="I153" s="104">
        <f>Спецификация!I4169</f>
        <v>158587.92180000001</v>
      </c>
      <c r="J153" s="100">
        <v>4169</v>
      </c>
      <c r="K153" s="102" t="str">
        <f t="shared" si="5"/>
        <v>проценено</v>
      </c>
      <c r="L153" s="101" t="s">
        <v>6200</v>
      </c>
    </row>
    <row r="154" spans="1:12" ht="51" x14ac:dyDescent="0.25">
      <c r="A154" s="100">
        <v>134</v>
      </c>
      <c r="B154" s="101" t="s">
        <v>5677</v>
      </c>
      <c r="C154" s="102" t="s">
        <v>5780</v>
      </c>
      <c r="D154" s="101" t="s">
        <v>5781</v>
      </c>
      <c r="E154" s="101" t="s">
        <v>6224</v>
      </c>
      <c r="F154" s="102" t="s">
        <v>158</v>
      </c>
      <c r="G154" s="103">
        <f>Спецификация!G4170</f>
        <v>405.86</v>
      </c>
      <c r="H154" s="104">
        <f>Спецификация!H4170</f>
        <v>232.9</v>
      </c>
      <c r="I154" s="104">
        <f>Спецификация!I4170</f>
        <v>94524.794000000009</v>
      </c>
      <c r="J154" s="100">
        <v>4170</v>
      </c>
      <c r="K154" s="102" t="str">
        <f t="shared" si="5"/>
        <v>проценено</v>
      </c>
      <c r="L154" s="101" t="s">
        <v>6200</v>
      </c>
    </row>
    <row r="155" spans="1:12" ht="25.5" x14ac:dyDescent="0.25">
      <c r="A155" s="100">
        <v>135</v>
      </c>
      <c r="B155" s="101" t="s">
        <v>5677</v>
      </c>
      <c r="C155" s="102" t="s">
        <v>5782</v>
      </c>
      <c r="D155" s="101" t="s">
        <v>5783</v>
      </c>
      <c r="E155" s="101" t="s">
        <v>6227</v>
      </c>
      <c r="F155" s="102" t="s">
        <v>315</v>
      </c>
      <c r="G155" s="103">
        <f>Спецификация!G4171</f>
        <v>78.104900000000001</v>
      </c>
      <c r="H155" s="104">
        <f>Спецификация!H4171</f>
        <v>0</v>
      </c>
      <c r="I155" s="104">
        <f>Спецификация!I4171</f>
        <v>0</v>
      </c>
      <c r="J155" s="100">
        <v>4171</v>
      </c>
      <c r="K155" s="102" t="str">
        <f t="shared" si="5"/>
        <v>НЕТ ЦЕНЫ</v>
      </c>
      <c r="L155" s="101" t="s">
        <v>6200</v>
      </c>
    </row>
    <row r="156" spans="1:12" ht="38.25" x14ac:dyDescent="0.25">
      <c r="A156" s="100">
        <v>136</v>
      </c>
      <c r="B156" s="101" t="s">
        <v>5677</v>
      </c>
      <c r="C156" s="102" t="s">
        <v>5785</v>
      </c>
      <c r="D156" s="101" t="s">
        <v>5786</v>
      </c>
      <c r="E156" s="101" t="s">
        <v>6224</v>
      </c>
      <c r="F156" s="102" t="s">
        <v>315</v>
      </c>
      <c r="G156" s="103">
        <f>Спецификация!G4172</f>
        <v>23.337599999999998</v>
      </c>
      <c r="H156" s="104">
        <f>Спецификация!H4172</f>
        <v>0</v>
      </c>
      <c r="I156" s="104">
        <f>Спецификация!I4172</f>
        <v>0</v>
      </c>
      <c r="J156" s="100">
        <v>4172</v>
      </c>
      <c r="K156" s="102" t="str">
        <f t="shared" si="5"/>
        <v>НЕТ ЦЕНЫ</v>
      </c>
      <c r="L156" s="101" t="s">
        <v>6200</v>
      </c>
    </row>
    <row r="157" spans="1:12" ht="63.75" x14ac:dyDescent="0.25">
      <c r="A157" s="100">
        <v>137</v>
      </c>
      <c r="B157" s="101" t="s">
        <v>5677</v>
      </c>
      <c r="C157" s="102" t="s">
        <v>5788</v>
      </c>
      <c r="D157" s="101" t="s">
        <v>5789</v>
      </c>
      <c r="E157" s="101" t="s">
        <v>6224</v>
      </c>
      <c r="F157" s="102" t="s">
        <v>576</v>
      </c>
      <c r="G157" s="103">
        <f>Спецификация!G4173</f>
        <v>353</v>
      </c>
      <c r="H157" s="104">
        <f>Спецификация!H4173</f>
        <v>1165</v>
      </c>
      <c r="I157" s="104">
        <f>Спецификация!I4173</f>
        <v>411245</v>
      </c>
      <c r="J157" s="100">
        <v>4173</v>
      </c>
      <c r="K157" s="102" t="str">
        <f t="shared" si="5"/>
        <v>проценено</v>
      </c>
      <c r="L157" s="101" t="s">
        <v>6200</v>
      </c>
    </row>
    <row r="158" spans="1:12" ht="38.25" x14ac:dyDescent="0.25">
      <c r="A158" s="100">
        <v>138</v>
      </c>
      <c r="B158" s="101" t="s">
        <v>5677</v>
      </c>
      <c r="C158" s="102" t="s">
        <v>5790</v>
      </c>
      <c r="D158" s="101" t="s">
        <v>5791</v>
      </c>
      <c r="E158" s="101" t="s">
        <v>6224</v>
      </c>
      <c r="F158" s="102" t="s">
        <v>576</v>
      </c>
      <c r="G158" s="103">
        <f>Спецификация!G4174</f>
        <v>802</v>
      </c>
      <c r="H158" s="104">
        <f>Спецификация!H4174</f>
        <v>65</v>
      </c>
      <c r="I158" s="104">
        <f>Спецификация!I4174</f>
        <v>52130</v>
      </c>
      <c r="J158" s="100">
        <v>4174</v>
      </c>
      <c r="K158" s="102" t="str">
        <f t="shared" si="5"/>
        <v>проценено</v>
      </c>
      <c r="L158" s="101" t="s">
        <v>6200</v>
      </c>
    </row>
    <row r="159" spans="1:12" ht="38.25" x14ac:dyDescent="0.25">
      <c r="A159" s="100">
        <v>139</v>
      </c>
      <c r="B159" s="101" t="s">
        <v>5677</v>
      </c>
      <c r="C159" s="102" t="s">
        <v>5793</v>
      </c>
      <c r="D159" s="101" t="s">
        <v>5794</v>
      </c>
      <c r="E159" s="101" t="s">
        <v>6224</v>
      </c>
      <c r="F159" s="102" t="s">
        <v>1878</v>
      </c>
      <c r="G159" s="103">
        <f>Спецификация!G4175</f>
        <v>3.2</v>
      </c>
      <c r="H159" s="104">
        <f>Спецификация!H4175</f>
        <v>0</v>
      </c>
      <c r="I159" s="104">
        <f>Спецификация!I4175</f>
        <v>0</v>
      </c>
      <c r="J159" s="100">
        <v>4175</v>
      </c>
      <c r="K159" s="102" t="str">
        <f t="shared" si="5"/>
        <v>НЕТ ЦЕНЫ</v>
      </c>
      <c r="L159" s="101" t="s">
        <v>6200</v>
      </c>
    </row>
    <row r="160" spans="1:12" ht="38.25" x14ac:dyDescent="0.25">
      <c r="A160" s="100">
        <v>140</v>
      </c>
      <c r="B160" s="101" t="s">
        <v>5677</v>
      </c>
      <c r="C160" s="102" t="s">
        <v>5795</v>
      </c>
      <c r="D160" s="101" t="s">
        <v>5796</v>
      </c>
      <c r="E160" s="101" t="s">
        <v>6224</v>
      </c>
      <c r="F160" s="102" t="s">
        <v>78</v>
      </c>
      <c r="G160" s="103">
        <f>Спецификация!G4176</f>
        <v>49</v>
      </c>
      <c r="H160" s="104">
        <f>Спецификация!H4176</f>
        <v>0</v>
      </c>
      <c r="I160" s="104">
        <f>Спецификация!I4176</f>
        <v>0</v>
      </c>
      <c r="J160" s="100">
        <v>4176</v>
      </c>
      <c r="K160" s="102" t="str">
        <f t="shared" si="5"/>
        <v>НЕТ ЦЕНЫ</v>
      </c>
      <c r="L160" s="101" t="s">
        <v>6200</v>
      </c>
    </row>
    <row r="161" spans="1:12" ht="38.25" x14ac:dyDescent="0.25">
      <c r="A161" s="100">
        <v>141</v>
      </c>
      <c r="B161" s="101" t="s">
        <v>5677</v>
      </c>
      <c r="C161" s="102" t="s">
        <v>5797</v>
      </c>
      <c r="D161" s="101" t="s">
        <v>5798</v>
      </c>
      <c r="E161" s="101" t="s">
        <v>6224</v>
      </c>
      <c r="F161" s="102" t="s">
        <v>6126</v>
      </c>
      <c r="G161" s="103">
        <f>Спецификация!G4177</f>
        <v>2</v>
      </c>
      <c r="H161" s="104">
        <f>Спецификация!H4177</f>
        <v>0</v>
      </c>
      <c r="I161" s="104">
        <f>Спецификация!I4177</f>
        <v>0</v>
      </c>
      <c r="J161" s="100">
        <v>4177</v>
      </c>
      <c r="K161" s="102" t="str">
        <f t="shared" si="5"/>
        <v>НЕТ ЦЕНЫ</v>
      </c>
      <c r="L161" s="101" t="s">
        <v>6200</v>
      </c>
    </row>
    <row r="162" spans="1:12" ht="38.25" x14ac:dyDescent="0.25">
      <c r="A162" s="100">
        <v>142</v>
      </c>
      <c r="B162" s="101" t="s">
        <v>5677</v>
      </c>
      <c r="C162" s="102" t="s">
        <v>5800</v>
      </c>
      <c r="D162" s="101" t="s">
        <v>5801</v>
      </c>
      <c r="E162" s="101" t="s">
        <v>6228</v>
      </c>
      <c r="F162" s="102" t="s">
        <v>576</v>
      </c>
      <c r="G162" s="103">
        <f>Спецификация!G4178</f>
        <v>115.038</v>
      </c>
      <c r="H162" s="104">
        <f>Спецификация!H4178</f>
        <v>15000</v>
      </c>
      <c r="I162" s="104">
        <f>Спецификация!I4178</f>
        <v>1725570</v>
      </c>
      <c r="J162" s="100">
        <v>4178</v>
      </c>
      <c r="K162" s="102" t="str">
        <f t="shared" si="5"/>
        <v>проценено</v>
      </c>
      <c r="L162" s="101" t="s">
        <v>6229</v>
      </c>
    </row>
    <row r="163" spans="1:12" ht="38.25" x14ac:dyDescent="0.25">
      <c r="A163" s="100">
        <v>143</v>
      </c>
      <c r="B163" s="101" t="s">
        <v>5677</v>
      </c>
      <c r="C163" s="102" t="s">
        <v>5804</v>
      </c>
      <c r="D163" s="101" t="s">
        <v>5805</v>
      </c>
      <c r="E163" s="101" t="s">
        <v>6228</v>
      </c>
      <c r="F163" s="102" t="s">
        <v>576</v>
      </c>
      <c r="G163" s="103">
        <f>Спецификация!G4179</f>
        <v>120.372</v>
      </c>
      <c r="H163" s="104">
        <f>Спецификация!H4179</f>
        <v>15000</v>
      </c>
      <c r="I163" s="104">
        <f>Спецификация!I4179</f>
        <v>1805580</v>
      </c>
      <c r="J163" s="100">
        <v>4179</v>
      </c>
      <c r="K163" s="102" t="str">
        <f t="shared" si="5"/>
        <v>проценено</v>
      </c>
      <c r="L163" s="101" t="s">
        <v>6230</v>
      </c>
    </row>
    <row r="164" spans="1:12" ht="38.25" x14ac:dyDescent="0.25">
      <c r="A164" s="100">
        <v>144</v>
      </c>
      <c r="B164" s="101" t="s">
        <v>5677</v>
      </c>
      <c r="C164" s="102" t="s">
        <v>5807</v>
      </c>
      <c r="D164" s="101" t="s">
        <v>5808</v>
      </c>
      <c r="E164" s="101" t="s">
        <v>6228</v>
      </c>
      <c r="F164" s="102" t="s">
        <v>576</v>
      </c>
      <c r="G164" s="103">
        <f>Спецификация!G4180</f>
        <v>25.2</v>
      </c>
      <c r="H164" s="104">
        <f>Спецификация!H4180</f>
        <v>15000</v>
      </c>
      <c r="I164" s="104">
        <f>Спецификация!I4180</f>
        <v>378000</v>
      </c>
      <c r="J164" s="100">
        <v>4180</v>
      </c>
      <c r="K164" s="102" t="str">
        <f t="shared" si="5"/>
        <v>проценено</v>
      </c>
      <c r="L164" s="101" t="s">
        <v>6200</v>
      </c>
    </row>
    <row r="165" spans="1:12" ht="38.25" x14ac:dyDescent="0.25">
      <c r="A165" s="100">
        <v>145</v>
      </c>
      <c r="B165" s="101" t="s">
        <v>5677</v>
      </c>
      <c r="C165" s="102" t="s">
        <v>5810</v>
      </c>
      <c r="D165" s="101" t="s">
        <v>5811</v>
      </c>
      <c r="E165" s="101" t="s">
        <v>6228</v>
      </c>
      <c r="F165" s="102" t="s">
        <v>576</v>
      </c>
      <c r="G165" s="103">
        <f>Спецификация!G4181</f>
        <v>40.698</v>
      </c>
      <c r="H165" s="104">
        <f>Спецификация!H4181</f>
        <v>25000</v>
      </c>
      <c r="I165" s="104">
        <f>Спецификация!I4181</f>
        <v>1017450</v>
      </c>
      <c r="J165" s="100">
        <v>4181</v>
      </c>
      <c r="K165" s="102" t="str">
        <f t="shared" si="5"/>
        <v>проценено</v>
      </c>
      <c r="L165" s="101" t="s">
        <v>6231</v>
      </c>
    </row>
    <row r="166" spans="1:12" ht="38.25" x14ac:dyDescent="0.25">
      <c r="A166" s="100">
        <v>146</v>
      </c>
      <c r="B166" s="101" t="s">
        <v>5677</v>
      </c>
      <c r="C166" s="102" t="s">
        <v>5813</v>
      </c>
      <c r="D166" s="101" t="s">
        <v>5814</v>
      </c>
      <c r="E166" s="101" t="s">
        <v>6228</v>
      </c>
      <c r="F166" s="102" t="s">
        <v>576</v>
      </c>
      <c r="G166" s="103">
        <f>Спецификация!G4182</f>
        <v>22.751999999999999</v>
      </c>
      <c r="H166" s="104">
        <f>Спецификация!H4182</f>
        <v>25000</v>
      </c>
      <c r="I166" s="104">
        <f>Спецификация!I4182</f>
        <v>568800</v>
      </c>
      <c r="J166" s="100">
        <v>4182</v>
      </c>
      <c r="K166" s="102" t="str">
        <f t="shared" si="5"/>
        <v>проценено</v>
      </c>
      <c r="L166" s="101" t="s">
        <v>6200</v>
      </c>
    </row>
    <row r="167" spans="1:12" ht="51" x14ac:dyDescent="0.25">
      <c r="A167" s="100">
        <v>147</v>
      </c>
      <c r="B167" s="101" t="s">
        <v>5677</v>
      </c>
      <c r="C167" s="102" t="s">
        <v>5815</v>
      </c>
      <c r="D167" s="101" t="s">
        <v>5816</v>
      </c>
      <c r="E167" s="101" t="s">
        <v>6228</v>
      </c>
      <c r="F167" s="102" t="s">
        <v>78</v>
      </c>
      <c r="G167" s="103">
        <f>Спецификация!G4183</f>
        <v>2</v>
      </c>
      <c r="H167" s="104">
        <f>Спецификация!H4183</f>
        <v>25000</v>
      </c>
      <c r="I167" s="104">
        <f>Спецификация!I4183</f>
        <v>50000</v>
      </c>
      <c r="J167" s="100">
        <v>4183</v>
      </c>
      <c r="K167" s="102" t="str">
        <f t="shared" si="5"/>
        <v>проценено</v>
      </c>
      <c r="L167" s="101" t="s">
        <v>6200</v>
      </c>
    </row>
    <row r="168" spans="1:12" ht="51" x14ac:dyDescent="0.25">
      <c r="A168" s="100">
        <v>148</v>
      </c>
      <c r="B168" s="101" t="s">
        <v>5677</v>
      </c>
      <c r="C168" s="102" t="s">
        <v>5817</v>
      </c>
      <c r="D168" s="101" t="s">
        <v>6232</v>
      </c>
      <c r="E168" s="101" t="s">
        <v>6228</v>
      </c>
      <c r="F168" s="102" t="s">
        <v>78</v>
      </c>
      <c r="G168" s="103">
        <f>Спецификация!G4184</f>
        <v>40</v>
      </c>
      <c r="H168" s="104">
        <f>Спецификация!H4184</f>
        <v>25000</v>
      </c>
      <c r="I168" s="104">
        <f>Спецификация!I4184</f>
        <v>1000000</v>
      </c>
      <c r="J168" s="100">
        <v>4184</v>
      </c>
      <c r="K168" s="102" t="str">
        <f t="shared" si="5"/>
        <v>проценено</v>
      </c>
      <c r="L168" s="101" t="s">
        <v>6233</v>
      </c>
    </row>
    <row r="169" spans="1:12" ht="51" x14ac:dyDescent="0.25">
      <c r="A169" s="100">
        <v>149</v>
      </c>
      <c r="B169" s="101" t="s">
        <v>5677</v>
      </c>
      <c r="C169" s="102" t="s">
        <v>5820</v>
      </c>
      <c r="D169" s="101" t="s">
        <v>6234</v>
      </c>
      <c r="E169" s="101" t="s">
        <v>6228</v>
      </c>
      <c r="F169" s="102" t="s">
        <v>78</v>
      </c>
      <c r="G169" s="103">
        <f>Спецификация!G4185</f>
        <v>12</v>
      </c>
      <c r="H169" s="104">
        <f>Спецификация!H4185</f>
        <v>25000</v>
      </c>
      <c r="I169" s="104">
        <f>Спецификация!I4185</f>
        <v>300000</v>
      </c>
      <c r="J169" s="100">
        <v>4185</v>
      </c>
      <c r="K169" s="102" t="str">
        <f t="shared" si="5"/>
        <v>проценено</v>
      </c>
      <c r="L169" s="101" t="s">
        <v>6235</v>
      </c>
    </row>
    <row r="170" spans="1:12" ht="51" x14ac:dyDescent="0.25">
      <c r="A170" s="100">
        <v>150</v>
      </c>
      <c r="B170" s="101" t="s">
        <v>5677</v>
      </c>
      <c r="C170" s="102" t="s">
        <v>5823</v>
      </c>
      <c r="D170" s="101" t="s">
        <v>6236</v>
      </c>
      <c r="E170" s="101" t="s">
        <v>6228</v>
      </c>
      <c r="F170" s="102" t="s">
        <v>78</v>
      </c>
      <c r="G170" s="103">
        <f>Спецификация!G4186</f>
        <v>3</v>
      </c>
      <c r="H170" s="104">
        <f>Спецификация!H4186</f>
        <v>25000</v>
      </c>
      <c r="I170" s="104">
        <f>Спецификация!I4186</f>
        <v>75000</v>
      </c>
      <c r="J170" s="100">
        <v>4186</v>
      </c>
      <c r="K170" s="102" t="str">
        <f t="shared" si="5"/>
        <v>проценено</v>
      </c>
      <c r="L170" s="101" t="s">
        <v>6200</v>
      </c>
    </row>
    <row r="171" spans="1:12" ht="51" x14ac:dyDescent="0.25">
      <c r="A171" s="100">
        <v>151</v>
      </c>
      <c r="B171" s="101" t="s">
        <v>5677</v>
      </c>
      <c r="C171" s="102" t="s">
        <v>5825</v>
      </c>
      <c r="D171" s="101" t="s">
        <v>6237</v>
      </c>
      <c r="E171" s="101" t="s">
        <v>6228</v>
      </c>
      <c r="F171" s="102" t="s">
        <v>78</v>
      </c>
      <c r="G171" s="103">
        <f>Спецификация!G4187</f>
        <v>14</v>
      </c>
      <c r="H171" s="104">
        <f>Спецификация!H4187</f>
        <v>25000</v>
      </c>
      <c r="I171" s="104">
        <f>Спецификация!I4187</f>
        <v>350000</v>
      </c>
      <c r="J171" s="100">
        <v>4187</v>
      </c>
      <c r="K171" s="102" t="str">
        <f t="shared" si="5"/>
        <v>проценено</v>
      </c>
      <c r="L171" s="101" t="s">
        <v>6238</v>
      </c>
    </row>
    <row r="172" spans="1:12" ht="51" x14ac:dyDescent="0.25">
      <c r="A172" s="100">
        <v>152</v>
      </c>
      <c r="B172" s="101" t="s">
        <v>5677</v>
      </c>
      <c r="C172" s="102" t="s">
        <v>5828</v>
      </c>
      <c r="D172" s="101" t="s">
        <v>6239</v>
      </c>
      <c r="E172" s="101" t="s">
        <v>6228</v>
      </c>
      <c r="F172" s="102" t="s">
        <v>78</v>
      </c>
      <c r="G172" s="103">
        <f>Спецификация!G4188</f>
        <v>5</v>
      </c>
      <c r="H172" s="104">
        <f>Спецификация!H4188</f>
        <v>25000</v>
      </c>
      <c r="I172" s="104">
        <f>Спецификация!I4188</f>
        <v>125000</v>
      </c>
      <c r="J172" s="100">
        <v>4188</v>
      </c>
      <c r="K172" s="102" t="str">
        <f t="shared" si="5"/>
        <v>проценено</v>
      </c>
      <c r="L172" s="101" t="s">
        <v>6200</v>
      </c>
    </row>
    <row r="173" spans="1:12" ht="51" x14ac:dyDescent="0.25">
      <c r="A173" s="100">
        <v>153</v>
      </c>
      <c r="B173" s="101" t="s">
        <v>5677</v>
      </c>
      <c r="C173" s="102" t="s">
        <v>5830</v>
      </c>
      <c r="D173" s="101" t="s">
        <v>6240</v>
      </c>
      <c r="E173" s="101" t="s">
        <v>6228</v>
      </c>
      <c r="F173" s="102" t="s">
        <v>78</v>
      </c>
      <c r="G173" s="103">
        <f>Спецификация!G4189</f>
        <v>1</v>
      </c>
      <c r="H173" s="104">
        <f>Спецификация!H4189</f>
        <v>25000</v>
      </c>
      <c r="I173" s="104">
        <f>Спецификация!I4189</f>
        <v>25000</v>
      </c>
      <c r="J173" s="100">
        <v>4189</v>
      </c>
      <c r="K173" s="102" t="str">
        <f t="shared" si="5"/>
        <v>проценено</v>
      </c>
      <c r="L173" s="101" t="s">
        <v>6200</v>
      </c>
    </row>
    <row r="174" spans="1:12" ht="51" x14ac:dyDescent="0.25">
      <c r="A174" s="100">
        <v>154</v>
      </c>
      <c r="B174" s="101" t="s">
        <v>5677</v>
      </c>
      <c r="C174" s="102" t="s">
        <v>5832</v>
      </c>
      <c r="D174" s="101" t="s">
        <v>6241</v>
      </c>
      <c r="E174" s="101" t="s">
        <v>6228</v>
      </c>
      <c r="F174" s="102" t="s">
        <v>78</v>
      </c>
      <c r="G174" s="103">
        <f>Спецификация!G4190</f>
        <v>8</v>
      </c>
      <c r="H174" s="104">
        <f>Спецификация!H4190</f>
        <v>25000</v>
      </c>
      <c r="I174" s="104">
        <f>Спецификация!I4190</f>
        <v>200000</v>
      </c>
      <c r="J174" s="100">
        <v>4190</v>
      </c>
      <c r="K174" s="102" t="str">
        <f t="shared" ref="K174:K205" si="6">IF(H174=0,"НЕТ ЦЕНЫ","проценено")</f>
        <v>проценено</v>
      </c>
      <c r="L174" s="101" t="s">
        <v>6200</v>
      </c>
    </row>
    <row r="175" spans="1:12" ht="38.25" x14ac:dyDescent="0.25">
      <c r="A175" s="100">
        <v>155</v>
      </c>
      <c r="B175" s="101" t="s">
        <v>5677</v>
      </c>
      <c r="C175" s="102" t="s">
        <v>5834</v>
      </c>
      <c r="D175" s="101" t="s">
        <v>5835</v>
      </c>
      <c r="E175" s="101" t="s">
        <v>6228</v>
      </c>
      <c r="F175" s="102" t="s">
        <v>78</v>
      </c>
      <c r="G175" s="103">
        <f>Спецификация!G4191</f>
        <v>112</v>
      </c>
      <c r="H175" s="104">
        <f>Спецификация!H4191</f>
        <v>2500</v>
      </c>
      <c r="I175" s="104">
        <f>Спецификация!I4191</f>
        <v>280000</v>
      </c>
      <c r="J175" s="100">
        <v>4191</v>
      </c>
      <c r="K175" s="102" t="str">
        <f t="shared" si="6"/>
        <v>проценено</v>
      </c>
      <c r="L175" s="101" t="s">
        <v>6200</v>
      </c>
    </row>
    <row r="176" spans="1:12" ht="38.25" x14ac:dyDescent="0.25">
      <c r="A176" s="100">
        <v>156</v>
      </c>
      <c r="B176" s="101" t="s">
        <v>5677</v>
      </c>
      <c r="C176" s="102" t="s">
        <v>5836</v>
      </c>
      <c r="D176" s="101" t="s">
        <v>5837</v>
      </c>
      <c r="E176" s="101" t="s">
        <v>6228</v>
      </c>
      <c r="F176" s="102" t="s">
        <v>576</v>
      </c>
      <c r="G176" s="103">
        <f>Спецификация!G4192</f>
        <v>10.08</v>
      </c>
      <c r="H176" s="104">
        <f>Спецификация!H4192</f>
        <v>15000</v>
      </c>
      <c r="I176" s="104">
        <f>Спецификация!I4192</f>
        <v>151200</v>
      </c>
      <c r="J176" s="100">
        <v>4192</v>
      </c>
      <c r="K176" s="102" t="str">
        <f t="shared" si="6"/>
        <v>проценено</v>
      </c>
      <c r="L176" s="101" t="s">
        <v>6200</v>
      </c>
    </row>
    <row r="177" spans="1:12" ht="51" x14ac:dyDescent="0.25">
      <c r="A177" s="100">
        <v>157</v>
      </c>
      <c r="B177" s="101" t="s">
        <v>5677</v>
      </c>
      <c r="C177" s="102" t="s">
        <v>5838</v>
      </c>
      <c r="D177" s="101" t="s">
        <v>6242</v>
      </c>
      <c r="E177" s="101" t="s">
        <v>6228</v>
      </c>
      <c r="F177" s="102" t="s">
        <v>6126</v>
      </c>
      <c r="G177" s="103">
        <f>Спецификация!G4193</f>
        <v>4</v>
      </c>
      <c r="H177" s="104">
        <f>Спецификация!H4193</f>
        <v>200000</v>
      </c>
      <c r="I177" s="104">
        <f>Спецификация!I4193</f>
        <v>800000</v>
      </c>
      <c r="J177" s="100">
        <v>4193</v>
      </c>
      <c r="K177" s="102" t="str">
        <f t="shared" si="6"/>
        <v>проценено</v>
      </c>
      <c r="L177" s="101" t="s">
        <v>6200</v>
      </c>
    </row>
    <row r="178" spans="1:12" ht="63.75" x14ac:dyDescent="0.25">
      <c r="A178" s="100">
        <v>158</v>
      </c>
      <c r="B178" s="101" t="s">
        <v>5677</v>
      </c>
      <c r="C178" s="102" t="s">
        <v>5841</v>
      </c>
      <c r="D178" s="101" t="s">
        <v>5686</v>
      </c>
      <c r="E178" s="101" t="s">
        <v>6243</v>
      </c>
      <c r="F178" s="102" t="s">
        <v>576</v>
      </c>
      <c r="G178" s="103">
        <f>Спецификация!G4194</f>
        <v>216.56209999999999</v>
      </c>
      <c r="H178" s="104">
        <f>Спецификация!H4194</f>
        <v>58000</v>
      </c>
      <c r="I178" s="104">
        <f>Спецификация!I4194</f>
        <v>12560601.799999999</v>
      </c>
      <c r="J178" s="100">
        <v>4194</v>
      </c>
      <c r="K178" s="102" t="str">
        <f t="shared" si="6"/>
        <v>проценено</v>
      </c>
      <c r="L178" s="101" t="s">
        <v>6244</v>
      </c>
    </row>
    <row r="179" spans="1:12" ht="38.25" x14ac:dyDescent="0.25">
      <c r="A179" s="100">
        <v>159</v>
      </c>
      <c r="B179" s="101" t="s">
        <v>5677</v>
      </c>
      <c r="C179" s="102" t="s">
        <v>5843</v>
      </c>
      <c r="D179" s="101" t="s">
        <v>5844</v>
      </c>
      <c r="E179" s="101" t="s">
        <v>6243</v>
      </c>
      <c r="F179" s="102" t="s">
        <v>576</v>
      </c>
      <c r="G179" s="103">
        <f>Спецификация!G4195</f>
        <v>67.697999999999993</v>
      </c>
      <c r="H179" s="104">
        <f>Спецификация!H4195</f>
        <v>58000</v>
      </c>
      <c r="I179" s="104">
        <f>Спецификация!I4195</f>
        <v>3926483.9999999995</v>
      </c>
      <c r="J179" s="100">
        <v>4195</v>
      </c>
      <c r="K179" s="102" t="str">
        <f t="shared" si="6"/>
        <v>проценено</v>
      </c>
      <c r="L179" s="101" t="s">
        <v>6245</v>
      </c>
    </row>
    <row r="180" spans="1:12" ht="51" x14ac:dyDescent="0.25">
      <c r="A180" s="100">
        <v>160</v>
      </c>
      <c r="B180" s="101" t="s">
        <v>5677</v>
      </c>
      <c r="C180" s="102" t="s">
        <v>5846</v>
      </c>
      <c r="D180" s="101" t="s">
        <v>5684</v>
      </c>
      <c r="E180" s="101" t="s">
        <v>6243</v>
      </c>
      <c r="F180" s="102" t="s">
        <v>576</v>
      </c>
      <c r="G180" s="103">
        <f>Спецификация!G4196</f>
        <v>253.27109999999999</v>
      </c>
      <c r="H180" s="104">
        <f>Спецификация!H4196</f>
        <v>58000</v>
      </c>
      <c r="I180" s="104">
        <f>Спецификация!I4196</f>
        <v>14689723.799999999</v>
      </c>
      <c r="J180" s="100">
        <v>4196</v>
      </c>
      <c r="K180" s="102" t="str">
        <f t="shared" si="6"/>
        <v>проценено</v>
      </c>
      <c r="L180" s="101" t="s">
        <v>6246</v>
      </c>
    </row>
    <row r="181" spans="1:12" ht="38.25" x14ac:dyDescent="0.25">
      <c r="A181" s="100">
        <v>161</v>
      </c>
      <c r="B181" s="101" t="s">
        <v>5677</v>
      </c>
      <c r="C181" s="102" t="s">
        <v>5848</v>
      </c>
      <c r="D181" s="101" t="s">
        <v>5849</v>
      </c>
      <c r="E181" s="101" t="s">
        <v>6243</v>
      </c>
      <c r="F181" s="102" t="s">
        <v>576</v>
      </c>
      <c r="G181" s="103">
        <f>Спецификация!G4197</f>
        <v>16.497</v>
      </c>
      <c r="H181" s="104">
        <f>Спецификация!H4197</f>
        <v>55000</v>
      </c>
      <c r="I181" s="104">
        <f>Спецификация!I4197</f>
        <v>907335</v>
      </c>
      <c r="J181" s="100">
        <v>4197</v>
      </c>
      <c r="K181" s="102" t="str">
        <f t="shared" si="6"/>
        <v>проценено</v>
      </c>
      <c r="L181" s="101" t="s">
        <v>6200</v>
      </c>
    </row>
    <row r="182" spans="1:12" ht="51" x14ac:dyDescent="0.25">
      <c r="A182" s="100">
        <v>162</v>
      </c>
      <c r="B182" s="101" t="s">
        <v>5677</v>
      </c>
      <c r="C182" s="102" t="s">
        <v>5851</v>
      </c>
      <c r="D182" s="101" t="s">
        <v>6247</v>
      </c>
      <c r="E182" s="101" t="s">
        <v>6243</v>
      </c>
      <c r="F182" s="102" t="s">
        <v>6126</v>
      </c>
      <c r="G182" s="103">
        <f>Спецификация!G4198</f>
        <v>3</v>
      </c>
      <c r="H182" s="104">
        <f>Спецификация!H4198</f>
        <v>360000</v>
      </c>
      <c r="I182" s="104">
        <f>Спецификация!I4198</f>
        <v>1080000</v>
      </c>
      <c r="J182" s="100">
        <v>4198</v>
      </c>
      <c r="K182" s="102" t="str">
        <f t="shared" si="6"/>
        <v>проценено</v>
      </c>
      <c r="L182" s="101" t="s">
        <v>6200</v>
      </c>
    </row>
    <row r="183" spans="1:12" ht="38.25" x14ac:dyDescent="0.25">
      <c r="A183" s="100">
        <v>163</v>
      </c>
      <c r="B183" s="101" t="s">
        <v>5677</v>
      </c>
      <c r="C183" s="102" t="s">
        <v>5853</v>
      </c>
      <c r="D183" s="101" t="s">
        <v>5854</v>
      </c>
      <c r="E183" s="101" t="s">
        <v>6248</v>
      </c>
      <c r="F183" s="102" t="s">
        <v>1878</v>
      </c>
      <c r="G183" s="103">
        <f>Спецификация!G4199</f>
        <v>3.2839</v>
      </c>
      <c r="H183" s="104">
        <f>Спецификация!H4199</f>
        <v>26000</v>
      </c>
      <c r="I183" s="104">
        <f>Спецификация!I4199</f>
        <v>85381.4</v>
      </c>
      <c r="J183" s="100">
        <v>4199</v>
      </c>
      <c r="K183" s="102" t="str">
        <f t="shared" si="6"/>
        <v>проценено</v>
      </c>
      <c r="L183" s="101" t="s">
        <v>6200</v>
      </c>
    </row>
    <row r="184" spans="1:12" ht="38.25" x14ac:dyDescent="0.25">
      <c r="A184" s="100">
        <v>164</v>
      </c>
      <c r="B184" s="101" t="s">
        <v>5677</v>
      </c>
      <c r="C184" s="102" t="s">
        <v>5856</v>
      </c>
      <c r="D184" s="101" t="s">
        <v>5857</v>
      </c>
      <c r="E184" s="101" t="s">
        <v>6248</v>
      </c>
      <c r="F184" s="102" t="s">
        <v>315</v>
      </c>
      <c r="G184" s="103">
        <f>Спецификация!G4200</f>
        <v>161.80199999999999</v>
      </c>
      <c r="H184" s="104">
        <f>Спецификация!H4200</f>
        <v>6600</v>
      </c>
      <c r="I184" s="104">
        <f>Спецификация!I4200</f>
        <v>1067893.2</v>
      </c>
      <c r="J184" s="100">
        <v>4200</v>
      </c>
      <c r="K184" s="102" t="str">
        <f t="shared" si="6"/>
        <v>проценено</v>
      </c>
      <c r="L184" s="101" t="s">
        <v>6200</v>
      </c>
    </row>
    <row r="185" spans="1:12" ht="38.25" x14ac:dyDescent="0.25">
      <c r="A185" s="100">
        <v>165</v>
      </c>
      <c r="B185" s="101" t="s">
        <v>5677</v>
      </c>
      <c r="C185" s="102" t="s">
        <v>5858</v>
      </c>
      <c r="D185" s="101" t="s">
        <v>5859</v>
      </c>
      <c r="E185" s="101" t="s">
        <v>6248</v>
      </c>
      <c r="F185" s="102" t="s">
        <v>576</v>
      </c>
      <c r="G185" s="103">
        <f>Спецификация!G4201</f>
        <v>897.12</v>
      </c>
      <c r="H185" s="104">
        <f>Спецификация!H4201</f>
        <v>360</v>
      </c>
      <c r="I185" s="104">
        <f>Спецификация!I4201</f>
        <v>322963.20000000001</v>
      </c>
      <c r="J185" s="100">
        <v>4201</v>
      </c>
      <c r="K185" s="102" t="str">
        <f t="shared" si="6"/>
        <v>проценено</v>
      </c>
      <c r="L185" s="101" t="s">
        <v>6200</v>
      </c>
    </row>
    <row r="186" spans="1:12" ht="38.25" x14ac:dyDescent="0.25">
      <c r="A186" s="100">
        <v>166</v>
      </c>
      <c r="B186" s="101" t="s">
        <v>5677</v>
      </c>
      <c r="C186" s="102" t="s">
        <v>5860</v>
      </c>
      <c r="D186" s="101" t="s">
        <v>5861</v>
      </c>
      <c r="E186" s="101" t="s">
        <v>6248</v>
      </c>
      <c r="F186" s="102" t="s">
        <v>315</v>
      </c>
      <c r="G186" s="103">
        <f>Спецификация!G4202</f>
        <v>644.82979999999998</v>
      </c>
      <c r="H186" s="104">
        <f>Спецификация!H4202</f>
        <v>2500</v>
      </c>
      <c r="I186" s="104">
        <f>Спецификация!I4202</f>
        <v>1612074.5</v>
      </c>
      <c r="J186" s="100">
        <v>4202</v>
      </c>
      <c r="K186" s="102" t="str">
        <f t="shared" si="6"/>
        <v>проценено</v>
      </c>
      <c r="L186" s="101" t="s">
        <v>6249</v>
      </c>
    </row>
    <row r="187" spans="1:12" ht="38.25" x14ac:dyDescent="0.25">
      <c r="A187" s="100">
        <v>167</v>
      </c>
      <c r="B187" s="101" t="s">
        <v>5677</v>
      </c>
      <c r="C187" s="102" t="s">
        <v>5863</v>
      </c>
      <c r="D187" s="101" t="s">
        <v>5864</v>
      </c>
      <c r="E187" s="101" t="s">
        <v>6248</v>
      </c>
      <c r="F187" s="102" t="s">
        <v>576</v>
      </c>
      <c r="G187" s="103">
        <f>Спецификация!G4203</f>
        <v>23391.3747</v>
      </c>
      <c r="H187" s="104">
        <f>Спецификация!H4203</f>
        <v>252</v>
      </c>
      <c r="I187" s="104">
        <f>Спецификация!I4203</f>
        <v>5894626.4243999999</v>
      </c>
      <c r="J187" s="100">
        <v>4203</v>
      </c>
      <c r="K187" s="102" t="str">
        <f t="shared" si="6"/>
        <v>проценено</v>
      </c>
      <c r="L187" s="101" t="s">
        <v>6250</v>
      </c>
    </row>
    <row r="188" spans="1:12" ht="38.25" x14ac:dyDescent="0.25">
      <c r="A188" s="100">
        <v>168</v>
      </c>
      <c r="B188" s="101" t="s">
        <v>5677</v>
      </c>
      <c r="C188" s="102" t="s">
        <v>5866</v>
      </c>
      <c r="D188" s="101" t="s">
        <v>5867</v>
      </c>
      <c r="E188" s="101" t="s">
        <v>6248</v>
      </c>
      <c r="F188" s="102" t="s">
        <v>576</v>
      </c>
      <c r="G188" s="103">
        <f>Спецификация!G4204</f>
        <v>23814.8272</v>
      </c>
      <c r="H188" s="104">
        <f>Спецификация!H4204</f>
        <v>800</v>
      </c>
      <c r="I188" s="104">
        <f>Спецификация!I4204</f>
        <v>19051861.759999998</v>
      </c>
      <c r="J188" s="100">
        <v>4204</v>
      </c>
      <c r="K188" s="102" t="str">
        <f t="shared" si="6"/>
        <v>проценено</v>
      </c>
      <c r="L188" s="101" t="s">
        <v>6251</v>
      </c>
    </row>
    <row r="189" spans="1:12" ht="38.25" x14ac:dyDescent="0.25">
      <c r="A189" s="100">
        <v>169</v>
      </c>
      <c r="B189" s="101" t="s">
        <v>5677</v>
      </c>
      <c r="C189" s="102" t="s">
        <v>5869</v>
      </c>
      <c r="D189" s="101" t="s">
        <v>5870</v>
      </c>
      <c r="E189" s="101" t="s">
        <v>6248</v>
      </c>
      <c r="F189" s="102" t="s">
        <v>576</v>
      </c>
      <c r="G189" s="103">
        <f>Спецификация!G4205</f>
        <v>1338.6030000000001</v>
      </c>
      <c r="H189" s="104">
        <f>Спецификация!H4205</f>
        <v>800</v>
      </c>
      <c r="I189" s="104">
        <f>Спецификация!I4205</f>
        <v>1070882.4000000001</v>
      </c>
      <c r="J189" s="100">
        <v>4205</v>
      </c>
      <c r="K189" s="102" t="str">
        <f t="shared" si="6"/>
        <v>проценено</v>
      </c>
      <c r="L189" s="101" t="s">
        <v>6200</v>
      </c>
    </row>
    <row r="190" spans="1:12" ht="38.25" x14ac:dyDescent="0.25">
      <c r="A190" s="100">
        <v>170</v>
      </c>
      <c r="B190" s="101" t="s">
        <v>5677</v>
      </c>
      <c r="C190" s="102" t="s">
        <v>5871</v>
      </c>
      <c r="D190" s="101" t="s">
        <v>5872</v>
      </c>
      <c r="E190" s="101" t="s">
        <v>6248</v>
      </c>
      <c r="F190" s="102" t="s">
        <v>2199</v>
      </c>
      <c r="G190" s="103">
        <f>Спецификация!G4206</f>
        <v>8.3108000000000004</v>
      </c>
      <c r="H190" s="104">
        <f>Спецификация!H4206</f>
        <v>5000</v>
      </c>
      <c r="I190" s="104">
        <f>Спецификация!I4206</f>
        <v>41554</v>
      </c>
      <c r="J190" s="100">
        <v>4206</v>
      </c>
      <c r="K190" s="102" t="str">
        <f t="shared" si="6"/>
        <v>проценено</v>
      </c>
      <c r="L190" s="101" t="s">
        <v>6200</v>
      </c>
    </row>
    <row r="191" spans="1:12" ht="38.25" x14ac:dyDescent="0.25">
      <c r="A191" s="100">
        <v>171</v>
      </c>
      <c r="B191" s="101" t="s">
        <v>5677</v>
      </c>
      <c r="C191" s="102" t="s">
        <v>5873</v>
      </c>
      <c r="D191" s="101" t="s">
        <v>5874</v>
      </c>
      <c r="E191" s="101" t="s">
        <v>6248</v>
      </c>
      <c r="F191" s="102" t="s">
        <v>78</v>
      </c>
      <c r="G191" s="103">
        <f>Спецификация!G4207</f>
        <v>337064.9</v>
      </c>
      <c r="H191" s="104">
        <f>Спецификация!H4207</f>
        <v>30</v>
      </c>
      <c r="I191" s="104">
        <f>Спецификация!I4207</f>
        <v>10111947</v>
      </c>
      <c r="J191" s="100">
        <v>4207</v>
      </c>
      <c r="K191" s="102" t="str">
        <f t="shared" si="6"/>
        <v>проценено</v>
      </c>
      <c r="L191" s="101" t="s">
        <v>6252</v>
      </c>
    </row>
    <row r="192" spans="1:12" ht="38.25" x14ac:dyDescent="0.25">
      <c r="A192" s="100">
        <v>172</v>
      </c>
      <c r="B192" s="101" t="s">
        <v>5677</v>
      </c>
      <c r="C192" s="102" t="s">
        <v>5876</v>
      </c>
      <c r="D192" s="101" t="s">
        <v>5877</v>
      </c>
      <c r="E192" s="101" t="s">
        <v>6248</v>
      </c>
      <c r="F192" s="102" t="s">
        <v>315</v>
      </c>
      <c r="G192" s="103">
        <f>Спецификация!G4208</f>
        <v>201.55029999999999</v>
      </c>
      <c r="H192" s="104">
        <f>Спецификация!H4208</f>
        <v>7000</v>
      </c>
      <c r="I192" s="104">
        <f>Спецификация!I4208</f>
        <v>1410852.0999999999</v>
      </c>
      <c r="J192" s="100">
        <v>4208</v>
      </c>
      <c r="K192" s="102" t="str">
        <f t="shared" si="6"/>
        <v>проценено</v>
      </c>
      <c r="L192" s="101" t="s">
        <v>6253</v>
      </c>
    </row>
    <row r="193" spans="1:12" ht="38.25" x14ac:dyDescent="0.25">
      <c r="A193" s="100">
        <v>173</v>
      </c>
      <c r="B193" s="101" t="s">
        <v>5677</v>
      </c>
      <c r="C193" s="102" t="s">
        <v>5879</v>
      </c>
      <c r="D193" s="101" t="s">
        <v>5880</v>
      </c>
      <c r="E193" s="101" t="s">
        <v>6254</v>
      </c>
      <c r="F193" s="102" t="s">
        <v>576</v>
      </c>
      <c r="G193" s="103">
        <f>Спецификация!G4209</f>
        <v>4037.1788999999999</v>
      </c>
      <c r="H193" s="104">
        <f>Спецификация!H4209</f>
        <v>0</v>
      </c>
      <c r="I193" s="104">
        <f>Спецификация!I4209</f>
        <v>0</v>
      </c>
      <c r="J193" s="100">
        <v>4209</v>
      </c>
      <c r="K193" s="102" t="str">
        <f t="shared" si="6"/>
        <v>НЕТ ЦЕНЫ</v>
      </c>
      <c r="L193" s="101" t="s">
        <v>6255</v>
      </c>
    </row>
    <row r="194" spans="1:12" ht="38.25" x14ac:dyDescent="0.25">
      <c r="A194" s="100">
        <v>174</v>
      </c>
      <c r="B194" s="101" t="s">
        <v>5677</v>
      </c>
      <c r="C194" s="102" t="s">
        <v>5882</v>
      </c>
      <c r="D194" s="101" t="s">
        <v>5883</v>
      </c>
      <c r="E194" s="101" t="s">
        <v>6254</v>
      </c>
      <c r="F194" s="102" t="s">
        <v>89</v>
      </c>
      <c r="G194" s="103">
        <f>Спецификация!G4210</f>
        <v>510.07</v>
      </c>
      <c r="H194" s="104">
        <f>Спецификация!H4210</f>
        <v>209</v>
      </c>
      <c r="I194" s="104">
        <f>Спецификация!I4210</f>
        <v>106604.63</v>
      </c>
      <c r="J194" s="100">
        <v>4210</v>
      </c>
      <c r="K194" s="102" t="str">
        <f t="shared" si="6"/>
        <v>проценено</v>
      </c>
      <c r="L194" s="101" t="s">
        <v>6256</v>
      </c>
    </row>
    <row r="195" spans="1:12" ht="51" x14ac:dyDescent="0.25">
      <c r="A195" s="100">
        <v>175</v>
      </c>
      <c r="B195" s="101" t="s">
        <v>5677</v>
      </c>
      <c r="C195" s="102" t="s">
        <v>5885</v>
      </c>
      <c r="D195" s="101" t="s">
        <v>5886</v>
      </c>
      <c r="E195" s="101" t="s">
        <v>6254</v>
      </c>
      <c r="F195" s="102" t="s">
        <v>576</v>
      </c>
      <c r="G195" s="103">
        <f>Спецификация!G4211</f>
        <v>338.81849999999997</v>
      </c>
      <c r="H195" s="104">
        <f>Спецификация!H4211</f>
        <v>0</v>
      </c>
      <c r="I195" s="104">
        <f>Спецификация!I4211</f>
        <v>0</v>
      </c>
      <c r="J195" s="100">
        <v>4211</v>
      </c>
      <c r="K195" s="102" t="str">
        <f t="shared" si="6"/>
        <v>НЕТ ЦЕНЫ</v>
      </c>
      <c r="L195" s="101" t="s">
        <v>6257</v>
      </c>
    </row>
    <row r="196" spans="1:12" ht="38.25" x14ac:dyDescent="0.25">
      <c r="A196" s="100">
        <v>176</v>
      </c>
      <c r="B196" s="101" t="s">
        <v>5677</v>
      </c>
      <c r="C196" s="102" t="s">
        <v>5888</v>
      </c>
      <c r="D196" s="101" t="s">
        <v>5889</v>
      </c>
      <c r="E196" s="101" t="s">
        <v>6254</v>
      </c>
      <c r="F196" s="102" t="s">
        <v>158</v>
      </c>
      <c r="G196" s="103">
        <f>Спецификация!G4212</f>
        <v>338.72399999999999</v>
      </c>
      <c r="H196" s="104">
        <f>Спецификация!H4212</f>
        <v>111</v>
      </c>
      <c r="I196" s="104">
        <f>Спецификация!I4212</f>
        <v>37598.364000000001</v>
      </c>
      <c r="J196" s="100">
        <v>4212</v>
      </c>
      <c r="K196" s="102" t="str">
        <f t="shared" si="6"/>
        <v>проценено</v>
      </c>
      <c r="L196" s="101" t="s">
        <v>6200</v>
      </c>
    </row>
    <row r="197" spans="1:12" ht="38.25" x14ac:dyDescent="0.25">
      <c r="A197" s="100">
        <v>177</v>
      </c>
      <c r="B197" s="101" t="s">
        <v>5677</v>
      </c>
      <c r="C197" s="102" t="s">
        <v>5891</v>
      </c>
      <c r="D197" s="101" t="s">
        <v>5892</v>
      </c>
      <c r="E197" s="101" t="s">
        <v>6254</v>
      </c>
      <c r="F197" s="102" t="s">
        <v>1878</v>
      </c>
      <c r="G197" s="103">
        <f>Спецификация!G4213</f>
        <v>2.7482000000000002</v>
      </c>
      <c r="H197" s="104">
        <f>Спецификация!H4213</f>
        <v>100000</v>
      </c>
      <c r="I197" s="104">
        <f>Спецификация!I4213</f>
        <v>274820</v>
      </c>
      <c r="J197" s="100">
        <v>4213</v>
      </c>
      <c r="K197" s="102" t="str">
        <f t="shared" si="6"/>
        <v>проценено</v>
      </c>
      <c r="L197" s="101" t="s">
        <v>6258</v>
      </c>
    </row>
    <row r="198" spans="1:12" ht="38.25" x14ac:dyDescent="0.25">
      <c r="A198" s="100">
        <v>178</v>
      </c>
      <c r="B198" s="101" t="s">
        <v>5677</v>
      </c>
      <c r="C198" s="102" t="s">
        <v>5894</v>
      </c>
      <c r="D198" s="101" t="s">
        <v>5895</v>
      </c>
      <c r="E198" s="101" t="s">
        <v>6254</v>
      </c>
      <c r="F198" s="102" t="s">
        <v>315</v>
      </c>
      <c r="G198" s="103">
        <f>Спецификация!G4214</f>
        <v>5.3819999999999997</v>
      </c>
      <c r="H198" s="104">
        <f>Спецификация!H4214</f>
        <v>12000</v>
      </c>
      <c r="I198" s="104">
        <f>Спецификация!I4214</f>
        <v>64583.999999999993</v>
      </c>
      <c r="J198" s="100">
        <v>4214</v>
      </c>
      <c r="K198" s="102" t="str">
        <f t="shared" si="6"/>
        <v>проценено</v>
      </c>
      <c r="L198" s="101" t="s">
        <v>6200</v>
      </c>
    </row>
    <row r="199" spans="1:12" ht="38.25" x14ac:dyDescent="0.25">
      <c r="A199" s="100">
        <v>179</v>
      </c>
      <c r="B199" s="101" t="s">
        <v>5677</v>
      </c>
      <c r="C199" s="102" t="s">
        <v>5896</v>
      </c>
      <c r="D199" s="101" t="s">
        <v>5897</v>
      </c>
      <c r="E199" s="101" t="s">
        <v>6254</v>
      </c>
      <c r="F199" s="102" t="s">
        <v>576</v>
      </c>
      <c r="G199" s="103">
        <f>Спецификация!G4215</f>
        <v>115.2256</v>
      </c>
      <c r="H199" s="104">
        <f>Спецификация!H4215</f>
        <v>200</v>
      </c>
      <c r="I199" s="104">
        <f>Спецификация!I4215</f>
        <v>23045.119999999999</v>
      </c>
      <c r="J199" s="100">
        <v>4215</v>
      </c>
      <c r="K199" s="102" t="str">
        <f t="shared" si="6"/>
        <v>проценено</v>
      </c>
      <c r="L199" s="101" t="s">
        <v>6200</v>
      </c>
    </row>
    <row r="200" spans="1:12" ht="38.25" x14ac:dyDescent="0.25">
      <c r="A200" s="100">
        <v>180</v>
      </c>
      <c r="B200" s="101" t="s">
        <v>5677</v>
      </c>
      <c r="C200" s="102" t="s">
        <v>5898</v>
      </c>
      <c r="D200" s="101" t="s">
        <v>5899</v>
      </c>
      <c r="E200" s="101" t="s">
        <v>6254</v>
      </c>
      <c r="F200" s="102" t="s">
        <v>78</v>
      </c>
      <c r="G200" s="103">
        <f>Спецификация!G4216</f>
        <v>18827.04</v>
      </c>
      <c r="H200" s="104">
        <f>Спецификация!H4216</f>
        <v>29</v>
      </c>
      <c r="I200" s="104">
        <f>Спецификация!I4216</f>
        <v>545984.16</v>
      </c>
      <c r="J200" s="100">
        <v>4216</v>
      </c>
      <c r="K200" s="102" t="str">
        <f t="shared" si="6"/>
        <v>проценено</v>
      </c>
      <c r="L200" s="101" t="s">
        <v>6200</v>
      </c>
    </row>
    <row r="201" spans="1:12" ht="38.25" x14ac:dyDescent="0.25">
      <c r="A201" s="100">
        <v>181</v>
      </c>
      <c r="B201" s="101" t="s">
        <v>5677</v>
      </c>
      <c r="C201" s="102" t="s">
        <v>5900</v>
      </c>
      <c r="D201" s="101" t="s">
        <v>5901</v>
      </c>
      <c r="E201" s="101" t="s">
        <v>6259</v>
      </c>
      <c r="F201" s="102" t="s">
        <v>576</v>
      </c>
      <c r="G201" s="103">
        <f>Спецификация!G4217</f>
        <v>46.91</v>
      </c>
      <c r="H201" s="104">
        <f>Спецификация!H4217</f>
        <v>480</v>
      </c>
      <c r="I201" s="104">
        <f>Спецификация!I4217</f>
        <v>22516.799999999999</v>
      </c>
      <c r="J201" s="100">
        <v>4217</v>
      </c>
      <c r="K201" s="102" t="str">
        <f t="shared" si="6"/>
        <v>проценено</v>
      </c>
      <c r="L201" s="101" t="s">
        <v>6200</v>
      </c>
    </row>
    <row r="202" spans="1:12" ht="38.25" x14ac:dyDescent="0.25">
      <c r="A202" s="100">
        <v>182</v>
      </c>
      <c r="B202" s="101" t="s">
        <v>5677</v>
      </c>
      <c r="C202" s="102" t="s">
        <v>1887</v>
      </c>
      <c r="D202" s="101" t="s">
        <v>5903</v>
      </c>
      <c r="E202" s="101" t="s">
        <v>6259</v>
      </c>
      <c r="F202" s="102" t="s">
        <v>576</v>
      </c>
      <c r="G202" s="103">
        <f>Спецификация!G4218</f>
        <v>3564.83</v>
      </c>
      <c r="H202" s="104">
        <f>Спецификация!H4218</f>
        <v>0</v>
      </c>
      <c r="I202" s="104">
        <f>Спецификация!I4218</f>
        <v>0</v>
      </c>
      <c r="J202" s="100">
        <v>4218</v>
      </c>
      <c r="K202" s="102" t="str">
        <f t="shared" si="6"/>
        <v>НЕТ ЦЕНЫ</v>
      </c>
      <c r="L202" s="101" t="s">
        <v>6260</v>
      </c>
    </row>
    <row r="203" spans="1:12" ht="38.25" x14ac:dyDescent="0.25">
      <c r="A203" s="100">
        <v>183</v>
      </c>
      <c r="B203" s="101" t="s">
        <v>5677</v>
      </c>
      <c r="C203" s="102" t="s">
        <v>5905</v>
      </c>
      <c r="D203" s="101" t="s">
        <v>5906</v>
      </c>
      <c r="E203" s="101" t="s">
        <v>6259</v>
      </c>
      <c r="F203" s="102" t="s">
        <v>1878</v>
      </c>
      <c r="G203" s="103">
        <f>Спецификация!G4219</f>
        <v>6.6908000000000003</v>
      </c>
      <c r="H203" s="104">
        <f>Спецификация!H4219</f>
        <v>49000</v>
      </c>
      <c r="I203" s="104">
        <f>Спецификация!I4219</f>
        <v>327849.2</v>
      </c>
      <c r="J203" s="100">
        <v>4219</v>
      </c>
      <c r="K203" s="102" t="str">
        <f t="shared" si="6"/>
        <v>проценено</v>
      </c>
      <c r="L203" s="101" t="s">
        <v>6200</v>
      </c>
    </row>
    <row r="204" spans="1:12" ht="38.25" x14ac:dyDescent="0.25">
      <c r="A204" s="100">
        <v>184</v>
      </c>
      <c r="B204" s="101" t="s">
        <v>5677</v>
      </c>
      <c r="C204" s="102" t="s">
        <v>5907</v>
      </c>
      <c r="D204" s="101" t="s">
        <v>5908</v>
      </c>
      <c r="E204" s="101" t="s">
        <v>6259</v>
      </c>
      <c r="F204" s="102" t="s">
        <v>576</v>
      </c>
      <c r="G204" s="103">
        <f>Спецификация!G4220</f>
        <v>3564.83</v>
      </c>
      <c r="H204" s="104">
        <f>Спецификация!H4220</f>
        <v>2000</v>
      </c>
      <c r="I204" s="104">
        <f>Спецификация!I4220</f>
        <v>7129660</v>
      </c>
      <c r="J204" s="100">
        <v>4220</v>
      </c>
      <c r="K204" s="102" t="str">
        <f t="shared" si="6"/>
        <v>проценено</v>
      </c>
      <c r="L204" s="101" t="s">
        <v>6260</v>
      </c>
    </row>
    <row r="205" spans="1:12" ht="38.25" x14ac:dyDescent="0.25">
      <c r="A205" s="100">
        <v>185</v>
      </c>
      <c r="B205" s="101" t="s">
        <v>5677</v>
      </c>
      <c r="C205" s="102" t="s">
        <v>5909</v>
      </c>
      <c r="D205" s="101" t="s">
        <v>5910</v>
      </c>
      <c r="E205" s="101" t="s">
        <v>6259</v>
      </c>
      <c r="F205" s="102" t="s">
        <v>1878</v>
      </c>
      <c r="G205" s="103">
        <f>Спецификация!G4221</f>
        <v>1.7824</v>
      </c>
      <c r="H205" s="104">
        <f>Спецификация!H4221</f>
        <v>0</v>
      </c>
      <c r="I205" s="104">
        <f>Спецификация!I4221</f>
        <v>0</v>
      </c>
      <c r="J205" s="100">
        <v>4221</v>
      </c>
      <c r="K205" s="102" t="str">
        <f t="shared" si="6"/>
        <v>НЕТ ЦЕНЫ</v>
      </c>
      <c r="L205" s="101" t="s">
        <v>6261</v>
      </c>
    </row>
    <row r="206" spans="1:12" ht="38.25" x14ac:dyDescent="0.25">
      <c r="A206" s="100">
        <v>186</v>
      </c>
      <c r="B206" s="101" t="s">
        <v>5677</v>
      </c>
      <c r="C206" s="102" t="s">
        <v>5634</v>
      </c>
      <c r="D206" s="101" t="s">
        <v>5912</v>
      </c>
      <c r="E206" s="101" t="s">
        <v>6259</v>
      </c>
      <c r="F206" s="102" t="s">
        <v>576</v>
      </c>
      <c r="G206" s="103">
        <f>Спецификация!G4222</f>
        <v>6146.7</v>
      </c>
      <c r="H206" s="104">
        <f>Спецификация!H4222</f>
        <v>0</v>
      </c>
      <c r="I206" s="104">
        <f>Спецификация!I4222</f>
        <v>0</v>
      </c>
      <c r="J206" s="100">
        <v>4222</v>
      </c>
      <c r="K206" s="102" t="str">
        <f t="shared" ref="K206:K211" si="7">IF(H206=0,"НЕТ ЦЕНЫ","проценено")</f>
        <v>НЕТ ЦЕНЫ</v>
      </c>
      <c r="L206" s="101" t="s">
        <v>6262</v>
      </c>
    </row>
    <row r="207" spans="1:12" ht="38.25" x14ac:dyDescent="0.25">
      <c r="A207" s="100">
        <v>187</v>
      </c>
      <c r="B207" s="101" t="s">
        <v>5677</v>
      </c>
      <c r="C207" s="102" t="s">
        <v>5914</v>
      </c>
      <c r="D207" s="101" t="s">
        <v>5915</v>
      </c>
      <c r="E207" s="101" t="s">
        <v>6259</v>
      </c>
      <c r="F207" s="102" t="s">
        <v>1878</v>
      </c>
      <c r="G207" s="103">
        <f>Спецификация!G4223</f>
        <v>1.3913</v>
      </c>
      <c r="H207" s="104">
        <f>Спецификация!H4223</f>
        <v>148000</v>
      </c>
      <c r="I207" s="104">
        <f>Спецификация!I4223</f>
        <v>205912.4</v>
      </c>
      <c r="J207" s="100">
        <v>4223</v>
      </c>
      <c r="K207" s="102" t="str">
        <f t="shared" si="7"/>
        <v>проценено</v>
      </c>
      <c r="L207" s="101" t="s">
        <v>6200</v>
      </c>
    </row>
    <row r="208" spans="1:12" ht="38.25" x14ac:dyDescent="0.25">
      <c r="A208" s="100">
        <v>188</v>
      </c>
      <c r="B208" s="101" t="s">
        <v>5677</v>
      </c>
      <c r="C208" s="102" t="s">
        <v>5916</v>
      </c>
      <c r="D208" s="101" t="s">
        <v>5917</v>
      </c>
      <c r="E208" s="101" t="s">
        <v>6259</v>
      </c>
      <c r="F208" s="102" t="s">
        <v>1878</v>
      </c>
      <c r="G208" s="103">
        <f>Спецификация!G4224</f>
        <v>6.6772999999999998</v>
      </c>
      <c r="H208" s="104">
        <f>Спецификация!H4224</f>
        <v>49000</v>
      </c>
      <c r="I208" s="104">
        <f>Спецификация!I4224</f>
        <v>327187.7</v>
      </c>
      <c r="J208" s="100">
        <v>4224</v>
      </c>
      <c r="K208" s="102" t="str">
        <f t="shared" si="7"/>
        <v>проценено</v>
      </c>
      <c r="L208" s="101" t="s">
        <v>6200</v>
      </c>
    </row>
    <row r="209" spans="1:12" ht="38.25" x14ac:dyDescent="0.25">
      <c r="A209" s="100">
        <v>189</v>
      </c>
      <c r="B209" s="101" t="s">
        <v>5677</v>
      </c>
      <c r="C209" s="102" t="s">
        <v>5918</v>
      </c>
      <c r="D209" s="101" t="s">
        <v>5919</v>
      </c>
      <c r="E209" s="101" t="s">
        <v>6263</v>
      </c>
      <c r="F209" s="102" t="s">
        <v>576</v>
      </c>
      <c r="G209" s="103">
        <f>Спецификация!G4225</f>
        <v>75.152000000000001</v>
      </c>
      <c r="H209" s="104">
        <f>Спецификация!H4225</f>
        <v>21760</v>
      </c>
      <c r="I209" s="104">
        <f>Спецификация!I4225</f>
        <v>1635307.52</v>
      </c>
      <c r="J209" s="100">
        <v>4225</v>
      </c>
      <c r="K209" s="102" t="str">
        <f t="shared" si="7"/>
        <v>проценено</v>
      </c>
      <c r="L209" s="101" t="s">
        <v>6200</v>
      </c>
    </row>
    <row r="210" spans="1:12" ht="38.25" x14ac:dyDescent="0.25">
      <c r="A210" s="100">
        <v>190</v>
      </c>
      <c r="B210" s="101" t="s">
        <v>5677</v>
      </c>
      <c r="C210" s="102" t="s">
        <v>5921</v>
      </c>
      <c r="D210" s="101" t="s">
        <v>5922</v>
      </c>
      <c r="E210" s="101" t="s">
        <v>6264</v>
      </c>
      <c r="F210" s="102" t="s">
        <v>89</v>
      </c>
      <c r="G210" s="103">
        <f>Спецификация!G4226</f>
        <v>86.934600000000003</v>
      </c>
      <c r="H210" s="104">
        <f>Спецификация!H4226</f>
        <v>900</v>
      </c>
      <c r="I210" s="104">
        <f>Спецификация!I4226</f>
        <v>78241.14</v>
      </c>
      <c r="J210" s="100">
        <v>4226</v>
      </c>
      <c r="K210" s="102" t="str">
        <f t="shared" si="7"/>
        <v>проценено</v>
      </c>
      <c r="L210" s="101" t="s">
        <v>6200</v>
      </c>
    </row>
    <row r="211" spans="1:12" ht="38.25" x14ac:dyDescent="0.25">
      <c r="A211" s="100">
        <v>191</v>
      </c>
      <c r="B211" s="101" t="s">
        <v>5677</v>
      </c>
      <c r="C211" s="102" t="s">
        <v>5924</v>
      </c>
      <c r="D211" s="101" t="s">
        <v>5925</v>
      </c>
      <c r="E211" s="101" t="s">
        <v>6254</v>
      </c>
      <c r="F211" s="102" t="s">
        <v>1878</v>
      </c>
      <c r="G211" s="103">
        <f>Спецификация!G4227</f>
        <v>1.9176</v>
      </c>
      <c r="H211" s="104">
        <f>Спецификация!H4227</f>
        <v>0</v>
      </c>
      <c r="I211" s="104">
        <f>Спецификация!I4227</f>
        <v>0</v>
      </c>
      <c r="J211" s="100">
        <v>4227</v>
      </c>
      <c r="K211" s="102" t="str">
        <f t="shared" si="7"/>
        <v>НЕТ ЦЕНЫ</v>
      </c>
      <c r="L211" s="101" t="s">
        <v>6200</v>
      </c>
    </row>
    <row r="212" spans="1:12" x14ac:dyDescent="0.25">
      <c r="A212" s="105"/>
      <c r="B212" s="105"/>
      <c r="C212" s="105"/>
      <c r="D212" s="106" t="s">
        <v>6121</v>
      </c>
      <c r="E212" s="105"/>
      <c r="F212" s="105"/>
      <c r="G212" s="105"/>
      <c r="H212" s="105"/>
      <c r="I212" s="107">
        <f>SUM(I110:I211)</f>
        <v>396284154.62834007</v>
      </c>
      <c r="J212" s="105"/>
      <c r="K212" s="105"/>
      <c r="L212" s="105"/>
    </row>
    <row r="214" spans="1:12" x14ac:dyDescent="0.25">
      <c r="A214" s="153" t="s">
        <v>6265</v>
      </c>
      <c r="B214" s="153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</row>
    <row r="215" spans="1:12" ht="38.25" x14ac:dyDescent="0.25">
      <c r="A215" s="100">
        <v>192</v>
      </c>
      <c r="B215" s="101" t="s">
        <v>6266</v>
      </c>
      <c r="C215" s="102" t="s">
        <v>5927</v>
      </c>
      <c r="D215" s="101" t="s">
        <v>5928</v>
      </c>
      <c r="E215" s="101" t="s">
        <v>6267</v>
      </c>
      <c r="F215" s="102" t="s">
        <v>78</v>
      </c>
      <c r="G215" s="103">
        <f>Спецификация!G4229</f>
        <v>2</v>
      </c>
      <c r="H215" s="104">
        <f>Спецификация!H4229</f>
        <v>0</v>
      </c>
      <c r="I215" s="104">
        <f>Спецификация!I4229</f>
        <v>0</v>
      </c>
      <c r="J215" s="100">
        <v>4229</v>
      </c>
      <c r="K215" s="102" t="str">
        <f>IF(H215=0,"НЕТ ЦЕНЫ","проценено")</f>
        <v>НЕТ ЦЕНЫ</v>
      </c>
      <c r="L215" s="101" t="s">
        <v>6268</v>
      </c>
    </row>
    <row r="216" spans="1:12" ht="38.25" x14ac:dyDescent="0.25">
      <c r="A216" s="100">
        <v>193</v>
      </c>
      <c r="B216" s="101" t="s">
        <v>6266</v>
      </c>
      <c r="C216" s="102" t="s">
        <v>5930</v>
      </c>
      <c r="D216" s="101" t="s">
        <v>5931</v>
      </c>
      <c r="E216" s="101" t="s">
        <v>6269</v>
      </c>
      <c r="F216" s="102" t="s">
        <v>78</v>
      </c>
      <c r="G216" s="103">
        <f>Спецификация!G4230</f>
        <v>2</v>
      </c>
      <c r="H216" s="104">
        <f>Спецификация!H4230</f>
        <v>0</v>
      </c>
      <c r="I216" s="104">
        <f>Спецификация!I4230</f>
        <v>0</v>
      </c>
      <c r="J216" s="100">
        <v>4230</v>
      </c>
      <c r="K216" s="102" t="str">
        <f>IF(H216=0,"НЕТ ЦЕНЫ","проценено")</f>
        <v>НЕТ ЦЕНЫ</v>
      </c>
      <c r="L216" s="101" t="s">
        <v>6268</v>
      </c>
    </row>
    <row r="217" spans="1:12" ht="51" x14ac:dyDescent="0.25">
      <c r="A217" s="100">
        <v>194</v>
      </c>
      <c r="B217" s="101" t="s">
        <v>6266</v>
      </c>
      <c r="C217" s="102" t="s">
        <v>5933</v>
      </c>
      <c r="D217" s="101" t="s">
        <v>5934</v>
      </c>
      <c r="E217" s="101" t="s">
        <v>6270</v>
      </c>
      <c r="F217" s="102" t="s">
        <v>78</v>
      </c>
      <c r="G217" s="103">
        <f>Спецификация!G4231</f>
        <v>2</v>
      </c>
      <c r="H217" s="104">
        <f>Спецификация!H4231</f>
        <v>7390</v>
      </c>
      <c r="I217" s="104">
        <f>Спецификация!I4231</f>
        <v>14780</v>
      </c>
      <c r="J217" s="100">
        <v>4231</v>
      </c>
      <c r="K217" s="102" t="str">
        <f>IF(H217=0,"НЕТ ЦЕНЫ","проценено")</f>
        <v>проценено</v>
      </c>
      <c r="L217" s="101" t="s">
        <v>6271</v>
      </c>
    </row>
    <row r="218" spans="1:12" x14ac:dyDescent="0.25">
      <c r="A218" s="105"/>
      <c r="B218" s="105"/>
      <c r="C218" s="105"/>
      <c r="D218" s="106" t="s">
        <v>6121</v>
      </c>
      <c r="E218" s="105"/>
      <c r="F218" s="105"/>
      <c r="G218" s="105"/>
      <c r="H218" s="105"/>
      <c r="I218" s="107">
        <f>SUM(I215:I217)</f>
        <v>14780</v>
      </c>
      <c r="J218" s="105"/>
      <c r="K218" s="105"/>
      <c r="L218" s="105"/>
    </row>
    <row r="220" spans="1:12" x14ac:dyDescent="0.25">
      <c r="A220" s="153" t="s">
        <v>6272</v>
      </c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</row>
    <row r="221" spans="1:12" ht="38.25" x14ac:dyDescent="0.25">
      <c r="A221" s="100">
        <v>195</v>
      </c>
      <c r="B221" s="101" t="s">
        <v>5936</v>
      </c>
      <c r="C221" s="102" t="s">
        <v>5585</v>
      </c>
      <c r="D221" s="101" t="s">
        <v>5937</v>
      </c>
      <c r="E221" s="101" t="s">
        <v>6273</v>
      </c>
      <c r="F221" s="102" t="s">
        <v>78</v>
      </c>
      <c r="G221" s="103">
        <f>Спецификация!G4233</f>
        <v>1</v>
      </c>
      <c r="H221" s="104">
        <f>Спецификация!H4233</f>
        <v>0</v>
      </c>
      <c r="I221" s="104">
        <f>Спецификация!I4233</f>
        <v>0</v>
      </c>
      <c r="J221" s="100">
        <v>4233</v>
      </c>
      <c r="K221" s="102" t="str">
        <f>IF(H221=0,"НЕТ ЦЕНЫ","проценено")</f>
        <v>НЕТ ЦЕНЫ</v>
      </c>
      <c r="L221" s="101" t="s">
        <v>6274</v>
      </c>
    </row>
    <row r="222" spans="1:12" ht="89.25" x14ac:dyDescent="0.25">
      <c r="A222" s="100">
        <v>196</v>
      </c>
      <c r="B222" s="101" t="s">
        <v>5936</v>
      </c>
      <c r="C222" s="102" t="s">
        <v>17</v>
      </c>
      <c r="D222" s="101" t="s">
        <v>6275</v>
      </c>
      <c r="E222" s="101" t="s">
        <v>6273</v>
      </c>
      <c r="F222" s="102" t="s">
        <v>78</v>
      </c>
      <c r="G222" s="103">
        <f>Спецификация!G4234</f>
        <v>1</v>
      </c>
      <c r="H222" s="104">
        <f>Спецификация!H4234</f>
        <v>0</v>
      </c>
      <c r="I222" s="104">
        <f>Спецификация!I4234</f>
        <v>0</v>
      </c>
      <c r="J222" s="100">
        <v>4234</v>
      </c>
      <c r="K222" s="102" t="str">
        <f>IF(H222=0,"НЕТ ЦЕНЫ","проценено")</f>
        <v>НЕТ ЦЕНЫ</v>
      </c>
      <c r="L222" s="101" t="s">
        <v>6274</v>
      </c>
    </row>
    <row r="223" spans="1:12" ht="38.25" x14ac:dyDescent="0.25">
      <c r="A223" s="100">
        <v>197</v>
      </c>
      <c r="B223" s="101" t="s">
        <v>5936</v>
      </c>
      <c r="C223" s="102" t="s">
        <v>36</v>
      </c>
      <c r="D223" s="101" t="s">
        <v>5940</v>
      </c>
      <c r="E223" s="101" t="s">
        <v>6276</v>
      </c>
      <c r="F223" s="102" t="s">
        <v>78</v>
      </c>
      <c r="G223" s="103">
        <f>Спецификация!G4235</f>
        <v>1</v>
      </c>
      <c r="H223" s="104">
        <f>Спецификация!H4235</f>
        <v>0</v>
      </c>
      <c r="I223" s="104">
        <f>Спецификация!I4235</f>
        <v>0</v>
      </c>
      <c r="J223" s="100">
        <v>4235</v>
      </c>
      <c r="K223" s="102" t="str">
        <f>IF(H223=0,"НЕТ ЦЕНЫ","проценено")</f>
        <v>НЕТ ЦЕНЫ</v>
      </c>
      <c r="L223" s="101" t="s">
        <v>6274</v>
      </c>
    </row>
    <row r="224" spans="1:12" ht="38.25" x14ac:dyDescent="0.25">
      <c r="A224" s="100">
        <v>198</v>
      </c>
      <c r="B224" s="101" t="s">
        <v>5936</v>
      </c>
      <c r="C224" s="102" t="s">
        <v>5666</v>
      </c>
      <c r="D224" s="101" t="s">
        <v>5942</v>
      </c>
      <c r="E224" s="101" t="s">
        <v>6277</v>
      </c>
      <c r="F224" s="102" t="s">
        <v>78</v>
      </c>
      <c r="G224" s="103">
        <f>Спецификация!G4236</f>
        <v>1</v>
      </c>
      <c r="H224" s="104">
        <f>Спецификация!H4236</f>
        <v>0</v>
      </c>
      <c r="I224" s="104">
        <f>Спецификация!I4236</f>
        <v>0</v>
      </c>
      <c r="J224" s="100">
        <v>4236</v>
      </c>
      <c r="K224" s="102" t="str">
        <f>IF(H224=0,"НЕТ ЦЕНЫ","проценено")</f>
        <v>НЕТ ЦЕНЫ</v>
      </c>
      <c r="L224" s="101" t="s">
        <v>6274</v>
      </c>
    </row>
    <row r="225" spans="1:12" x14ac:dyDescent="0.25">
      <c r="A225" s="105"/>
      <c r="B225" s="105"/>
      <c r="C225" s="105"/>
      <c r="D225" s="106" t="s">
        <v>6121</v>
      </c>
      <c r="E225" s="105"/>
      <c r="F225" s="105"/>
      <c r="G225" s="105"/>
      <c r="H225" s="105"/>
      <c r="I225" s="107">
        <f>SUM(I221:I224)</f>
        <v>0</v>
      </c>
      <c r="J225" s="105"/>
      <c r="K225" s="105"/>
      <c r="L225" s="105"/>
    </row>
    <row r="227" spans="1:12" x14ac:dyDescent="0.25">
      <c r="A227" s="153" t="s">
        <v>6278</v>
      </c>
      <c r="B227" s="153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</row>
    <row r="228" spans="1:12" ht="51" x14ac:dyDescent="0.25">
      <c r="A228" s="100">
        <v>199</v>
      </c>
      <c r="B228" s="101" t="s">
        <v>5943</v>
      </c>
      <c r="C228" s="102" t="s">
        <v>5595</v>
      </c>
      <c r="D228" s="101" t="s">
        <v>5944</v>
      </c>
      <c r="E228" s="101" t="s">
        <v>6279</v>
      </c>
      <c r="F228" s="102" t="s">
        <v>576</v>
      </c>
      <c r="G228" s="103">
        <f>Спецификация!G4238</f>
        <v>9957</v>
      </c>
      <c r="H228" s="104">
        <f>Спецификация!H4238</f>
        <v>100</v>
      </c>
      <c r="I228" s="104">
        <f>Спецификация!I4238</f>
        <v>995700</v>
      </c>
      <c r="J228" s="100">
        <v>4238</v>
      </c>
      <c r="K228" s="102" t="str">
        <f t="shared" ref="K228:K249" si="8">IF(H228=0,"НЕТ ЦЕНЫ","проценено")</f>
        <v>проценено</v>
      </c>
      <c r="L228" s="101" t="s">
        <v>6280</v>
      </c>
    </row>
    <row r="229" spans="1:12" ht="51" x14ac:dyDescent="0.25">
      <c r="A229" s="100">
        <v>200</v>
      </c>
      <c r="B229" s="101" t="s">
        <v>5943</v>
      </c>
      <c r="C229" s="102" t="s">
        <v>5946</v>
      </c>
      <c r="D229" s="101" t="s">
        <v>5947</v>
      </c>
      <c r="E229" s="101" t="s">
        <v>6281</v>
      </c>
      <c r="F229" s="102" t="s">
        <v>1878</v>
      </c>
      <c r="G229" s="103">
        <f>Спецификация!G4239</f>
        <v>1052.1192000000001</v>
      </c>
      <c r="H229" s="104">
        <f>Спецификация!H4239</f>
        <v>10000</v>
      </c>
      <c r="I229" s="104">
        <f>Спецификация!I4239</f>
        <v>10521192</v>
      </c>
      <c r="J229" s="100">
        <v>4239</v>
      </c>
      <c r="K229" s="102" t="str">
        <f t="shared" si="8"/>
        <v>проценено</v>
      </c>
      <c r="L229" s="101" t="s">
        <v>6282</v>
      </c>
    </row>
    <row r="230" spans="1:12" ht="51" x14ac:dyDescent="0.25">
      <c r="A230" s="100">
        <v>201</v>
      </c>
      <c r="B230" s="101" t="s">
        <v>5943</v>
      </c>
      <c r="C230" s="102" t="s">
        <v>5603</v>
      </c>
      <c r="D230" s="101" t="s">
        <v>5950</v>
      </c>
      <c r="E230" s="101" t="s">
        <v>6283</v>
      </c>
      <c r="F230" s="102" t="s">
        <v>1878</v>
      </c>
      <c r="G230" s="103">
        <f>Спецификация!G4240</f>
        <v>423.3304</v>
      </c>
      <c r="H230" s="104">
        <f>Спецификация!H4240</f>
        <v>10000</v>
      </c>
      <c r="I230" s="104">
        <f>Спецификация!I4240</f>
        <v>4233304</v>
      </c>
      <c r="J230" s="100">
        <v>4240</v>
      </c>
      <c r="K230" s="102" t="str">
        <f t="shared" si="8"/>
        <v>проценено</v>
      </c>
      <c r="L230" s="101" t="s">
        <v>6284</v>
      </c>
    </row>
    <row r="231" spans="1:12" ht="51" x14ac:dyDescent="0.25">
      <c r="A231" s="100">
        <v>202</v>
      </c>
      <c r="B231" s="101" t="s">
        <v>5943</v>
      </c>
      <c r="C231" s="102" t="s">
        <v>27</v>
      </c>
      <c r="D231" s="101" t="s">
        <v>5952</v>
      </c>
      <c r="E231" s="101" t="s">
        <v>6285</v>
      </c>
      <c r="F231" s="102" t="s">
        <v>576</v>
      </c>
      <c r="G231" s="103">
        <f>Спецификация!G4241</f>
        <v>22346.400000000001</v>
      </c>
      <c r="H231" s="104">
        <f>Спецификация!H4241</f>
        <v>108</v>
      </c>
      <c r="I231" s="104">
        <f>Спецификация!I4241</f>
        <v>2413411.2000000002</v>
      </c>
      <c r="J231" s="100">
        <v>4241</v>
      </c>
      <c r="K231" s="102" t="str">
        <f t="shared" si="8"/>
        <v>проценено</v>
      </c>
      <c r="L231" s="101" t="s">
        <v>6286</v>
      </c>
    </row>
    <row r="232" spans="1:12" ht="51" x14ac:dyDescent="0.25">
      <c r="A232" s="100">
        <v>203</v>
      </c>
      <c r="B232" s="101" t="s">
        <v>5943</v>
      </c>
      <c r="C232" s="102" t="s">
        <v>5611</v>
      </c>
      <c r="D232" s="101" t="s">
        <v>5596</v>
      </c>
      <c r="E232" s="101" t="s">
        <v>6287</v>
      </c>
      <c r="F232" s="102" t="s">
        <v>315</v>
      </c>
      <c r="G232" s="103">
        <f>Спецификация!G4242</f>
        <v>6971.9650000000001</v>
      </c>
      <c r="H232" s="104">
        <f>Спецификация!H4242</f>
        <v>1600</v>
      </c>
      <c r="I232" s="104">
        <f>Спецификация!I4242</f>
        <v>11155144</v>
      </c>
      <c r="J232" s="100">
        <v>4242</v>
      </c>
      <c r="K232" s="102" t="str">
        <f t="shared" si="8"/>
        <v>проценено</v>
      </c>
      <c r="L232" s="101" t="s">
        <v>6288</v>
      </c>
    </row>
    <row r="233" spans="1:12" ht="51" x14ac:dyDescent="0.25">
      <c r="A233" s="100">
        <v>204</v>
      </c>
      <c r="B233" s="101" t="s">
        <v>5943</v>
      </c>
      <c r="C233" s="102" t="s">
        <v>5621</v>
      </c>
      <c r="D233" s="101" t="s">
        <v>5955</v>
      </c>
      <c r="E233" s="101" t="s">
        <v>6285</v>
      </c>
      <c r="F233" s="102" t="s">
        <v>315</v>
      </c>
      <c r="G233" s="103">
        <f>Спецификация!G4243</f>
        <v>2747.6842000000001</v>
      </c>
      <c r="H233" s="104">
        <f>Спецификация!H4243</f>
        <v>4000</v>
      </c>
      <c r="I233" s="104">
        <f>Спецификация!I4243</f>
        <v>10990736.800000001</v>
      </c>
      <c r="J233" s="100">
        <v>4243</v>
      </c>
      <c r="K233" s="102" t="str">
        <f t="shared" si="8"/>
        <v>проценено</v>
      </c>
      <c r="L233" s="101" t="s">
        <v>6289</v>
      </c>
    </row>
    <row r="234" spans="1:12" ht="51" x14ac:dyDescent="0.25">
      <c r="A234" s="100">
        <v>205</v>
      </c>
      <c r="B234" s="101" t="s">
        <v>5943</v>
      </c>
      <c r="C234" s="102" t="s">
        <v>5957</v>
      </c>
      <c r="D234" s="101" t="s">
        <v>5958</v>
      </c>
      <c r="E234" s="101" t="s">
        <v>6285</v>
      </c>
      <c r="F234" s="102" t="s">
        <v>315</v>
      </c>
      <c r="G234" s="103">
        <f>Спецификация!G4244</f>
        <v>210.55</v>
      </c>
      <c r="H234" s="104">
        <f>Спецификация!H4244</f>
        <v>4000</v>
      </c>
      <c r="I234" s="104">
        <f>Спецификация!I4244</f>
        <v>842200</v>
      </c>
      <c r="J234" s="100">
        <v>4244</v>
      </c>
      <c r="K234" s="102" t="str">
        <f t="shared" si="8"/>
        <v>проценено</v>
      </c>
      <c r="L234" s="101" t="s">
        <v>6290</v>
      </c>
    </row>
    <row r="235" spans="1:12" ht="51" x14ac:dyDescent="0.25">
      <c r="A235" s="100">
        <v>206</v>
      </c>
      <c r="B235" s="101" t="s">
        <v>5943</v>
      </c>
      <c r="C235" s="102" t="s">
        <v>38</v>
      </c>
      <c r="D235" s="101" t="s">
        <v>5960</v>
      </c>
      <c r="E235" s="101" t="s">
        <v>6285</v>
      </c>
      <c r="F235" s="102" t="s">
        <v>315</v>
      </c>
      <c r="G235" s="103">
        <f>Спецификация!G4245</f>
        <v>149.10480000000001</v>
      </c>
      <c r="H235" s="104">
        <f>Спецификация!H4245</f>
        <v>8500</v>
      </c>
      <c r="I235" s="104">
        <f>Спецификация!I4245</f>
        <v>1267390.8</v>
      </c>
      <c r="J235" s="100">
        <v>4245</v>
      </c>
      <c r="K235" s="102" t="str">
        <f t="shared" si="8"/>
        <v>проценено</v>
      </c>
      <c r="L235" s="101" t="s">
        <v>6291</v>
      </c>
    </row>
    <row r="236" spans="1:12" ht="51" x14ac:dyDescent="0.25">
      <c r="A236" s="100">
        <v>207</v>
      </c>
      <c r="B236" s="101" t="s">
        <v>5943</v>
      </c>
      <c r="C236" s="102" t="s">
        <v>5708</v>
      </c>
      <c r="D236" s="101" t="s">
        <v>6292</v>
      </c>
      <c r="E236" s="101" t="s">
        <v>6285</v>
      </c>
      <c r="F236" s="102" t="s">
        <v>78</v>
      </c>
      <c r="G236" s="103">
        <f>Спецификация!G4246</f>
        <v>3159</v>
      </c>
      <c r="H236" s="104">
        <f>Спецификация!H4246</f>
        <v>0</v>
      </c>
      <c r="I236" s="104">
        <f>Спецификация!I4246</f>
        <v>0</v>
      </c>
      <c r="J236" s="100">
        <v>4246</v>
      </c>
      <c r="K236" s="102" t="str">
        <f t="shared" si="8"/>
        <v>НЕТ ЦЕНЫ</v>
      </c>
      <c r="L236" s="101" t="s">
        <v>6293</v>
      </c>
    </row>
    <row r="237" spans="1:12" ht="51" x14ac:dyDescent="0.25">
      <c r="A237" s="100">
        <v>208</v>
      </c>
      <c r="B237" s="101" t="s">
        <v>5943</v>
      </c>
      <c r="C237" s="102" t="s">
        <v>5719</v>
      </c>
      <c r="D237" s="101" t="s">
        <v>5964</v>
      </c>
      <c r="E237" s="101" t="s">
        <v>6294</v>
      </c>
      <c r="F237" s="102" t="s">
        <v>576</v>
      </c>
      <c r="G237" s="103">
        <f>Спецификация!G4247</f>
        <v>866</v>
      </c>
      <c r="H237" s="104">
        <f>Спецификация!H4247</f>
        <v>1500</v>
      </c>
      <c r="I237" s="104">
        <f>Спецификация!I4247</f>
        <v>1299000</v>
      </c>
      <c r="J237" s="100">
        <v>4247</v>
      </c>
      <c r="K237" s="102" t="str">
        <f t="shared" si="8"/>
        <v>проценено</v>
      </c>
      <c r="L237" s="101" t="s">
        <v>6295</v>
      </c>
    </row>
    <row r="238" spans="1:12" ht="51" x14ac:dyDescent="0.25">
      <c r="A238" s="100">
        <v>209</v>
      </c>
      <c r="B238" s="101" t="s">
        <v>5943</v>
      </c>
      <c r="C238" s="102" t="s">
        <v>31</v>
      </c>
      <c r="D238" s="101" t="s">
        <v>5966</v>
      </c>
      <c r="E238" s="101" t="s">
        <v>6294</v>
      </c>
      <c r="F238" s="102" t="s">
        <v>1878</v>
      </c>
      <c r="G238" s="103">
        <f>Спецификация!G4248</f>
        <v>47.63</v>
      </c>
      <c r="H238" s="104">
        <f>Спецификация!H4248</f>
        <v>0</v>
      </c>
      <c r="I238" s="104">
        <f>Спецификация!I4248</f>
        <v>0</v>
      </c>
      <c r="J238" s="100">
        <v>4248</v>
      </c>
      <c r="K238" s="102" t="str">
        <f t="shared" si="8"/>
        <v>НЕТ ЦЕНЫ</v>
      </c>
      <c r="L238" s="101" t="s">
        <v>6295</v>
      </c>
    </row>
    <row r="239" spans="1:12" ht="51" x14ac:dyDescent="0.25">
      <c r="A239" s="100">
        <v>210</v>
      </c>
      <c r="B239" s="101" t="s">
        <v>5943</v>
      </c>
      <c r="C239" s="102" t="s">
        <v>553</v>
      </c>
      <c r="D239" s="101" t="s">
        <v>6296</v>
      </c>
      <c r="E239" s="101" t="s">
        <v>6297</v>
      </c>
      <c r="F239" s="102" t="s">
        <v>576</v>
      </c>
      <c r="G239" s="103">
        <f>Спецификация!G4249</f>
        <v>2974.32</v>
      </c>
      <c r="H239" s="104">
        <f>Спецификация!H4249</f>
        <v>4567</v>
      </c>
      <c r="I239" s="104">
        <f>Спецификация!I4249</f>
        <v>13583719.440000001</v>
      </c>
      <c r="J239" s="100">
        <v>4249</v>
      </c>
      <c r="K239" s="102" t="str">
        <f t="shared" si="8"/>
        <v>проценено</v>
      </c>
      <c r="L239" s="101" t="s">
        <v>6295</v>
      </c>
    </row>
    <row r="240" spans="1:12" ht="51" x14ac:dyDescent="0.25">
      <c r="A240" s="100">
        <v>211</v>
      </c>
      <c r="B240" s="101" t="s">
        <v>5943</v>
      </c>
      <c r="C240" s="102" t="s">
        <v>3431</v>
      </c>
      <c r="D240" s="101" t="s">
        <v>5967</v>
      </c>
      <c r="E240" s="101" t="s">
        <v>6298</v>
      </c>
      <c r="F240" s="102" t="s">
        <v>576</v>
      </c>
      <c r="G240" s="103">
        <f>Спецификация!G4250</f>
        <v>1124.04</v>
      </c>
      <c r="H240" s="104">
        <f>Спецификация!H4250</f>
        <v>4567</v>
      </c>
      <c r="I240" s="104">
        <f>Спецификация!I4250</f>
        <v>5133490.68</v>
      </c>
      <c r="J240" s="100">
        <v>4250</v>
      </c>
      <c r="K240" s="102" t="str">
        <f t="shared" si="8"/>
        <v>проценено</v>
      </c>
      <c r="L240" s="101" t="s">
        <v>6295</v>
      </c>
    </row>
    <row r="241" spans="1:12" ht="51" x14ac:dyDescent="0.25">
      <c r="A241" s="100">
        <v>212</v>
      </c>
      <c r="B241" s="101" t="s">
        <v>5943</v>
      </c>
      <c r="C241" s="102" t="s">
        <v>5970</v>
      </c>
      <c r="D241" s="101" t="s">
        <v>5971</v>
      </c>
      <c r="E241" s="101" t="s">
        <v>6298</v>
      </c>
      <c r="F241" s="102" t="s">
        <v>576</v>
      </c>
      <c r="G241" s="103">
        <f>Спецификация!G4251</f>
        <v>921</v>
      </c>
      <c r="H241" s="104">
        <f>Спецификация!H4251</f>
        <v>0</v>
      </c>
      <c r="I241" s="104">
        <f>Спецификация!I4251</f>
        <v>0</v>
      </c>
      <c r="J241" s="100">
        <v>4251</v>
      </c>
      <c r="K241" s="102" t="str">
        <f t="shared" si="8"/>
        <v>НЕТ ЦЕНЫ</v>
      </c>
      <c r="L241" s="101" t="s">
        <v>6295</v>
      </c>
    </row>
    <row r="242" spans="1:12" ht="51" x14ac:dyDescent="0.25">
      <c r="A242" s="100">
        <v>213</v>
      </c>
      <c r="B242" s="101" t="s">
        <v>5943</v>
      </c>
      <c r="C242" s="102" t="s">
        <v>5972</v>
      </c>
      <c r="D242" s="101" t="s">
        <v>5973</v>
      </c>
      <c r="E242" s="101" t="s">
        <v>6298</v>
      </c>
      <c r="F242" s="102" t="s">
        <v>315</v>
      </c>
      <c r="G242" s="103">
        <f>Спецификация!G4252</f>
        <v>11.7056</v>
      </c>
      <c r="H242" s="104">
        <f>Спецификация!H4252</f>
        <v>8500</v>
      </c>
      <c r="I242" s="104">
        <f>Спецификация!I4252</f>
        <v>99497.600000000006</v>
      </c>
      <c r="J242" s="100">
        <v>4252</v>
      </c>
      <c r="K242" s="102" t="str">
        <f t="shared" si="8"/>
        <v>проценено</v>
      </c>
      <c r="L242" s="101" t="s">
        <v>6299</v>
      </c>
    </row>
    <row r="243" spans="1:12" ht="51" x14ac:dyDescent="0.25">
      <c r="A243" s="100">
        <v>214</v>
      </c>
      <c r="B243" s="101" t="s">
        <v>5943</v>
      </c>
      <c r="C243" s="102" t="s">
        <v>5975</v>
      </c>
      <c r="D243" s="101" t="s">
        <v>5976</v>
      </c>
      <c r="E243" s="101" t="s">
        <v>6298</v>
      </c>
      <c r="F243" s="102" t="s">
        <v>78</v>
      </c>
      <c r="G243" s="103">
        <f>Спецификация!G4253</f>
        <v>248</v>
      </c>
      <c r="H243" s="104">
        <f>Спецификация!H4253</f>
        <v>600</v>
      </c>
      <c r="I243" s="104">
        <f>Спецификация!I4253</f>
        <v>148800</v>
      </c>
      <c r="J243" s="100">
        <v>4253</v>
      </c>
      <c r="K243" s="102" t="str">
        <f t="shared" si="8"/>
        <v>проценено</v>
      </c>
      <c r="L243" s="101" t="s">
        <v>6300</v>
      </c>
    </row>
    <row r="244" spans="1:12" ht="51" x14ac:dyDescent="0.25">
      <c r="A244" s="100">
        <v>215</v>
      </c>
      <c r="B244" s="101" t="s">
        <v>5943</v>
      </c>
      <c r="C244" s="102" t="s">
        <v>5978</v>
      </c>
      <c r="D244" s="101" t="s">
        <v>5979</v>
      </c>
      <c r="E244" s="101" t="s">
        <v>6301</v>
      </c>
      <c r="F244" s="102" t="s">
        <v>315</v>
      </c>
      <c r="G244" s="103">
        <f>Спецификация!G4254</f>
        <v>63</v>
      </c>
      <c r="H244" s="104">
        <f>Спецификация!H4254</f>
        <v>4000</v>
      </c>
      <c r="I244" s="104">
        <f>Спецификация!I4254</f>
        <v>252000</v>
      </c>
      <c r="J244" s="100">
        <v>4254</v>
      </c>
      <c r="K244" s="102" t="str">
        <f t="shared" si="8"/>
        <v>проценено</v>
      </c>
      <c r="L244" s="101" t="s">
        <v>6295</v>
      </c>
    </row>
    <row r="245" spans="1:12" ht="51" x14ac:dyDescent="0.25">
      <c r="A245" s="100">
        <v>216</v>
      </c>
      <c r="B245" s="101" t="s">
        <v>5943</v>
      </c>
      <c r="C245" s="102" t="s">
        <v>5981</v>
      </c>
      <c r="D245" s="101" t="s">
        <v>5982</v>
      </c>
      <c r="E245" s="101" t="s">
        <v>6301</v>
      </c>
      <c r="F245" s="102" t="s">
        <v>158</v>
      </c>
      <c r="G245" s="103">
        <f>Спецификация!G4255</f>
        <v>101.8</v>
      </c>
      <c r="H245" s="104">
        <f>Спецификация!H4255</f>
        <v>2013</v>
      </c>
      <c r="I245" s="104">
        <f>Спецификация!I4255</f>
        <v>204923.4</v>
      </c>
      <c r="J245" s="100">
        <v>4255</v>
      </c>
      <c r="K245" s="102" t="str">
        <f t="shared" si="8"/>
        <v>проценено</v>
      </c>
      <c r="L245" s="101" t="s">
        <v>6295</v>
      </c>
    </row>
    <row r="246" spans="1:12" ht="51" x14ac:dyDescent="0.25">
      <c r="A246" s="100">
        <v>217</v>
      </c>
      <c r="B246" s="101" t="s">
        <v>5943</v>
      </c>
      <c r="C246" s="102" t="s">
        <v>3434</v>
      </c>
      <c r="D246" s="101" t="s">
        <v>5983</v>
      </c>
      <c r="E246" s="101" t="s">
        <v>6301</v>
      </c>
      <c r="F246" s="102" t="s">
        <v>158</v>
      </c>
      <c r="G246" s="103">
        <f>Спецификация!G4256</f>
        <v>264.68</v>
      </c>
      <c r="H246" s="104">
        <f>Спецификация!H4256</f>
        <v>705</v>
      </c>
      <c r="I246" s="104">
        <f>Спецификация!I4256</f>
        <v>186599.4</v>
      </c>
      <c r="J246" s="100">
        <v>4256</v>
      </c>
      <c r="K246" s="102" t="str">
        <f t="shared" si="8"/>
        <v>проценено</v>
      </c>
      <c r="L246" s="101" t="s">
        <v>6295</v>
      </c>
    </row>
    <row r="247" spans="1:12" ht="51" x14ac:dyDescent="0.25">
      <c r="A247" s="100">
        <v>218</v>
      </c>
      <c r="B247" s="101" t="s">
        <v>5943</v>
      </c>
      <c r="C247" s="102" t="s">
        <v>3437</v>
      </c>
      <c r="D247" s="101" t="s">
        <v>5984</v>
      </c>
      <c r="E247" s="101" t="s">
        <v>6301</v>
      </c>
      <c r="F247" s="102" t="s">
        <v>576</v>
      </c>
      <c r="G247" s="103">
        <f>Спецификация!G4257</f>
        <v>507.5</v>
      </c>
      <c r="H247" s="104">
        <f>Спецификация!H4257</f>
        <v>3000</v>
      </c>
      <c r="I247" s="104">
        <f>Спецификация!I4257</f>
        <v>1522500</v>
      </c>
      <c r="J247" s="100">
        <v>4257</v>
      </c>
      <c r="K247" s="102" t="str">
        <f t="shared" si="8"/>
        <v>проценено</v>
      </c>
      <c r="L247" s="101" t="s">
        <v>6295</v>
      </c>
    </row>
    <row r="248" spans="1:12" ht="51" x14ac:dyDescent="0.25">
      <c r="A248" s="100">
        <v>219</v>
      </c>
      <c r="B248" s="101" t="s">
        <v>5943</v>
      </c>
      <c r="C248" s="102" t="s">
        <v>5985</v>
      </c>
      <c r="D248" s="101" t="s">
        <v>5986</v>
      </c>
      <c r="E248" s="101" t="s">
        <v>6302</v>
      </c>
      <c r="F248" s="102" t="s">
        <v>576</v>
      </c>
      <c r="G248" s="103">
        <f>Спецификация!G4258</f>
        <v>61</v>
      </c>
      <c r="H248" s="104">
        <f>Спецификация!H4258</f>
        <v>0</v>
      </c>
      <c r="I248" s="104">
        <f>Спецификация!I4258</f>
        <v>0</v>
      </c>
      <c r="J248" s="100">
        <v>4258</v>
      </c>
      <c r="K248" s="102" t="str">
        <f t="shared" si="8"/>
        <v>НЕТ ЦЕНЫ</v>
      </c>
      <c r="L248" s="101" t="s">
        <v>6295</v>
      </c>
    </row>
    <row r="249" spans="1:12" ht="51" x14ac:dyDescent="0.25">
      <c r="A249" s="100">
        <v>220</v>
      </c>
      <c r="B249" s="101" t="s">
        <v>5943</v>
      </c>
      <c r="C249" s="102" t="s">
        <v>5988</v>
      </c>
      <c r="D249" s="101" t="s">
        <v>5989</v>
      </c>
      <c r="E249" s="101" t="s">
        <v>6302</v>
      </c>
      <c r="F249" s="102" t="s">
        <v>1878</v>
      </c>
      <c r="G249" s="103">
        <f>Спецификация!G4259</f>
        <v>3.1110000000000002</v>
      </c>
      <c r="H249" s="104">
        <f>Спецификация!H4259</f>
        <v>0</v>
      </c>
      <c r="I249" s="104">
        <f>Спецификация!I4259</f>
        <v>0</v>
      </c>
      <c r="J249" s="100">
        <v>4259</v>
      </c>
      <c r="K249" s="102" t="str">
        <f t="shared" si="8"/>
        <v>НЕТ ЦЕНЫ</v>
      </c>
      <c r="L249" s="101" t="s">
        <v>6295</v>
      </c>
    </row>
    <row r="250" spans="1:12" x14ac:dyDescent="0.25">
      <c r="A250" s="105"/>
      <c r="B250" s="105"/>
      <c r="C250" s="105"/>
      <c r="D250" s="106" t="s">
        <v>6121</v>
      </c>
      <c r="E250" s="105"/>
      <c r="F250" s="105"/>
      <c r="G250" s="105"/>
      <c r="H250" s="105"/>
      <c r="I250" s="107">
        <f>SUM(I228:I249)</f>
        <v>64849609.319999993</v>
      </c>
      <c r="J250" s="105"/>
      <c r="K250" s="105"/>
      <c r="L250" s="105"/>
    </row>
    <row r="252" spans="1:12" x14ac:dyDescent="0.25">
      <c r="A252" s="153" t="s">
        <v>6303</v>
      </c>
      <c r="B252" s="153"/>
      <c r="C252" s="153"/>
      <c r="D252" s="153"/>
      <c r="E252" s="153"/>
      <c r="F252" s="153"/>
      <c r="G252" s="153"/>
      <c r="H252" s="153"/>
      <c r="I252" s="153"/>
      <c r="J252" s="153"/>
      <c r="K252" s="153"/>
      <c r="L252" s="153"/>
    </row>
    <row r="253" spans="1:12" ht="51" x14ac:dyDescent="0.25">
      <c r="A253" s="100">
        <v>221</v>
      </c>
      <c r="B253" s="101" t="s">
        <v>5990</v>
      </c>
      <c r="C253" s="102" t="s">
        <v>20</v>
      </c>
      <c r="D253" s="101" t="s">
        <v>5991</v>
      </c>
      <c r="E253" s="101" t="s">
        <v>6304</v>
      </c>
      <c r="F253" s="102" t="s">
        <v>158</v>
      </c>
      <c r="G253" s="103">
        <f>Спецификация!G4261</f>
        <v>295.38</v>
      </c>
      <c r="H253" s="104">
        <f>Спецификация!H4261</f>
        <v>350</v>
      </c>
      <c r="I253" s="104">
        <f>Спецификация!I4261</f>
        <v>103383</v>
      </c>
      <c r="J253" s="100">
        <v>4261</v>
      </c>
      <c r="K253" s="102" t="str">
        <f t="shared" ref="K253:K284" si="9">IF(H253=0,"НЕТ ЦЕНЫ","проценено")</f>
        <v>проценено</v>
      </c>
      <c r="L253" s="101" t="s">
        <v>6305</v>
      </c>
    </row>
    <row r="254" spans="1:12" ht="51" x14ac:dyDescent="0.25">
      <c r="A254" s="100">
        <v>222</v>
      </c>
      <c r="B254" s="101" t="s">
        <v>5990</v>
      </c>
      <c r="C254" s="102" t="s">
        <v>5663</v>
      </c>
      <c r="D254" s="101" t="s">
        <v>5993</v>
      </c>
      <c r="E254" s="101" t="s">
        <v>6306</v>
      </c>
      <c r="F254" s="102" t="s">
        <v>78</v>
      </c>
      <c r="G254" s="103">
        <f>Спецификация!G4262</f>
        <v>3</v>
      </c>
      <c r="H254" s="104">
        <f>Спецификация!H4262</f>
        <v>16800</v>
      </c>
      <c r="I254" s="104">
        <f>Спецификация!I4262</f>
        <v>50400</v>
      </c>
      <c r="J254" s="100">
        <v>4262</v>
      </c>
      <c r="K254" s="102" t="str">
        <f t="shared" si="9"/>
        <v>проценено</v>
      </c>
      <c r="L254" s="101" t="s">
        <v>6305</v>
      </c>
    </row>
    <row r="255" spans="1:12" ht="51" x14ac:dyDescent="0.25">
      <c r="A255" s="100">
        <v>223</v>
      </c>
      <c r="B255" s="101" t="s">
        <v>5990</v>
      </c>
      <c r="C255" s="102" t="s">
        <v>5595</v>
      </c>
      <c r="D255" s="101" t="s">
        <v>5995</v>
      </c>
      <c r="E255" s="101" t="s">
        <v>6306</v>
      </c>
      <c r="F255" s="102" t="s">
        <v>78</v>
      </c>
      <c r="G255" s="103">
        <f>Спецификация!G4263</f>
        <v>3</v>
      </c>
      <c r="H255" s="104">
        <f>Спецификация!H4263</f>
        <v>30880</v>
      </c>
      <c r="I255" s="104">
        <f>Спецификация!I4263</f>
        <v>92640</v>
      </c>
      <c r="J255" s="100">
        <v>4263</v>
      </c>
      <c r="K255" s="102" t="str">
        <f t="shared" si="9"/>
        <v>проценено</v>
      </c>
      <c r="L255" s="101" t="s">
        <v>6305</v>
      </c>
    </row>
    <row r="256" spans="1:12" ht="51" x14ac:dyDescent="0.25">
      <c r="A256" s="100">
        <v>224</v>
      </c>
      <c r="B256" s="101" t="s">
        <v>5990</v>
      </c>
      <c r="C256" s="102" t="s">
        <v>5666</v>
      </c>
      <c r="D256" s="101" t="s">
        <v>5996</v>
      </c>
      <c r="E256" s="101" t="s">
        <v>6306</v>
      </c>
      <c r="F256" s="102" t="s">
        <v>78</v>
      </c>
      <c r="G256" s="103">
        <f>Спецификация!G4264</f>
        <v>4</v>
      </c>
      <c r="H256" s="104">
        <f>Спецификация!H4264</f>
        <v>11850</v>
      </c>
      <c r="I256" s="104">
        <f>Спецификация!I4264</f>
        <v>47400</v>
      </c>
      <c r="J256" s="100">
        <v>4264</v>
      </c>
      <c r="K256" s="102" t="str">
        <f t="shared" si="9"/>
        <v>проценено</v>
      </c>
      <c r="L256" s="101" t="s">
        <v>6305</v>
      </c>
    </row>
    <row r="257" spans="1:12" ht="51" x14ac:dyDescent="0.25">
      <c r="A257" s="100">
        <v>225</v>
      </c>
      <c r="B257" s="101" t="s">
        <v>5990</v>
      </c>
      <c r="C257" s="102" t="s">
        <v>5946</v>
      </c>
      <c r="D257" s="101" t="s">
        <v>5997</v>
      </c>
      <c r="E257" s="101" t="s">
        <v>6306</v>
      </c>
      <c r="F257" s="102" t="s">
        <v>78</v>
      </c>
      <c r="G257" s="103">
        <f>Спецификация!G4265</f>
        <v>22</v>
      </c>
      <c r="H257" s="104">
        <f>Спецификация!H4265</f>
        <v>0</v>
      </c>
      <c r="I257" s="104">
        <f>Спецификация!I4265</f>
        <v>0</v>
      </c>
      <c r="J257" s="100">
        <v>4265</v>
      </c>
      <c r="K257" s="102" t="str">
        <f t="shared" si="9"/>
        <v>НЕТ ЦЕНЫ</v>
      </c>
      <c r="L257" s="101" t="s">
        <v>6305</v>
      </c>
    </row>
    <row r="258" spans="1:12" ht="51" x14ac:dyDescent="0.25">
      <c r="A258" s="100">
        <v>226</v>
      </c>
      <c r="B258" s="101" t="s">
        <v>5990</v>
      </c>
      <c r="C258" s="102" t="s">
        <v>34</v>
      </c>
      <c r="D258" s="101" t="s">
        <v>5998</v>
      </c>
      <c r="E258" s="101" t="s">
        <v>6306</v>
      </c>
      <c r="F258" s="102" t="s">
        <v>78</v>
      </c>
      <c r="G258" s="103">
        <f>Спецификация!G4266</f>
        <v>39</v>
      </c>
      <c r="H258" s="104">
        <f>Спецификация!H4266</f>
        <v>0</v>
      </c>
      <c r="I258" s="104">
        <f>Спецификация!I4266</f>
        <v>0</v>
      </c>
      <c r="J258" s="100">
        <v>4266</v>
      </c>
      <c r="K258" s="102" t="str">
        <f t="shared" si="9"/>
        <v>НЕТ ЦЕНЫ</v>
      </c>
      <c r="L258" s="101" t="s">
        <v>6305</v>
      </c>
    </row>
    <row r="259" spans="1:12" ht="51" x14ac:dyDescent="0.25">
      <c r="A259" s="100">
        <v>227</v>
      </c>
      <c r="B259" s="101" t="s">
        <v>5990</v>
      </c>
      <c r="C259" s="102" t="s">
        <v>5603</v>
      </c>
      <c r="D259" s="101" t="s">
        <v>5999</v>
      </c>
      <c r="E259" s="101" t="s">
        <v>6307</v>
      </c>
      <c r="F259" s="102" t="s">
        <v>78</v>
      </c>
      <c r="G259" s="103">
        <f>Спецификация!G4267</f>
        <v>8</v>
      </c>
      <c r="H259" s="104">
        <f>Спецификация!H4267</f>
        <v>4190</v>
      </c>
      <c r="I259" s="104">
        <f>Спецификация!I4267</f>
        <v>33520</v>
      </c>
      <c r="J259" s="100">
        <v>4267</v>
      </c>
      <c r="K259" s="102" t="str">
        <f t="shared" si="9"/>
        <v>проценено</v>
      </c>
      <c r="L259" s="101" t="s">
        <v>6305</v>
      </c>
    </row>
    <row r="260" spans="1:12" ht="51" x14ac:dyDescent="0.25">
      <c r="A260" s="100">
        <v>228</v>
      </c>
      <c r="B260" s="101" t="s">
        <v>5990</v>
      </c>
      <c r="C260" s="102" t="s">
        <v>5697</v>
      </c>
      <c r="D260" s="101" t="s">
        <v>6001</v>
      </c>
      <c r="E260" s="101" t="s">
        <v>6307</v>
      </c>
      <c r="F260" s="102" t="s">
        <v>78</v>
      </c>
      <c r="G260" s="103">
        <f>Спецификация!G4268</f>
        <v>6</v>
      </c>
      <c r="H260" s="104">
        <f>Спецификация!H4268</f>
        <v>4240</v>
      </c>
      <c r="I260" s="104">
        <f>Спецификация!I4268</f>
        <v>25440</v>
      </c>
      <c r="J260" s="100">
        <v>4268</v>
      </c>
      <c r="K260" s="102" t="str">
        <f t="shared" si="9"/>
        <v>проценено</v>
      </c>
      <c r="L260" s="101" t="s">
        <v>6305</v>
      </c>
    </row>
    <row r="261" spans="1:12" ht="51" x14ac:dyDescent="0.25">
      <c r="A261" s="100">
        <v>229</v>
      </c>
      <c r="B261" s="101" t="s">
        <v>5990</v>
      </c>
      <c r="C261" s="102" t="s">
        <v>27</v>
      </c>
      <c r="D261" s="101" t="s">
        <v>6002</v>
      </c>
      <c r="E261" s="101" t="s">
        <v>6307</v>
      </c>
      <c r="F261" s="102" t="s">
        <v>78</v>
      </c>
      <c r="G261" s="103">
        <f>Спецификация!G4269</f>
        <v>12</v>
      </c>
      <c r="H261" s="104">
        <f>Спецификация!H4269</f>
        <v>1200</v>
      </c>
      <c r="I261" s="104">
        <f>Спецификация!I4269</f>
        <v>14400</v>
      </c>
      <c r="J261" s="100">
        <v>4269</v>
      </c>
      <c r="K261" s="102" t="str">
        <f t="shared" si="9"/>
        <v>проценено</v>
      </c>
      <c r="L261" s="101" t="s">
        <v>6305</v>
      </c>
    </row>
    <row r="262" spans="1:12" ht="51" x14ac:dyDescent="0.25">
      <c r="A262" s="100">
        <v>230</v>
      </c>
      <c r="B262" s="101" t="s">
        <v>5990</v>
      </c>
      <c r="C262" s="102" t="s">
        <v>23</v>
      </c>
      <c r="D262" s="101" t="s">
        <v>6003</v>
      </c>
      <c r="E262" s="101" t="s">
        <v>6307</v>
      </c>
      <c r="F262" s="102" t="s">
        <v>78</v>
      </c>
      <c r="G262" s="103">
        <f>Спецификация!G4270</f>
        <v>26</v>
      </c>
      <c r="H262" s="104">
        <f>Спецификация!H4270</f>
        <v>5800</v>
      </c>
      <c r="I262" s="104">
        <f>Спецификация!I4270</f>
        <v>150800</v>
      </c>
      <c r="J262" s="100">
        <v>4270</v>
      </c>
      <c r="K262" s="102" t="str">
        <f t="shared" si="9"/>
        <v>проценено</v>
      </c>
      <c r="L262" s="101" t="s">
        <v>6305</v>
      </c>
    </row>
    <row r="263" spans="1:12" ht="51" x14ac:dyDescent="0.25">
      <c r="A263" s="100">
        <v>231</v>
      </c>
      <c r="B263" s="101" t="s">
        <v>5990</v>
      </c>
      <c r="C263" s="102" t="s">
        <v>5611</v>
      </c>
      <c r="D263" s="101" t="s">
        <v>6004</v>
      </c>
      <c r="E263" s="101" t="s">
        <v>6307</v>
      </c>
      <c r="F263" s="102" t="s">
        <v>78</v>
      </c>
      <c r="G263" s="103">
        <f>Спецификация!G4271</f>
        <v>108</v>
      </c>
      <c r="H263" s="104">
        <f>Спецификация!H4271</f>
        <v>0</v>
      </c>
      <c r="I263" s="104">
        <f>Спецификация!I4271</f>
        <v>0</v>
      </c>
      <c r="J263" s="100">
        <v>4271</v>
      </c>
      <c r="K263" s="102" t="str">
        <f t="shared" si="9"/>
        <v>НЕТ ЦЕНЫ</v>
      </c>
      <c r="L263" s="101" t="s">
        <v>6305</v>
      </c>
    </row>
    <row r="264" spans="1:12" ht="51" x14ac:dyDescent="0.25">
      <c r="A264" s="100">
        <v>232</v>
      </c>
      <c r="B264" s="101" t="s">
        <v>5990</v>
      </c>
      <c r="C264" s="102" t="s">
        <v>12</v>
      </c>
      <c r="D264" s="101" t="s">
        <v>6005</v>
      </c>
      <c r="E264" s="101" t="s">
        <v>6308</v>
      </c>
      <c r="F264" s="102" t="s">
        <v>78</v>
      </c>
      <c r="G264" s="103">
        <f>Спецификация!G4272</f>
        <v>12</v>
      </c>
      <c r="H264" s="104">
        <f>Спецификация!H4272</f>
        <v>0</v>
      </c>
      <c r="I264" s="104">
        <f>Спецификация!I4272</f>
        <v>0</v>
      </c>
      <c r="J264" s="100">
        <v>4272</v>
      </c>
      <c r="K264" s="102" t="str">
        <f t="shared" si="9"/>
        <v>НЕТ ЦЕНЫ</v>
      </c>
      <c r="L264" s="101" t="s">
        <v>6305</v>
      </c>
    </row>
    <row r="265" spans="1:12" ht="51" x14ac:dyDescent="0.25">
      <c r="A265" s="100">
        <v>233</v>
      </c>
      <c r="B265" s="101" t="s">
        <v>5990</v>
      </c>
      <c r="C265" s="102" t="s">
        <v>5621</v>
      </c>
      <c r="D265" s="101" t="s">
        <v>6007</v>
      </c>
      <c r="E265" s="101" t="s">
        <v>6309</v>
      </c>
      <c r="F265" s="102" t="s">
        <v>78</v>
      </c>
      <c r="G265" s="103">
        <f>Спецификация!G4273</f>
        <v>72</v>
      </c>
      <c r="H265" s="104">
        <f>Спецификация!H4273</f>
        <v>0</v>
      </c>
      <c r="I265" s="104">
        <f>Спецификация!I4273</f>
        <v>0</v>
      </c>
      <c r="J265" s="100">
        <v>4273</v>
      </c>
      <c r="K265" s="102" t="str">
        <f t="shared" si="9"/>
        <v>НЕТ ЦЕНЫ</v>
      </c>
      <c r="L265" s="101" t="s">
        <v>6305</v>
      </c>
    </row>
    <row r="266" spans="1:12" ht="51" x14ac:dyDescent="0.25">
      <c r="A266" s="100">
        <v>234</v>
      </c>
      <c r="B266" s="101" t="s">
        <v>5990</v>
      </c>
      <c r="C266" s="102" t="s">
        <v>5957</v>
      </c>
      <c r="D266" s="101" t="s">
        <v>6009</v>
      </c>
      <c r="E266" s="101" t="s">
        <v>6309</v>
      </c>
      <c r="F266" s="102" t="s">
        <v>78</v>
      </c>
      <c r="G266" s="103">
        <f>Спецификация!G4274</f>
        <v>12</v>
      </c>
      <c r="H266" s="104">
        <f>Спецификация!H4274</f>
        <v>0</v>
      </c>
      <c r="I266" s="104">
        <f>Спецификация!I4274</f>
        <v>0</v>
      </c>
      <c r="J266" s="100">
        <v>4274</v>
      </c>
      <c r="K266" s="102" t="str">
        <f t="shared" si="9"/>
        <v>НЕТ ЦЕНЫ</v>
      </c>
      <c r="L266" s="101" t="s">
        <v>6305</v>
      </c>
    </row>
    <row r="267" spans="1:12" ht="51" x14ac:dyDescent="0.25">
      <c r="A267" s="100">
        <v>235</v>
      </c>
      <c r="B267" s="101" t="s">
        <v>5990</v>
      </c>
      <c r="C267" s="102" t="s">
        <v>5624</v>
      </c>
      <c r="D267" s="101" t="s">
        <v>6010</v>
      </c>
      <c r="E267" s="101" t="s">
        <v>6309</v>
      </c>
      <c r="F267" s="102" t="s">
        <v>78</v>
      </c>
      <c r="G267" s="103">
        <f>Спецификация!G4275</f>
        <v>15</v>
      </c>
      <c r="H267" s="104">
        <f>Спецификация!H4275</f>
        <v>0</v>
      </c>
      <c r="I267" s="104">
        <f>Спецификация!I4275</f>
        <v>0</v>
      </c>
      <c r="J267" s="100">
        <v>4275</v>
      </c>
      <c r="K267" s="102" t="str">
        <f t="shared" si="9"/>
        <v>НЕТ ЦЕНЫ</v>
      </c>
      <c r="L267" s="101" t="s">
        <v>6305</v>
      </c>
    </row>
    <row r="268" spans="1:12" ht="51" x14ac:dyDescent="0.25">
      <c r="A268" s="100">
        <v>236</v>
      </c>
      <c r="B268" s="101" t="s">
        <v>5990</v>
      </c>
      <c r="C268" s="102" t="s">
        <v>29</v>
      </c>
      <c r="D268" s="101" t="s">
        <v>6011</v>
      </c>
      <c r="E268" s="101" t="s">
        <v>6309</v>
      </c>
      <c r="F268" s="102" t="s">
        <v>78</v>
      </c>
      <c r="G268" s="103">
        <f>Спецификация!G4276</f>
        <v>147</v>
      </c>
      <c r="H268" s="104">
        <f>Спецификация!H4276</f>
        <v>0</v>
      </c>
      <c r="I268" s="104">
        <f>Спецификация!I4276</f>
        <v>0</v>
      </c>
      <c r="J268" s="100">
        <v>4276</v>
      </c>
      <c r="K268" s="102" t="str">
        <f t="shared" si="9"/>
        <v>НЕТ ЦЕНЫ</v>
      </c>
      <c r="L268" s="101" t="s">
        <v>6305</v>
      </c>
    </row>
    <row r="269" spans="1:12" ht="51" x14ac:dyDescent="0.25">
      <c r="A269" s="100">
        <v>237</v>
      </c>
      <c r="B269" s="101" t="s">
        <v>5990</v>
      </c>
      <c r="C269" s="102" t="s">
        <v>38</v>
      </c>
      <c r="D269" s="101" t="s">
        <v>6012</v>
      </c>
      <c r="E269" s="101" t="s">
        <v>6309</v>
      </c>
      <c r="F269" s="102" t="s">
        <v>78</v>
      </c>
      <c r="G269" s="103">
        <f>Спецификация!G4277</f>
        <v>153</v>
      </c>
      <c r="H269" s="104">
        <f>Спецификация!H4277</f>
        <v>0</v>
      </c>
      <c r="I269" s="104">
        <f>Спецификация!I4277</f>
        <v>0</v>
      </c>
      <c r="J269" s="100">
        <v>4277</v>
      </c>
      <c r="K269" s="102" t="str">
        <f t="shared" si="9"/>
        <v>НЕТ ЦЕНЫ</v>
      </c>
      <c r="L269" s="101" t="s">
        <v>6305</v>
      </c>
    </row>
    <row r="270" spans="1:12" ht="51" x14ac:dyDescent="0.25">
      <c r="A270" s="100">
        <v>238</v>
      </c>
      <c r="B270" s="101" t="s">
        <v>5990</v>
      </c>
      <c r="C270" s="102" t="s">
        <v>5708</v>
      </c>
      <c r="D270" s="101" t="s">
        <v>6013</v>
      </c>
      <c r="E270" s="101" t="s">
        <v>6310</v>
      </c>
      <c r="F270" s="102" t="s">
        <v>78</v>
      </c>
      <c r="G270" s="103">
        <f>Спецификация!G4278</f>
        <v>280</v>
      </c>
      <c r="H270" s="104">
        <f>Спецификация!H4278</f>
        <v>0</v>
      </c>
      <c r="I270" s="104">
        <f>Спецификация!I4278</f>
        <v>0</v>
      </c>
      <c r="J270" s="100">
        <v>4278</v>
      </c>
      <c r="K270" s="102" t="str">
        <f t="shared" si="9"/>
        <v>НЕТ ЦЕНЫ</v>
      </c>
      <c r="L270" s="101" t="s">
        <v>6305</v>
      </c>
    </row>
    <row r="271" spans="1:12" ht="51" x14ac:dyDescent="0.25">
      <c r="A271" s="100">
        <v>239</v>
      </c>
      <c r="B271" s="101" t="s">
        <v>5990</v>
      </c>
      <c r="C271" s="102" t="s">
        <v>24</v>
      </c>
      <c r="D271" s="101" t="s">
        <v>6015</v>
      </c>
      <c r="E271" s="101" t="s">
        <v>6311</v>
      </c>
      <c r="F271" s="102" t="s">
        <v>78</v>
      </c>
      <c r="G271" s="103">
        <f>Спецификация!G4279</f>
        <v>210</v>
      </c>
      <c r="H271" s="104">
        <f>Спецификация!H4279</f>
        <v>0</v>
      </c>
      <c r="I271" s="104">
        <f>Спецификация!I4279</f>
        <v>0</v>
      </c>
      <c r="J271" s="100">
        <v>4279</v>
      </c>
      <c r="K271" s="102" t="str">
        <f t="shared" si="9"/>
        <v>НЕТ ЦЕНЫ</v>
      </c>
      <c r="L271" s="101" t="s">
        <v>6305</v>
      </c>
    </row>
    <row r="272" spans="1:12" ht="51" x14ac:dyDescent="0.25">
      <c r="A272" s="100">
        <v>240</v>
      </c>
      <c r="B272" s="101" t="s">
        <v>5990</v>
      </c>
      <c r="C272" s="102" t="s">
        <v>5711</v>
      </c>
      <c r="D272" s="101" t="s">
        <v>6017</v>
      </c>
      <c r="E272" s="101" t="s">
        <v>6311</v>
      </c>
      <c r="F272" s="102" t="s">
        <v>1878</v>
      </c>
      <c r="G272" s="103">
        <f>Спецификация!G4280</f>
        <v>9</v>
      </c>
      <c r="H272" s="104">
        <f>Спецификация!H4280</f>
        <v>4000</v>
      </c>
      <c r="I272" s="104">
        <f>Спецификация!I4280</f>
        <v>36000</v>
      </c>
      <c r="J272" s="100">
        <v>4280</v>
      </c>
      <c r="K272" s="102" t="str">
        <f t="shared" si="9"/>
        <v>проценено</v>
      </c>
      <c r="L272" s="101" t="s">
        <v>6305</v>
      </c>
    </row>
    <row r="273" spans="1:12" ht="51" x14ac:dyDescent="0.25">
      <c r="A273" s="100">
        <v>241</v>
      </c>
      <c r="B273" s="101" t="s">
        <v>5990</v>
      </c>
      <c r="C273" s="102" t="s">
        <v>5713</v>
      </c>
      <c r="D273" s="101" t="s">
        <v>6018</v>
      </c>
      <c r="E273" s="101" t="s">
        <v>6311</v>
      </c>
      <c r="F273" s="102" t="s">
        <v>315</v>
      </c>
      <c r="G273" s="103">
        <f>Спецификация!G4281</f>
        <v>6.3</v>
      </c>
      <c r="H273" s="104">
        <f>Спецификация!H4281</f>
        <v>4000</v>
      </c>
      <c r="I273" s="104">
        <f>Спецификация!I4281</f>
        <v>25200</v>
      </c>
      <c r="J273" s="100">
        <v>4281</v>
      </c>
      <c r="K273" s="102" t="str">
        <f t="shared" si="9"/>
        <v>проценено</v>
      </c>
      <c r="L273" s="101" t="s">
        <v>6305</v>
      </c>
    </row>
    <row r="274" spans="1:12" ht="51" x14ac:dyDescent="0.25">
      <c r="A274" s="100">
        <v>242</v>
      </c>
      <c r="B274" s="101" t="s">
        <v>5990</v>
      </c>
      <c r="C274" s="102" t="s">
        <v>6019</v>
      </c>
      <c r="D274" s="101" t="s">
        <v>6020</v>
      </c>
      <c r="E274" s="101" t="s">
        <v>6311</v>
      </c>
      <c r="F274" s="102" t="s">
        <v>78</v>
      </c>
      <c r="G274" s="103">
        <f>Спецификация!G4282</f>
        <v>1</v>
      </c>
      <c r="H274" s="104">
        <f>Спецификация!H4282</f>
        <v>1091123</v>
      </c>
      <c r="I274" s="104">
        <f>Спецификация!I4282</f>
        <v>1091123</v>
      </c>
      <c r="J274" s="100">
        <v>4282</v>
      </c>
      <c r="K274" s="102" t="str">
        <f t="shared" si="9"/>
        <v>проценено</v>
      </c>
      <c r="L274" s="101" t="s">
        <v>6305</v>
      </c>
    </row>
    <row r="275" spans="1:12" ht="51" x14ac:dyDescent="0.25">
      <c r="A275" s="100">
        <v>243</v>
      </c>
      <c r="B275" s="101" t="s">
        <v>5990</v>
      </c>
      <c r="C275" s="102" t="s">
        <v>2517</v>
      </c>
      <c r="D275" s="101" t="s">
        <v>6021</v>
      </c>
      <c r="E275" s="101" t="s">
        <v>6311</v>
      </c>
      <c r="F275" s="102" t="s">
        <v>78</v>
      </c>
      <c r="G275" s="103">
        <f>Спецификация!G4283</f>
        <v>20</v>
      </c>
      <c r="H275" s="104">
        <f>Спецификация!H4283</f>
        <v>45000</v>
      </c>
      <c r="I275" s="104">
        <f>Спецификация!I4283</f>
        <v>900000</v>
      </c>
      <c r="J275" s="100">
        <v>4283</v>
      </c>
      <c r="K275" s="102" t="str">
        <f t="shared" si="9"/>
        <v>проценено</v>
      </c>
      <c r="L275" s="101" t="s">
        <v>6305</v>
      </c>
    </row>
    <row r="276" spans="1:12" ht="51" x14ac:dyDescent="0.25">
      <c r="A276" s="100">
        <v>244</v>
      </c>
      <c r="B276" s="101" t="s">
        <v>5990</v>
      </c>
      <c r="C276" s="102" t="s">
        <v>6022</v>
      </c>
      <c r="D276" s="101" t="s">
        <v>6023</v>
      </c>
      <c r="E276" s="101" t="s">
        <v>6311</v>
      </c>
      <c r="F276" s="102" t="s">
        <v>78</v>
      </c>
      <c r="G276" s="103">
        <f>Спецификация!G4284</f>
        <v>4</v>
      </c>
      <c r="H276" s="104">
        <f>Спецификация!H4284</f>
        <v>5000</v>
      </c>
      <c r="I276" s="104">
        <f>Спецификация!I4284</f>
        <v>20000</v>
      </c>
      <c r="J276" s="100">
        <v>4284</v>
      </c>
      <c r="K276" s="102" t="str">
        <f t="shared" si="9"/>
        <v>проценено</v>
      </c>
      <c r="L276" s="101" t="s">
        <v>6305</v>
      </c>
    </row>
    <row r="277" spans="1:12" ht="51" x14ac:dyDescent="0.25">
      <c r="A277" s="100">
        <v>245</v>
      </c>
      <c r="B277" s="101" t="s">
        <v>5990</v>
      </c>
      <c r="C277" s="102" t="s">
        <v>5590</v>
      </c>
      <c r="D277" s="101" t="s">
        <v>6024</v>
      </c>
      <c r="E277" s="101" t="s">
        <v>6311</v>
      </c>
      <c r="F277" s="102" t="s">
        <v>78</v>
      </c>
      <c r="G277" s="103">
        <f>Спецификация!G4285</f>
        <v>10</v>
      </c>
      <c r="H277" s="104">
        <f>Спецификация!H4285</f>
        <v>22500</v>
      </c>
      <c r="I277" s="104">
        <f>Спецификация!I4285</f>
        <v>225000</v>
      </c>
      <c r="J277" s="100">
        <v>4285</v>
      </c>
      <c r="K277" s="102" t="str">
        <f t="shared" si="9"/>
        <v>проценено</v>
      </c>
      <c r="L277" s="101" t="s">
        <v>6305</v>
      </c>
    </row>
    <row r="278" spans="1:12" ht="51" x14ac:dyDescent="0.25">
      <c r="A278" s="100">
        <v>246</v>
      </c>
      <c r="B278" s="101" t="s">
        <v>5990</v>
      </c>
      <c r="C278" s="102" t="s">
        <v>30</v>
      </c>
      <c r="D278" s="101" t="s">
        <v>6025</v>
      </c>
      <c r="E278" s="101" t="s">
        <v>6311</v>
      </c>
      <c r="F278" s="102" t="s">
        <v>78</v>
      </c>
      <c r="G278" s="103">
        <f>Спецификация!G4286</f>
        <v>2</v>
      </c>
      <c r="H278" s="104">
        <f>Спецификация!H4286</f>
        <v>185000</v>
      </c>
      <c r="I278" s="104">
        <f>Спецификация!I4286</f>
        <v>370000</v>
      </c>
      <c r="J278" s="100">
        <v>4286</v>
      </c>
      <c r="K278" s="102" t="str">
        <f t="shared" si="9"/>
        <v>проценено</v>
      </c>
      <c r="L278" s="101" t="s">
        <v>6305</v>
      </c>
    </row>
    <row r="279" spans="1:12" ht="51" x14ac:dyDescent="0.25">
      <c r="A279" s="100">
        <v>247</v>
      </c>
      <c r="B279" s="101" t="s">
        <v>5990</v>
      </c>
      <c r="C279" s="102" t="s">
        <v>6026</v>
      </c>
      <c r="D279" s="101" t="s">
        <v>6027</v>
      </c>
      <c r="E279" s="101" t="s">
        <v>6311</v>
      </c>
      <c r="F279" s="102" t="s">
        <v>78</v>
      </c>
      <c r="G279" s="103">
        <f>Спецификация!G4287</f>
        <v>7</v>
      </c>
      <c r="H279" s="104">
        <f>Спецификация!H4287</f>
        <v>0</v>
      </c>
      <c r="I279" s="104">
        <f>Спецификация!I4287</f>
        <v>0</v>
      </c>
      <c r="J279" s="100">
        <v>4287</v>
      </c>
      <c r="K279" s="102" t="str">
        <f t="shared" si="9"/>
        <v>НЕТ ЦЕНЫ</v>
      </c>
      <c r="L279" s="101" t="s">
        <v>6305</v>
      </c>
    </row>
    <row r="280" spans="1:12" ht="51" x14ac:dyDescent="0.25">
      <c r="A280" s="100">
        <v>248</v>
      </c>
      <c r="B280" s="101" t="s">
        <v>5990</v>
      </c>
      <c r="C280" s="102" t="s">
        <v>6028</v>
      </c>
      <c r="D280" s="101" t="s">
        <v>6029</v>
      </c>
      <c r="E280" s="101" t="s">
        <v>6311</v>
      </c>
      <c r="F280" s="102" t="s">
        <v>78</v>
      </c>
      <c r="G280" s="103">
        <f>Спецификация!G4288</f>
        <v>9</v>
      </c>
      <c r="H280" s="104">
        <f>Спецификация!H4288</f>
        <v>0</v>
      </c>
      <c r="I280" s="104">
        <f>Спецификация!I4288</f>
        <v>0</v>
      </c>
      <c r="J280" s="100">
        <v>4288</v>
      </c>
      <c r="K280" s="102" t="str">
        <f t="shared" si="9"/>
        <v>НЕТ ЦЕНЫ</v>
      </c>
      <c r="L280" s="101" t="s">
        <v>6305</v>
      </c>
    </row>
    <row r="281" spans="1:12" ht="51" x14ac:dyDescent="0.25">
      <c r="A281" s="100">
        <v>249</v>
      </c>
      <c r="B281" s="101" t="s">
        <v>5990</v>
      </c>
      <c r="C281" s="102" t="s">
        <v>6030</v>
      </c>
      <c r="D281" s="101" t="s">
        <v>6031</v>
      </c>
      <c r="E281" s="101" t="s">
        <v>6311</v>
      </c>
      <c r="F281" s="102" t="s">
        <v>78</v>
      </c>
      <c r="G281" s="103">
        <f>Спецификация!G4289</f>
        <v>15</v>
      </c>
      <c r="H281" s="104">
        <f>Спецификация!H4289</f>
        <v>63000</v>
      </c>
      <c r="I281" s="104">
        <f>Спецификация!I4289</f>
        <v>945000</v>
      </c>
      <c r="J281" s="100">
        <v>4289</v>
      </c>
      <c r="K281" s="102" t="str">
        <f t="shared" si="9"/>
        <v>проценено</v>
      </c>
      <c r="L281" s="101" t="s">
        <v>6305</v>
      </c>
    </row>
    <row r="282" spans="1:12" ht="51" x14ac:dyDescent="0.25">
      <c r="A282" s="100">
        <v>250</v>
      </c>
      <c r="B282" s="101" t="s">
        <v>5990</v>
      </c>
      <c r="C282" s="102" t="s">
        <v>6032</v>
      </c>
      <c r="D282" s="101" t="s">
        <v>6033</v>
      </c>
      <c r="E282" s="101" t="s">
        <v>6312</v>
      </c>
      <c r="F282" s="102" t="s">
        <v>78</v>
      </c>
      <c r="G282" s="103">
        <f>Спецификация!G4290</f>
        <v>2</v>
      </c>
      <c r="H282" s="104">
        <f>Спецификация!H4290</f>
        <v>50000</v>
      </c>
      <c r="I282" s="104">
        <f>Спецификация!I4290</f>
        <v>100000</v>
      </c>
      <c r="J282" s="100">
        <v>4290</v>
      </c>
      <c r="K282" s="102" t="str">
        <f t="shared" si="9"/>
        <v>проценено</v>
      </c>
      <c r="L282" s="101" t="s">
        <v>6305</v>
      </c>
    </row>
    <row r="283" spans="1:12" ht="51" x14ac:dyDescent="0.25">
      <c r="A283" s="100">
        <v>251</v>
      </c>
      <c r="B283" s="101" t="s">
        <v>5990</v>
      </c>
      <c r="C283" s="102" t="s">
        <v>6035</v>
      </c>
      <c r="D283" s="101" t="s">
        <v>6036</v>
      </c>
      <c r="E283" s="101" t="s">
        <v>6312</v>
      </c>
      <c r="F283" s="102" t="s">
        <v>78</v>
      </c>
      <c r="G283" s="103">
        <f>Спецификация!G4291</f>
        <v>3</v>
      </c>
      <c r="H283" s="104">
        <f>Спецификация!H4291</f>
        <v>570100</v>
      </c>
      <c r="I283" s="104">
        <f>Спецификация!I4291</f>
        <v>1710300</v>
      </c>
      <c r="J283" s="100">
        <v>4291</v>
      </c>
      <c r="K283" s="102" t="str">
        <f t="shared" si="9"/>
        <v>проценено</v>
      </c>
      <c r="L283" s="101" t="s">
        <v>6305</v>
      </c>
    </row>
    <row r="284" spans="1:12" ht="51" x14ac:dyDescent="0.25">
      <c r="A284" s="100">
        <v>252</v>
      </c>
      <c r="B284" s="101" t="s">
        <v>5990</v>
      </c>
      <c r="C284" s="102" t="s">
        <v>5716</v>
      </c>
      <c r="D284" s="101" t="s">
        <v>6037</v>
      </c>
      <c r="E284" s="101" t="s">
        <v>6312</v>
      </c>
      <c r="F284" s="102" t="s">
        <v>78</v>
      </c>
      <c r="G284" s="103">
        <f>Спецификация!G4292</f>
        <v>1</v>
      </c>
      <c r="H284" s="104">
        <f>Спецификация!H4292</f>
        <v>221800</v>
      </c>
      <c r="I284" s="104">
        <f>Спецификация!I4292</f>
        <v>221800</v>
      </c>
      <c r="J284" s="100">
        <v>4292</v>
      </c>
      <c r="K284" s="102" t="str">
        <f t="shared" si="9"/>
        <v>проценено</v>
      </c>
      <c r="L284" s="101" t="s">
        <v>6305</v>
      </c>
    </row>
    <row r="285" spans="1:12" x14ac:dyDescent="0.25">
      <c r="A285" s="105"/>
      <c r="B285" s="105"/>
      <c r="C285" s="105"/>
      <c r="D285" s="106" t="s">
        <v>6121</v>
      </c>
      <c r="E285" s="105"/>
      <c r="F285" s="105"/>
      <c r="G285" s="105"/>
      <c r="H285" s="105"/>
      <c r="I285" s="107">
        <f>SUM(I253:I284)</f>
        <v>6162406</v>
      </c>
      <c r="J285" s="105"/>
      <c r="K285" s="105"/>
      <c r="L285" s="105"/>
    </row>
    <row r="287" spans="1:12" x14ac:dyDescent="0.25">
      <c r="A287" s="153" t="s">
        <v>6313</v>
      </c>
      <c r="B287" s="153"/>
      <c r="C287" s="153"/>
      <c r="D287" s="153"/>
      <c r="E287" s="153"/>
      <c r="F287" s="153"/>
      <c r="G287" s="153"/>
      <c r="H287" s="153"/>
      <c r="I287" s="153"/>
      <c r="J287" s="153"/>
      <c r="K287" s="153"/>
      <c r="L287" s="153"/>
    </row>
    <row r="288" spans="1:12" ht="63.75" x14ac:dyDescent="0.25">
      <c r="A288" s="100">
        <v>253</v>
      </c>
      <c r="B288" s="101" t="s">
        <v>6038</v>
      </c>
      <c r="C288" s="102" t="s">
        <v>5663</v>
      </c>
      <c r="D288" s="101" t="s">
        <v>6039</v>
      </c>
      <c r="E288" s="101" t="s">
        <v>6314</v>
      </c>
      <c r="F288" s="102" t="s">
        <v>576</v>
      </c>
      <c r="G288" s="103">
        <f>Спецификация!G4295</f>
        <v>47.3</v>
      </c>
      <c r="H288" s="104">
        <f>Спецификация!H4295</f>
        <v>0</v>
      </c>
      <c r="I288" s="104">
        <f>Спецификация!I4295</f>
        <v>0</v>
      </c>
      <c r="J288" s="100">
        <v>4295</v>
      </c>
      <c r="K288" s="102" t="str">
        <f t="shared" ref="K288:K330" si="10">IF(H288=0,"НЕТ ЦЕНЫ","проценено")</f>
        <v>НЕТ ЦЕНЫ</v>
      </c>
      <c r="L288" s="101" t="s">
        <v>6315</v>
      </c>
    </row>
    <row r="289" spans="1:12" ht="63.75" x14ac:dyDescent="0.25">
      <c r="A289" s="100">
        <v>254</v>
      </c>
      <c r="B289" s="101" t="s">
        <v>6038</v>
      </c>
      <c r="C289" s="102" t="s">
        <v>5666</v>
      </c>
      <c r="D289" s="101" t="s">
        <v>5596</v>
      </c>
      <c r="E289" s="101" t="s">
        <v>6314</v>
      </c>
      <c r="F289" s="102" t="s">
        <v>315</v>
      </c>
      <c r="G289" s="103">
        <f>Спецификация!G4296</f>
        <v>34.1</v>
      </c>
      <c r="H289" s="104">
        <f>Спецификация!H4296</f>
        <v>1600</v>
      </c>
      <c r="I289" s="104">
        <f>Спецификация!I4296</f>
        <v>54560</v>
      </c>
      <c r="J289" s="100">
        <v>4296</v>
      </c>
      <c r="K289" s="102" t="str">
        <f t="shared" si="10"/>
        <v>проценено</v>
      </c>
      <c r="L289" s="101" t="s">
        <v>6315</v>
      </c>
    </row>
    <row r="290" spans="1:12" ht="63.75" x14ac:dyDescent="0.25">
      <c r="A290" s="100">
        <v>255</v>
      </c>
      <c r="B290" s="101" t="s">
        <v>6038</v>
      </c>
      <c r="C290" s="102" t="s">
        <v>34</v>
      </c>
      <c r="D290" s="101" t="s">
        <v>5596</v>
      </c>
      <c r="E290" s="101" t="s">
        <v>6314</v>
      </c>
      <c r="F290" s="102" t="s">
        <v>315</v>
      </c>
      <c r="G290" s="103">
        <f>Спецификация!G4297</f>
        <v>119.9</v>
      </c>
      <c r="H290" s="104">
        <f>Спецификация!H4297</f>
        <v>1600</v>
      </c>
      <c r="I290" s="104">
        <f>Спецификация!I4297</f>
        <v>191840</v>
      </c>
      <c r="J290" s="100">
        <v>4297</v>
      </c>
      <c r="K290" s="102" t="str">
        <f t="shared" si="10"/>
        <v>проценено</v>
      </c>
      <c r="L290" s="101" t="s">
        <v>6315</v>
      </c>
    </row>
    <row r="291" spans="1:12" ht="63.75" x14ac:dyDescent="0.25">
      <c r="A291" s="100">
        <v>256</v>
      </c>
      <c r="B291" s="101" t="s">
        <v>6038</v>
      </c>
      <c r="C291" s="102" t="s">
        <v>5611</v>
      </c>
      <c r="D291" s="101" t="s">
        <v>6041</v>
      </c>
      <c r="E291" s="101" t="s">
        <v>6316</v>
      </c>
      <c r="F291" s="102" t="s">
        <v>6042</v>
      </c>
      <c r="G291" s="103">
        <f>Спецификация!G4298</f>
        <v>88</v>
      </c>
      <c r="H291" s="104">
        <f>Спецификация!H4298</f>
        <v>0</v>
      </c>
      <c r="I291" s="104">
        <f>Спецификация!I4298</f>
        <v>0</v>
      </c>
      <c r="J291" s="100">
        <v>4298</v>
      </c>
      <c r="K291" s="102" t="str">
        <f t="shared" si="10"/>
        <v>НЕТ ЦЕНЫ</v>
      </c>
      <c r="L291" s="101" t="s">
        <v>6315</v>
      </c>
    </row>
    <row r="292" spans="1:12" ht="63.75" x14ac:dyDescent="0.25">
      <c r="A292" s="100">
        <v>257</v>
      </c>
      <c r="B292" s="101" t="s">
        <v>6038</v>
      </c>
      <c r="C292" s="102" t="s">
        <v>5618</v>
      </c>
      <c r="D292" s="101" t="s">
        <v>6039</v>
      </c>
      <c r="E292" s="101" t="s">
        <v>6107</v>
      </c>
      <c r="F292" s="102" t="s">
        <v>576</v>
      </c>
      <c r="G292" s="103">
        <f>Спецификация!G4299</f>
        <v>456.5</v>
      </c>
      <c r="H292" s="104">
        <f>Спецификация!H4299</f>
        <v>0</v>
      </c>
      <c r="I292" s="104">
        <f>Спецификация!I4299</f>
        <v>0</v>
      </c>
      <c r="J292" s="100">
        <v>4299</v>
      </c>
      <c r="K292" s="102" t="str">
        <f t="shared" si="10"/>
        <v>НЕТ ЦЕНЫ</v>
      </c>
      <c r="L292" s="101" t="s">
        <v>6315</v>
      </c>
    </row>
    <row r="293" spans="1:12" ht="63.75" x14ac:dyDescent="0.25">
      <c r="A293" s="100">
        <v>258</v>
      </c>
      <c r="B293" s="101" t="s">
        <v>6038</v>
      </c>
      <c r="C293" s="102" t="s">
        <v>5621</v>
      </c>
      <c r="D293" s="101" t="s">
        <v>5596</v>
      </c>
      <c r="E293" s="101" t="s">
        <v>6107</v>
      </c>
      <c r="F293" s="102" t="s">
        <v>315</v>
      </c>
      <c r="G293" s="103">
        <f>Спецификация!G4300</f>
        <v>172.7</v>
      </c>
      <c r="H293" s="104">
        <f>Спецификация!H4300</f>
        <v>1600</v>
      </c>
      <c r="I293" s="104">
        <f>Спецификация!I4300</f>
        <v>276320</v>
      </c>
      <c r="J293" s="100">
        <v>4300</v>
      </c>
      <c r="K293" s="102" t="str">
        <f t="shared" si="10"/>
        <v>проценено</v>
      </c>
      <c r="L293" s="101" t="s">
        <v>6315</v>
      </c>
    </row>
    <row r="294" spans="1:12" ht="63.75" x14ac:dyDescent="0.25">
      <c r="A294" s="100">
        <v>259</v>
      </c>
      <c r="B294" s="101" t="s">
        <v>6038</v>
      </c>
      <c r="C294" s="102" t="s">
        <v>5624</v>
      </c>
      <c r="D294" s="101" t="s">
        <v>5596</v>
      </c>
      <c r="E294" s="101" t="s">
        <v>6109</v>
      </c>
      <c r="F294" s="102" t="s">
        <v>315</v>
      </c>
      <c r="G294" s="103">
        <f>Спецификация!G4301</f>
        <v>603.9</v>
      </c>
      <c r="H294" s="104">
        <f>Спецификация!H4301</f>
        <v>1600</v>
      </c>
      <c r="I294" s="104">
        <f>Спецификация!I4301</f>
        <v>966240</v>
      </c>
      <c r="J294" s="100">
        <v>4301</v>
      </c>
      <c r="K294" s="102" t="str">
        <f t="shared" si="10"/>
        <v>проценено</v>
      </c>
      <c r="L294" s="101" t="s">
        <v>6315</v>
      </c>
    </row>
    <row r="295" spans="1:12" ht="63.75" x14ac:dyDescent="0.25">
      <c r="A295" s="100">
        <v>260</v>
      </c>
      <c r="B295" s="101" t="s">
        <v>6038</v>
      </c>
      <c r="C295" s="102" t="s">
        <v>5711</v>
      </c>
      <c r="D295" s="101" t="s">
        <v>6039</v>
      </c>
      <c r="E295" s="101" t="s">
        <v>6317</v>
      </c>
      <c r="F295" s="102" t="s">
        <v>576</v>
      </c>
      <c r="G295" s="103">
        <f>Спецификация!G4302</f>
        <v>38.192</v>
      </c>
      <c r="H295" s="104">
        <f>Спецификация!H4302</f>
        <v>0</v>
      </c>
      <c r="I295" s="104">
        <f>Спецификация!I4302</f>
        <v>0</v>
      </c>
      <c r="J295" s="100">
        <v>4302</v>
      </c>
      <c r="K295" s="102" t="str">
        <f t="shared" si="10"/>
        <v>НЕТ ЦЕНЫ</v>
      </c>
      <c r="L295" s="101" t="s">
        <v>6315</v>
      </c>
    </row>
    <row r="296" spans="1:12" ht="63.75" x14ac:dyDescent="0.25">
      <c r="A296" s="100">
        <v>261</v>
      </c>
      <c r="B296" s="101" t="s">
        <v>6038</v>
      </c>
      <c r="C296" s="102" t="s">
        <v>6019</v>
      </c>
      <c r="D296" s="101" t="s">
        <v>6047</v>
      </c>
      <c r="E296" s="101" t="s">
        <v>6109</v>
      </c>
      <c r="F296" s="102" t="s">
        <v>315</v>
      </c>
      <c r="G296" s="103">
        <f>Спецификация!G4303</f>
        <v>2.875</v>
      </c>
      <c r="H296" s="104">
        <f>Спецификация!H4303</f>
        <v>4000</v>
      </c>
      <c r="I296" s="104">
        <f>Спецификация!I4303</f>
        <v>11500</v>
      </c>
      <c r="J296" s="100">
        <v>4303</v>
      </c>
      <c r="K296" s="102" t="str">
        <f t="shared" si="10"/>
        <v>проценено</v>
      </c>
      <c r="L296" s="101" t="s">
        <v>6315</v>
      </c>
    </row>
    <row r="297" spans="1:12" ht="63.75" x14ac:dyDescent="0.25">
      <c r="A297" s="100">
        <v>262</v>
      </c>
      <c r="B297" s="101" t="s">
        <v>6038</v>
      </c>
      <c r="C297" s="102" t="s">
        <v>5663</v>
      </c>
      <c r="D297" s="101" t="s">
        <v>6039</v>
      </c>
      <c r="E297" s="101" t="s">
        <v>6318</v>
      </c>
      <c r="F297" s="102" t="s">
        <v>576</v>
      </c>
      <c r="G297" s="103">
        <f>Спецификация!G4304</f>
        <v>371.58</v>
      </c>
      <c r="H297" s="104">
        <f>Спецификация!H4304</f>
        <v>0</v>
      </c>
      <c r="I297" s="104">
        <f>Спецификация!I4304</f>
        <v>0</v>
      </c>
      <c r="J297" s="100">
        <v>4304</v>
      </c>
      <c r="K297" s="102" t="str">
        <f t="shared" si="10"/>
        <v>НЕТ ЦЕНЫ</v>
      </c>
      <c r="L297" s="101" t="s">
        <v>6319</v>
      </c>
    </row>
    <row r="298" spans="1:12" ht="63.75" x14ac:dyDescent="0.25">
      <c r="A298" s="100">
        <v>263</v>
      </c>
      <c r="B298" s="101" t="s">
        <v>6038</v>
      </c>
      <c r="C298" s="102" t="s">
        <v>5666</v>
      </c>
      <c r="D298" s="101" t="s">
        <v>5596</v>
      </c>
      <c r="E298" s="101" t="s">
        <v>6318</v>
      </c>
      <c r="F298" s="102" t="s">
        <v>315</v>
      </c>
      <c r="G298" s="103">
        <f>Спецификация!G4305</f>
        <v>161.69999999999999</v>
      </c>
      <c r="H298" s="104">
        <f>Спецификация!H4305</f>
        <v>1600</v>
      </c>
      <c r="I298" s="104">
        <f>Спецификация!I4305</f>
        <v>258719.99999999997</v>
      </c>
      <c r="J298" s="100">
        <v>4305</v>
      </c>
      <c r="K298" s="102" t="str">
        <f t="shared" si="10"/>
        <v>проценено</v>
      </c>
      <c r="L298" s="101" t="s">
        <v>6319</v>
      </c>
    </row>
    <row r="299" spans="1:12" ht="63.75" x14ac:dyDescent="0.25">
      <c r="A299" s="100">
        <v>264</v>
      </c>
      <c r="B299" s="101" t="s">
        <v>6038</v>
      </c>
      <c r="C299" s="102" t="s">
        <v>34</v>
      </c>
      <c r="D299" s="101" t="s">
        <v>5596</v>
      </c>
      <c r="E299" s="101" t="s">
        <v>6318</v>
      </c>
      <c r="F299" s="102" t="s">
        <v>315</v>
      </c>
      <c r="G299" s="103">
        <f>Спецификация!G4306</f>
        <v>525.79999999999995</v>
      </c>
      <c r="H299" s="104">
        <f>Спецификация!H4306</f>
        <v>1600</v>
      </c>
      <c r="I299" s="104">
        <f>Спецификация!I4306</f>
        <v>841279.99999999988</v>
      </c>
      <c r="J299" s="100">
        <v>4306</v>
      </c>
      <c r="K299" s="102" t="str">
        <f t="shared" si="10"/>
        <v>проценено</v>
      </c>
      <c r="L299" s="101" t="s">
        <v>6319</v>
      </c>
    </row>
    <row r="300" spans="1:12" ht="63.75" x14ac:dyDescent="0.25">
      <c r="A300" s="100">
        <v>265</v>
      </c>
      <c r="B300" s="101" t="s">
        <v>6038</v>
      </c>
      <c r="C300" s="102" t="s">
        <v>5611</v>
      </c>
      <c r="D300" s="101" t="s">
        <v>6039</v>
      </c>
      <c r="E300" s="101" t="s">
        <v>6113</v>
      </c>
      <c r="F300" s="102" t="s">
        <v>576</v>
      </c>
      <c r="G300" s="103">
        <f>Спецификация!G4307</f>
        <v>64.02</v>
      </c>
      <c r="H300" s="104">
        <f>Спецификация!H4307</f>
        <v>0</v>
      </c>
      <c r="I300" s="104">
        <f>Спецификация!I4307</f>
        <v>0</v>
      </c>
      <c r="J300" s="100">
        <v>4307</v>
      </c>
      <c r="K300" s="102" t="str">
        <f t="shared" si="10"/>
        <v>НЕТ ЦЕНЫ</v>
      </c>
      <c r="L300" s="101" t="s">
        <v>6319</v>
      </c>
    </row>
    <row r="301" spans="1:12" ht="63.75" x14ac:dyDescent="0.25">
      <c r="A301" s="100">
        <v>266</v>
      </c>
      <c r="B301" s="101" t="s">
        <v>6038</v>
      </c>
      <c r="C301" s="102" t="s">
        <v>5618</v>
      </c>
      <c r="D301" s="101" t="s">
        <v>6047</v>
      </c>
      <c r="E301" s="101" t="s">
        <v>6113</v>
      </c>
      <c r="F301" s="102" t="s">
        <v>315</v>
      </c>
      <c r="G301" s="103">
        <f>Спецификация!G4308</f>
        <v>3.5</v>
      </c>
      <c r="H301" s="104">
        <f>Спецификация!H4308</f>
        <v>4000</v>
      </c>
      <c r="I301" s="104">
        <f>Спецификация!I4308</f>
        <v>14000</v>
      </c>
      <c r="J301" s="100">
        <v>4308</v>
      </c>
      <c r="K301" s="102" t="str">
        <f t="shared" si="10"/>
        <v>проценено</v>
      </c>
      <c r="L301" s="101" t="s">
        <v>6319</v>
      </c>
    </row>
    <row r="302" spans="1:12" ht="63.75" x14ac:dyDescent="0.25">
      <c r="A302" s="100">
        <v>267</v>
      </c>
      <c r="B302" s="101" t="s">
        <v>6038</v>
      </c>
      <c r="C302" s="102" t="s">
        <v>38</v>
      </c>
      <c r="D302" s="101" t="s">
        <v>6041</v>
      </c>
      <c r="E302" s="101" t="s">
        <v>6320</v>
      </c>
      <c r="F302" s="102" t="s">
        <v>6042</v>
      </c>
      <c r="G302" s="103">
        <f>Спецификация!G4309</f>
        <v>132</v>
      </c>
      <c r="H302" s="104">
        <f>Спецификация!H4309</f>
        <v>0</v>
      </c>
      <c r="I302" s="104">
        <f>Спецификация!I4309</f>
        <v>0</v>
      </c>
      <c r="J302" s="100">
        <v>4309</v>
      </c>
      <c r="K302" s="102" t="str">
        <f t="shared" si="10"/>
        <v>НЕТ ЦЕНЫ</v>
      </c>
      <c r="L302" s="101" t="s">
        <v>6319</v>
      </c>
    </row>
    <row r="303" spans="1:12" ht="63.75" x14ac:dyDescent="0.25">
      <c r="A303" s="100">
        <v>268</v>
      </c>
      <c r="B303" s="101" t="s">
        <v>6038</v>
      </c>
      <c r="C303" s="102" t="s">
        <v>6051</v>
      </c>
      <c r="D303" s="101" t="s">
        <v>6039</v>
      </c>
      <c r="E303" s="101" t="s">
        <v>6318</v>
      </c>
      <c r="F303" s="102" t="s">
        <v>576</v>
      </c>
      <c r="G303" s="103">
        <f>Спецификация!G4310</f>
        <v>255.86</v>
      </c>
      <c r="H303" s="104">
        <f>Спецификация!H4310</f>
        <v>0</v>
      </c>
      <c r="I303" s="104">
        <f>Спецификация!I4310</f>
        <v>0</v>
      </c>
      <c r="J303" s="100">
        <v>4310</v>
      </c>
      <c r="K303" s="102" t="str">
        <f t="shared" si="10"/>
        <v>НЕТ ЦЕНЫ</v>
      </c>
      <c r="L303" s="101" t="s">
        <v>6319</v>
      </c>
    </row>
    <row r="304" spans="1:12" ht="63.75" x14ac:dyDescent="0.25">
      <c r="A304" s="100">
        <v>269</v>
      </c>
      <c r="B304" s="101" t="s">
        <v>6038</v>
      </c>
      <c r="C304" s="102" t="s">
        <v>6052</v>
      </c>
      <c r="D304" s="101" t="s">
        <v>5596</v>
      </c>
      <c r="E304" s="101" t="s">
        <v>6318</v>
      </c>
      <c r="F304" s="102" t="s">
        <v>315</v>
      </c>
      <c r="G304" s="103">
        <f>Спецификация!G4311</f>
        <v>73.7</v>
      </c>
      <c r="H304" s="104">
        <f>Спецификация!H4311</f>
        <v>1600</v>
      </c>
      <c r="I304" s="104">
        <f>Спецификация!I4311</f>
        <v>117920</v>
      </c>
      <c r="J304" s="100">
        <v>4311</v>
      </c>
      <c r="K304" s="102" t="str">
        <f t="shared" si="10"/>
        <v>проценено</v>
      </c>
      <c r="L304" s="101" t="s">
        <v>6319</v>
      </c>
    </row>
    <row r="305" spans="1:12" ht="63.75" x14ac:dyDescent="0.25">
      <c r="A305" s="100">
        <v>270</v>
      </c>
      <c r="B305" s="101" t="s">
        <v>6038</v>
      </c>
      <c r="C305" s="102" t="s">
        <v>5713</v>
      </c>
      <c r="D305" s="101" t="s">
        <v>5596</v>
      </c>
      <c r="E305" s="101" t="s">
        <v>6318</v>
      </c>
      <c r="F305" s="102" t="s">
        <v>315</v>
      </c>
      <c r="G305" s="103">
        <f>Спецификация!G4312</f>
        <v>239.8</v>
      </c>
      <c r="H305" s="104">
        <f>Спецификация!H4312</f>
        <v>1600</v>
      </c>
      <c r="I305" s="104">
        <f>Спецификация!I4312</f>
        <v>383680</v>
      </c>
      <c r="J305" s="100">
        <v>4312</v>
      </c>
      <c r="K305" s="102" t="str">
        <f t="shared" si="10"/>
        <v>проценено</v>
      </c>
      <c r="L305" s="101" t="s">
        <v>6319</v>
      </c>
    </row>
    <row r="306" spans="1:12" ht="63.75" x14ac:dyDescent="0.25">
      <c r="A306" s="100">
        <v>271</v>
      </c>
      <c r="B306" s="101" t="s">
        <v>6038</v>
      </c>
      <c r="C306" s="102" t="s">
        <v>6028</v>
      </c>
      <c r="D306" s="101" t="s">
        <v>6039</v>
      </c>
      <c r="E306" s="101" t="s">
        <v>6318</v>
      </c>
      <c r="F306" s="102" t="s">
        <v>576</v>
      </c>
      <c r="G306" s="103">
        <f>Спецификация!G4313</f>
        <v>55</v>
      </c>
      <c r="H306" s="104">
        <f>Спецификация!H4313</f>
        <v>0</v>
      </c>
      <c r="I306" s="104">
        <f>Спецификация!I4313</f>
        <v>0</v>
      </c>
      <c r="J306" s="100">
        <v>4313</v>
      </c>
      <c r="K306" s="102" t="str">
        <f t="shared" si="10"/>
        <v>НЕТ ЦЕНЫ</v>
      </c>
      <c r="L306" s="101" t="s">
        <v>6319</v>
      </c>
    </row>
    <row r="307" spans="1:12" ht="63.75" x14ac:dyDescent="0.25">
      <c r="A307" s="100">
        <v>272</v>
      </c>
      <c r="B307" s="101" t="s">
        <v>6038</v>
      </c>
      <c r="C307" s="102" t="s">
        <v>6032</v>
      </c>
      <c r="D307" s="101" t="s">
        <v>6047</v>
      </c>
      <c r="E307" s="101" t="s">
        <v>6113</v>
      </c>
      <c r="F307" s="102" t="s">
        <v>315</v>
      </c>
      <c r="G307" s="103">
        <f>Спецификация!G4314</f>
        <v>2</v>
      </c>
      <c r="H307" s="104">
        <f>Спецификация!H4314</f>
        <v>4000</v>
      </c>
      <c r="I307" s="104">
        <f>Спецификация!I4314</f>
        <v>8000</v>
      </c>
      <c r="J307" s="100">
        <v>4314</v>
      </c>
      <c r="K307" s="102" t="str">
        <f t="shared" si="10"/>
        <v>проценено</v>
      </c>
      <c r="L307" s="101" t="s">
        <v>6319</v>
      </c>
    </row>
    <row r="308" spans="1:12" ht="63.75" x14ac:dyDescent="0.25">
      <c r="A308" s="100">
        <v>273</v>
      </c>
      <c r="B308" s="101" t="s">
        <v>6038</v>
      </c>
      <c r="C308" s="102" t="s">
        <v>6053</v>
      </c>
      <c r="D308" s="101" t="s">
        <v>6039</v>
      </c>
      <c r="E308" s="101" t="s">
        <v>6321</v>
      </c>
      <c r="F308" s="102" t="s">
        <v>576</v>
      </c>
      <c r="G308" s="103">
        <f>Спецификация!G4315</f>
        <v>21.12</v>
      </c>
      <c r="H308" s="104">
        <f>Спецификация!H4315</f>
        <v>0</v>
      </c>
      <c r="I308" s="104">
        <f>Спецификация!I4315</f>
        <v>0</v>
      </c>
      <c r="J308" s="100">
        <v>4315</v>
      </c>
      <c r="K308" s="102" t="str">
        <f t="shared" si="10"/>
        <v>НЕТ ЦЕНЫ</v>
      </c>
      <c r="L308" s="101" t="s">
        <v>6319</v>
      </c>
    </row>
    <row r="309" spans="1:12" ht="63.75" x14ac:dyDescent="0.25">
      <c r="A309" s="100">
        <v>274</v>
      </c>
      <c r="B309" s="101" t="s">
        <v>6038</v>
      </c>
      <c r="C309" s="102" t="s">
        <v>5722</v>
      </c>
      <c r="D309" s="101" t="s">
        <v>6041</v>
      </c>
      <c r="E309" s="101" t="s">
        <v>6322</v>
      </c>
      <c r="F309" s="102" t="s">
        <v>6042</v>
      </c>
      <c r="G309" s="103">
        <f>Спецификация!G4316</f>
        <v>152</v>
      </c>
      <c r="H309" s="104">
        <f>Спецификация!H4316</f>
        <v>0</v>
      </c>
      <c r="I309" s="104">
        <f>Спецификация!I4316</f>
        <v>0</v>
      </c>
      <c r="J309" s="100">
        <v>4316</v>
      </c>
      <c r="K309" s="102" t="str">
        <f t="shared" si="10"/>
        <v>НЕТ ЦЕНЫ</v>
      </c>
      <c r="L309" s="101" t="s">
        <v>6319</v>
      </c>
    </row>
    <row r="310" spans="1:12" ht="63.75" x14ac:dyDescent="0.25">
      <c r="A310" s="100">
        <v>275</v>
      </c>
      <c r="B310" s="101" t="s">
        <v>6038</v>
      </c>
      <c r="C310" s="102" t="s">
        <v>6056</v>
      </c>
      <c r="D310" s="101" t="s">
        <v>6039</v>
      </c>
      <c r="E310" s="101" t="s">
        <v>6323</v>
      </c>
      <c r="F310" s="102" t="s">
        <v>576</v>
      </c>
      <c r="G310" s="103">
        <f>Спецификация!G4317</f>
        <v>910.58</v>
      </c>
      <c r="H310" s="104">
        <f>Спецификация!H4317</f>
        <v>0</v>
      </c>
      <c r="I310" s="104">
        <f>Спецификация!I4317</f>
        <v>0</v>
      </c>
      <c r="J310" s="100">
        <v>4317</v>
      </c>
      <c r="K310" s="102" t="str">
        <f t="shared" si="10"/>
        <v>НЕТ ЦЕНЫ</v>
      </c>
      <c r="L310" s="101" t="s">
        <v>6319</v>
      </c>
    </row>
    <row r="311" spans="1:12" ht="63.75" x14ac:dyDescent="0.25">
      <c r="A311" s="100">
        <v>276</v>
      </c>
      <c r="B311" s="101" t="s">
        <v>6038</v>
      </c>
      <c r="C311" s="102" t="s">
        <v>5631</v>
      </c>
      <c r="D311" s="101" t="s">
        <v>5596</v>
      </c>
      <c r="E311" s="101" t="s">
        <v>6323</v>
      </c>
      <c r="F311" s="102" t="s">
        <v>315</v>
      </c>
      <c r="G311" s="103">
        <f>Спецификация!G4318</f>
        <v>305.8</v>
      </c>
      <c r="H311" s="104">
        <f>Спецификация!H4318</f>
        <v>1600</v>
      </c>
      <c r="I311" s="104">
        <f>Спецификация!I4318</f>
        <v>489280</v>
      </c>
      <c r="J311" s="100">
        <v>4318</v>
      </c>
      <c r="K311" s="102" t="str">
        <f t="shared" si="10"/>
        <v>проценено</v>
      </c>
      <c r="L311" s="101" t="s">
        <v>6319</v>
      </c>
    </row>
    <row r="312" spans="1:12" ht="63.75" x14ac:dyDescent="0.25">
      <c r="A312" s="100">
        <v>277</v>
      </c>
      <c r="B312" s="101" t="s">
        <v>6038</v>
      </c>
      <c r="C312" s="102" t="s">
        <v>6058</v>
      </c>
      <c r="D312" s="101" t="s">
        <v>5596</v>
      </c>
      <c r="E312" s="101" t="s">
        <v>6323</v>
      </c>
      <c r="F312" s="102" t="s">
        <v>315</v>
      </c>
      <c r="G312" s="103">
        <f>Спецификация!G4319</f>
        <v>1070.3</v>
      </c>
      <c r="H312" s="104">
        <f>Спецификация!H4319</f>
        <v>1600</v>
      </c>
      <c r="I312" s="104">
        <f>Спецификация!I4319</f>
        <v>1712480</v>
      </c>
      <c r="J312" s="100">
        <v>4319</v>
      </c>
      <c r="K312" s="102" t="str">
        <f t="shared" si="10"/>
        <v>проценено</v>
      </c>
      <c r="L312" s="101" t="s">
        <v>6319</v>
      </c>
    </row>
    <row r="313" spans="1:12" ht="63.75" x14ac:dyDescent="0.25">
      <c r="A313" s="100">
        <v>278</v>
      </c>
      <c r="B313" s="101" t="s">
        <v>6038</v>
      </c>
      <c r="C313" s="102" t="s">
        <v>6059</v>
      </c>
      <c r="D313" s="101" t="s">
        <v>6039</v>
      </c>
      <c r="E313" s="101" t="s">
        <v>6323</v>
      </c>
      <c r="F313" s="102" t="s">
        <v>576</v>
      </c>
      <c r="G313" s="103">
        <f>Спецификация!G4320</f>
        <v>198.66</v>
      </c>
      <c r="H313" s="104">
        <f>Спецификация!H4320</f>
        <v>0</v>
      </c>
      <c r="I313" s="104">
        <f>Спецификация!I4320</f>
        <v>0</v>
      </c>
      <c r="J313" s="100">
        <v>4320</v>
      </c>
      <c r="K313" s="102" t="str">
        <f t="shared" si="10"/>
        <v>НЕТ ЦЕНЫ</v>
      </c>
      <c r="L313" s="101" t="s">
        <v>6319</v>
      </c>
    </row>
    <row r="314" spans="1:12" ht="63.75" x14ac:dyDescent="0.25">
      <c r="A314" s="100">
        <v>279</v>
      </c>
      <c r="B314" s="101" t="s">
        <v>6038</v>
      </c>
      <c r="C314" s="102" t="s">
        <v>6060</v>
      </c>
      <c r="D314" s="101" t="s">
        <v>6047</v>
      </c>
      <c r="E314" s="101" t="s">
        <v>6114</v>
      </c>
      <c r="F314" s="102" t="s">
        <v>315</v>
      </c>
      <c r="G314" s="103">
        <f>Спецификация!G4321</f>
        <v>7.75</v>
      </c>
      <c r="H314" s="104">
        <f>Спецификация!H4321</f>
        <v>4000</v>
      </c>
      <c r="I314" s="104">
        <f>Спецификация!I4321</f>
        <v>31000</v>
      </c>
      <c r="J314" s="100">
        <v>4321</v>
      </c>
      <c r="K314" s="102" t="str">
        <f t="shared" si="10"/>
        <v>проценено</v>
      </c>
      <c r="L314" s="101" t="s">
        <v>6319</v>
      </c>
    </row>
    <row r="315" spans="1:12" ht="63.75" x14ac:dyDescent="0.25">
      <c r="A315" s="100">
        <v>280</v>
      </c>
      <c r="B315" s="101" t="s">
        <v>6038</v>
      </c>
      <c r="C315" s="102" t="s">
        <v>36</v>
      </c>
      <c r="D315" s="101" t="s">
        <v>6039</v>
      </c>
      <c r="E315" s="101" t="s">
        <v>6324</v>
      </c>
      <c r="F315" s="102" t="s">
        <v>576</v>
      </c>
      <c r="G315" s="103">
        <f>Спецификация!G4322</f>
        <v>89.1</v>
      </c>
      <c r="H315" s="104">
        <f>Спецификация!H4322</f>
        <v>0</v>
      </c>
      <c r="I315" s="104">
        <f>Спецификация!I4322</f>
        <v>0</v>
      </c>
      <c r="J315" s="100">
        <v>4322</v>
      </c>
      <c r="K315" s="102" t="str">
        <f t="shared" si="10"/>
        <v>НЕТ ЦЕНЫ</v>
      </c>
      <c r="L315" s="101" t="s">
        <v>6325</v>
      </c>
    </row>
    <row r="316" spans="1:12" ht="63.75" x14ac:dyDescent="0.25">
      <c r="A316" s="100">
        <v>281</v>
      </c>
      <c r="B316" s="101" t="s">
        <v>6038</v>
      </c>
      <c r="C316" s="102" t="s">
        <v>5595</v>
      </c>
      <c r="D316" s="101" t="s">
        <v>5596</v>
      </c>
      <c r="E316" s="101" t="s">
        <v>6324</v>
      </c>
      <c r="F316" s="102" t="s">
        <v>315</v>
      </c>
      <c r="G316" s="103">
        <f>Спецификация!G4323</f>
        <v>59.4</v>
      </c>
      <c r="H316" s="104">
        <f>Спецификация!H4323</f>
        <v>1600</v>
      </c>
      <c r="I316" s="104">
        <f>Спецификация!I4323</f>
        <v>95040</v>
      </c>
      <c r="J316" s="100">
        <v>4323</v>
      </c>
      <c r="K316" s="102" t="str">
        <f t="shared" si="10"/>
        <v>проценено</v>
      </c>
      <c r="L316" s="101" t="s">
        <v>6325</v>
      </c>
    </row>
    <row r="317" spans="1:12" ht="63.75" x14ac:dyDescent="0.25">
      <c r="A317" s="100">
        <v>282</v>
      </c>
      <c r="B317" s="101" t="s">
        <v>6038</v>
      </c>
      <c r="C317" s="102" t="s">
        <v>5603</v>
      </c>
      <c r="D317" s="101" t="s">
        <v>5709</v>
      </c>
      <c r="E317" s="101" t="s">
        <v>6326</v>
      </c>
      <c r="F317" s="102" t="s">
        <v>315</v>
      </c>
      <c r="G317" s="103">
        <f>Спецификация!G4324</f>
        <v>0.75646999999999998</v>
      </c>
      <c r="H317" s="104">
        <f>Спецификация!H4324</f>
        <v>7000</v>
      </c>
      <c r="I317" s="104">
        <f>Спецификация!I4324</f>
        <v>5295.29</v>
      </c>
      <c r="J317" s="100">
        <v>4324</v>
      </c>
      <c r="K317" s="102" t="str">
        <f t="shared" si="10"/>
        <v>проценено</v>
      </c>
      <c r="L317" s="101" t="s">
        <v>6325</v>
      </c>
    </row>
    <row r="318" spans="1:12" ht="63.75" x14ac:dyDescent="0.25">
      <c r="A318" s="100">
        <v>283</v>
      </c>
      <c r="B318" s="101" t="s">
        <v>6038</v>
      </c>
      <c r="C318" s="102" t="s">
        <v>5628</v>
      </c>
      <c r="D318" s="101" t="s">
        <v>5596</v>
      </c>
      <c r="E318" s="101" t="s">
        <v>6327</v>
      </c>
      <c r="F318" s="102" t="s">
        <v>315</v>
      </c>
      <c r="G318" s="103">
        <f>Спецификация!G4325</f>
        <v>198</v>
      </c>
      <c r="H318" s="104">
        <f>Спецификация!H4325</f>
        <v>1600</v>
      </c>
      <c r="I318" s="104">
        <f>Спецификация!I4325</f>
        <v>316800</v>
      </c>
      <c r="J318" s="100">
        <v>4325</v>
      </c>
      <c r="K318" s="102" t="str">
        <f t="shared" si="10"/>
        <v>проценено</v>
      </c>
      <c r="L318" s="101" t="s">
        <v>6325</v>
      </c>
    </row>
    <row r="319" spans="1:12" ht="63.75" x14ac:dyDescent="0.25">
      <c r="A319" s="100">
        <v>284</v>
      </c>
      <c r="B319" s="101" t="s">
        <v>6038</v>
      </c>
      <c r="C319" s="102" t="s">
        <v>6058</v>
      </c>
      <c r="D319" s="101" t="s">
        <v>6065</v>
      </c>
      <c r="E319" s="101" t="s">
        <v>6328</v>
      </c>
      <c r="F319" s="102" t="s">
        <v>1878</v>
      </c>
      <c r="G319" s="103">
        <f>Спецификация!G4326</f>
        <v>0.40500000000000003</v>
      </c>
      <c r="H319" s="104">
        <f>Спецификация!H4326</f>
        <v>110000</v>
      </c>
      <c r="I319" s="104">
        <f>Спецификация!I4326</f>
        <v>44550</v>
      </c>
      <c r="J319" s="100">
        <v>4326</v>
      </c>
      <c r="K319" s="102" t="str">
        <f t="shared" si="10"/>
        <v>проценено</v>
      </c>
      <c r="L319" s="101" t="s">
        <v>6325</v>
      </c>
    </row>
    <row r="320" spans="1:12" ht="63.75" x14ac:dyDescent="0.25">
      <c r="A320" s="100">
        <v>285</v>
      </c>
      <c r="B320" s="101" t="s">
        <v>6038</v>
      </c>
      <c r="C320" s="102" t="s">
        <v>6067</v>
      </c>
      <c r="D320" s="101" t="s">
        <v>5606</v>
      </c>
      <c r="E320" s="101" t="s">
        <v>6328</v>
      </c>
      <c r="F320" s="102" t="s">
        <v>315</v>
      </c>
      <c r="G320" s="103">
        <f>Спецификация!G4327</f>
        <v>1.7160000000000002E-2</v>
      </c>
      <c r="H320" s="104">
        <f>Спецификация!H4327</f>
        <v>25000</v>
      </c>
      <c r="I320" s="104">
        <f>Спецификация!I4327</f>
        <v>429.00000000000006</v>
      </c>
      <c r="J320" s="100">
        <v>4327</v>
      </c>
      <c r="K320" s="102" t="str">
        <f t="shared" si="10"/>
        <v>проценено</v>
      </c>
      <c r="L320" s="101" t="s">
        <v>6325</v>
      </c>
    </row>
    <row r="321" spans="1:12" ht="63.75" x14ac:dyDescent="0.25">
      <c r="A321" s="100">
        <v>286</v>
      </c>
      <c r="B321" s="101" t="s">
        <v>6038</v>
      </c>
      <c r="C321" s="102" t="s">
        <v>6068</v>
      </c>
      <c r="D321" s="101" t="s">
        <v>6069</v>
      </c>
      <c r="E321" s="101" t="s">
        <v>6329</v>
      </c>
      <c r="F321" s="102" t="s">
        <v>1878</v>
      </c>
      <c r="G321" s="103">
        <f>Спецификация!G4328</f>
        <v>2.7462599999999999</v>
      </c>
      <c r="H321" s="104">
        <f>Спецификация!H4328</f>
        <v>0</v>
      </c>
      <c r="I321" s="104">
        <f>Спецификация!I4328</f>
        <v>0</v>
      </c>
      <c r="J321" s="100">
        <v>4328</v>
      </c>
      <c r="K321" s="102" t="str">
        <f t="shared" si="10"/>
        <v>НЕТ ЦЕНЫ</v>
      </c>
      <c r="L321" s="101" t="s">
        <v>6325</v>
      </c>
    </row>
    <row r="322" spans="1:12" ht="63.75" x14ac:dyDescent="0.25">
      <c r="A322" s="100">
        <v>287</v>
      </c>
      <c r="B322" s="101" t="s">
        <v>6038</v>
      </c>
      <c r="C322" s="102" t="s">
        <v>6071</v>
      </c>
      <c r="D322" s="101" t="s">
        <v>6072</v>
      </c>
      <c r="E322" s="101" t="s">
        <v>6329</v>
      </c>
      <c r="F322" s="102" t="s">
        <v>158</v>
      </c>
      <c r="G322" s="103">
        <f>Спецификация!G4329</f>
        <v>136.81800000000001</v>
      </c>
      <c r="H322" s="104">
        <f>Спецификация!H4329</f>
        <v>0</v>
      </c>
      <c r="I322" s="104">
        <f>Спецификация!I4329</f>
        <v>0</v>
      </c>
      <c r="J322" s="100">
        <v>4329</v>
      </c>
      <c r="K322" s="102" t="str">
        <f t="shared" si="10"/>
        <v>НЕТ ЦЕНЫ</v>
      </c>
      <c r="L322" s="101" t="s">
        <v>6325</v>
      </c>
    </row>
    <row r="323" spans="1:12" ht="63.75" x14ac:dyDescent="0.25">
      <c r="A323" s="100">
        <v>288</v>
      </c>
      <c r="B323" s="101" t="s">
        <v>6038</v>
      </c>
      <c r="C323" s="102" t="s">
        <v>6073</v>
      </c>
      <c r="D323" s="101" t="s">
        <v>6074</v>
      </c>
      <c r="E323" s="101" t="s">
        <v>6329</v>
      </c>
      <c r="F323" s="102" t="s">
        <v>1878</v>
      </c>
      <c r="G323" s="103">
        <f>Спецификация!G4330</f>
        <v>5.0999999999999997E-2</v>
      </c>
      <c r="H323" s="104">
        <f>Спецификация!H4330</f>
        <v>110000</v>
      </c>
      <c r="I323" s="104">
        <f>Спецификация!I4330</f>
        <v>5610</v>
      </c>
      <c r="J323" s="100">
        <v>4330</v>
      </c>
      <c r="K323" s="102" t="str">
        <f t="shared" si="10"/>
        <v>проценено</v>
      </c>
      <c r="L323" s="101" t="s">
        <v>6325</v>
      </c>
    </row>
    <row r="324" spans="1:12" ht="63.75" x14ac:dyDescent="0.25">
      <c r="A324" s="100">
        <v>289</v>
      </c>
      <c r="B324" s="101" t="s">
        <v>6038</v>
      </c>
      <c r="C324" s="102" t="s">
        <v>6075</v>
      </c>
      <c r="D324" s="101" t="s">
        <v>5735</v>
      </c>
      <c r="E324" s="101" t="s">
        <v>6329</v>
      </c>
      <c r="F324" s="102" t="s">
        <v>315</v>
      </c>
      <c r="G324" s="103">
        <f>Спецификация!G4331</f>
        <v>3.0240000000000002E-3</v>
      </c>
      <c r="H324" s="104">
        <f>Спецификация!H4331</f>
        <v>25000</v>
      </c>
      <c r="I324" s="104">
        <f>Спецификация!I4331</f>
        <v>75.600000000000009</v>
      </c>
      <c r="J324" s="100">
        <v>4331</v>
      </c>
      <c r="K324" s="102" t="str">
        <f t="shared" si="10"/>
        <v>проценено</v>
      </c>
      <c r="L324" s="101" t="s">
        <v>6325</v>
      </c>
    </row>
    <row r="325" spans="1:12" ht="63.75" x14ac:dyDescent="0.25">
      <c r="A325" s="100">
        <v>290</v>
      </c>
      <c r="B325" s="101" t="s">
        <v>6038</v>
      </c>
      <c r="C325" s="102" t="s">
        <v>6076</v>
      </c>
      <c r="D325" s="101" t="s">
        <v>6077</v>
      </c>
      <c r="E325" s="101" t="s">
        <v>6329</v>
      </c>
      <c r="F325" s="102" t="s">
        <v>1878</v>
      </c>
      <c r="G325" s="103">
        <f>Спецификация!G4332</f>
        <v>6.8000000000000005E-2</v>
      </c>
      <c r="H325" s="104">
        <f>Спецификация!H4332</f>
        <v>110000</v>
      </c>
      <c r="I325" s="104">
        <f>Спецификация!I4332</f>
        <v>7480.0000000000009</v>
      </c>
      <c r="J325" s="100">
        <v>4332</v>
      </c>
      <c r="K325" s="102" t="str">
        <f t="shared" si="10"/>
        <v>проценено</v>
      </c>
      <c r="L325" s="101" t="s">
        <v>6325</v>
      </c>
    </row>
    <row r="326" spans="1:12" ht="63.75" x14ac:dyDescent="0.25">
      <c r="A326" s="100">
        <v>291</v>
      </c>
      <c r="B326" s="101" t="s">
        <v>6038</v>
      </c>
      <c r="C326" s="102" t="s">
        <v>5972</v>
      </c>
      <c r="D326" s="101" t="s">
        <v>5735</v>
      </c>
      <c r="E326" s="101" t="s">
        <v>6329</v>
      </c>
      <c r="F326" s="102" t="s">
        <v>315</v>
      </c>
      <c r="G326" s="103">
        <f>Спецификация!G4333</f>
        <v>4.032E-3</v>
      </c>
      <c r="H326" s="104">
        <f>Спецификация!H4333</f>
        <v>25000</v>
      </c>
      <c r="I326" s="104">
        <f>Спецификация!I4333</f>
        <v>100.8</v>
      </c>
      <c r="J326" s="100">
        <v>4333</v>
      </c>
      <c r="K326" s="102" t="str">
        <f t="shared" si="10"/>
        <v>проценено</v>
      </c>
      <c r="L326" s="101" t="s">
        <v>6325</v>
      </c>
    </row>
    <row r="327" spans="1:12" ht="63.75" x14ac:dyDescent="0.25">
      <c r="A327" s="100">
        <v>292</v>
      </c>
      <c r="B327" s="101" t="s">
        <v>6038</v>
      </c>
      <c r="C327" s="102" t="s">
        <v>581</v>
      </c>
      <c r="D327" s="101" t="s">
        <v>6078</v>
      </c>
      <c r="E327" s="101" t="s">
        <v>6273</v>
      </c>
      <c r="F327" s="102" t="s">
        <v>78</v>
      </c>
      <c r="G327" s="103">
        <f>Спецификация!G4334</f>
        <v>-10</v>
      </c>
      <c r="H327" s="104">
        <f>Спецификация!H4334</f>
        <v>0</v>
      </c>
      <c r="I327" s="104">
        <f>Спецификация!I4334</f>
        <v>0</v>
      </c>
      <c r="J327" s="100">
        <v>4334</v>
      </c>
      <c r="K327" s="102" t="str">
        <f t="shared" si="10"/>
        <v>НЕТ ЦЕНЫ</v>
      </c>
      <c r="L327" s="101" t="s">
        <v>6330</v>
      </c>
    </row>
    <row r="328" spans="1:12" ht="63.75" x14ac:dyDescent="0.25">
      <c r="A328" s="100">
        <v>293</v>
      </c>
      <c r="B328" s="101" t="s">
        <v>6038</v>
      </c>
      <c r="C328" s="102" t="s">
        <v>20</v>
      </c>
      <c r="D328" s="101" t="s">
        <v>6080</v>
      </c>
      <c r="E328" s="101" t="s">
        <v>6331</v>
      </c>
      <c r="F328" s="102" t="s">
        <v>89</v>
      </c>
      <c r="G328" s="103">
        <f>Спецификация!G4335</f>
        <v>-39.5</v>
      </c>
      <c r="H328" s="104">
        <f>Спецификация!H4335</f>
        <v>0</v>
      </c>
      <c r="I328" s="104">
        <f>Спецификация!I4335</f>
        <v>0</v>
      </c>
      <c r="J328" s="100">
        <v>4335</v>
      </c>
      <c r="K328" s="102" t="str">
        <f t="shared" si="10"/>
        <v>НЕТ ЦЕНЫ</v>
      </c>
      <c r="L328" s="101" t="s">
        <v>6330</v>
      </c>
    </row>
    <row r="329" spans="1:12" ht="63.75" x14ac:dyDescent="0.25">
      <c r="A329" s="100">
        <v>294</v>
      </c>
      <c r="B329" s="101" t="s">
        <v>6038</v>
      </c>
      <c r="C329" s="102" t="s">
        <v>5663</v>
      </c>
      <c r="D329" s="101" t="s">
        <v>6081</v>
      </c>
      <c r="E329" s="101" t="s">
        <v>6276</v>
      </c>
      <c r="F329" s="102" t="s">
        <v>78</v>
      </c>
      <c r="G329" s="103">
        <f>Спецификация!G4336</f>
        <v>-4</v>
      </c>
      <c r="H329" s="104">
        <f>Спецификация!H4336</f>
        <v>0</v>
      </c>
      <c r="I329" s="104">
        <f>Спецификация!I4336</f>
        <v>0</v>
      </c>
      <c r="J329" s="100">
        <v>4336</v>
      </c>
      <c r="K329" s="102" t="str">
        <f t="shared" si="10"/>
        <v>НЕТ ЦЕНЫ</v>
      </c>
      <c r="L329" s="101" t="s">
        <v>6330</v>
      </c>
    </row>
    <row r="330" spans="1:12" ht="63.75" x14ac:dyDescent="0.25">
      <c r="A330" s="100">
        <v>295</v>
      </c>
      <c r="B330" s="101" t="s">
        <v>6038</v>
      </c>
      <c r="C330" s="102" t="s">
        <v>5595</v>
      </c>
      <c r="D330" s="101" t="s">
        <v>6083</v>
      </c>
      <c r="E330" s="101" t="s">
        <v>6277</v>
      </c>
      <c r="F330" s="102" t="s">
        <v>89</v>
      </c>
      <c r="G330" s="103">
        <f>Спецификация!G4337</f>
        <v>-18.5</v>
      </c>
      <c r="H330" s="104">
        <f>Спецификация!H4337</f>
        <v>0</v>
      </c>
      <c r="I330" s="104">
        <f>Спецификация!I4337</f>
        <v>0</v>
      </c>
      <c r="J330" s="100">
        <v>4337</v>
      </c>
      <c r="K330" s="102" t="str">
        <f t="shared" si="10"/>
        <v>НЕТ ЦЕНЫ</v>
      </c>
      <c r="L330" s="101" t="s">
        <v>6330</v>
      </c>
    </row>
    <row r="331" spans="1:12" x14ac:dyDescent="0.25">
      <c r="A331" s="105"/>
      <c r="B331" s="105"/>
      <c r="C331" s="105"/>
      <c r="D331" s="106" t="s">
        <v>6121</v>
      </c>
      <c r="E331" s="105"/>
      <c r="F331" s="105"/>
      <c r="G331" s="105"/>
      <c r="H331" s="105"/>
      <c r="I331" s="107">
        <f>SUM(I288:I330)</f>
        <v>5832200.6899999995</v>
      </c>
      <c r="J331" s="105"/>
      <c r="K331" s="105"/>
      <c r="L331" s="105"/>
    </row>
    <row r="333" spans="1:12" x14ac:dyDescent="0.25">
      <c r="A333" s="108"/>
      <c r="B333" s="108"/>
      <c r="C333" s="108"/>
      <c r="D333" s="109" t="s">
        <v>6332</v>
      </c>
      <c r="E333" s="108"/>
      <c r="F333" s="108"/>
      <c r="G333" s="108"/>
      <c r="H333" s="108"/>
      <c r="I333" s="110">
        <f>I24+I73+I95+I107+I212+I218+I225+I250+I285+I331</f>
        <v>1158383836.0483401</v>
      </c>
      <c r="J333" s="108"/>
      <c r="K333" s="108"/>
      <c r="L333" s="108"/>
    </row>
    <row r="336" spans="1:12" ht="15" customHeight="1" x14ac:dyDescent="0.25">
      <c r="A336" s="151" t="s">
        <v>6333</v>
      </c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</row>
    <row r="337" spans="1:12" ht="15" customHeight="1" x14ac:dyDescent="0.25">
      <c r="A337" s="152" t="s">
        <v>6334</v>
      </c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</row>
    <row r="338" spans="1:12" ht="15" customHeight="1" x14ac:dyDescent="0.25">
      <c r="A338" s="152" t="s">
        <v>6335</v>
      </c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</row>
    <row r="339" spans="1:12" ht="15" customHeight="1" x14ac:dyDescent="0.25">
      <c r="A339" s="152" t="s">
        <v>6336</v>
      </c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</row>
    <row r="340" spans="1:12" ht="15" customHeight="1" x14ac:dyDescent="0.25">
      <c r="A340" s="152" t="s">
        <v>6337</v>
      </c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</row>
  </sheetData>
  <autoFilter ref="A7:L333"/>
  <mergeCells count="20">
    <mergeCell ref="A1:L1"/>
    <mergeCell ref="A2:L2"/>
    <mergeCell ref="A3:L3"/>
    <mergeCell ref="A4:L4"/>
    <mergeCell ref="A5:L5"/>
    <mergeCell ref="A8:L8"/>
    <mergeCell ref="A26:L26"/>
    <mergeCell ref="A75:L75"/>
    <mergeCell ref="A97:L97"/>
    <mergeCell ref="A109:L109"/>
    <mergeCell ref="A214:L214"/>
    <mergeCell ref="A220:L220"/>
    <mergeCell ref="A227:L227"/>
    <mergeCell ref="A252:L252"/>
    <mergeCell ref="A287:L287"/>
    <mergeCell ref="A336:L336"/>
    <mergeCell ref="A337:L337"/>
    <mergeCell ref="A338:L338"/>
    <mergeCell ref="A339:L339"/>
    <mergeCell ref="A340:L34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2"/>
  <sheetViews>
    <sheetView zoomScaleNormal="100" workbookViewId="0">
      <pane ySplit="4" topLeftCell="A8" activePane="bottomLeft" state="frozen"/>
      <selection pane="bottomLeft"/>
    </sheetView>
  </sheetViews>
  <sheetFormatPr defaultColWidth="8.7109375" defaultRowHeight="15" x14ac:dyDescent="0.25"/>
  <cols>
    <col min="1" max="1" width="66" customWidth="1"/>
    <col min="2" max="2" width="10" customWidth="1"/>
    <col min="3" max="3" width="12" customWidth="1"/>
    <col min="4" max="4" width="13" customWidth="1"/>
    <col min="5" max="5" width="15" customWidth="1"/>
    <col min="6" max="6" width="11" customWidth="1"/>
    <col min="7" max="7" width="46" customWidth="1"/>
  </cols>
  <sheetData>
    <row r="1" spans="1:7" ht="23.25" customHeight="1" x14ac:dyDescent="0.25">
      <c r="A1" s="111" t="s">
        <v>6338</v>
      </c>
      <c r="B1" s="112"/>
      <c r="C1" s="112"/>
      <c r="D1" s="112"/>
      <c r="E1" s="112"/>
      <c r="F1" s="112"/>
      <c r="G1" s="111"/>
    </row>
    <row r="2" spans="1:7" ht="42" customHeight="1" x14ac:dyDescent="0.25">
      <c r="A2" s="156" t="s">
        <v>6339</v>
      </c>
      <c r="B2" s="156"/>
      <c r="C2" s="156"/>
      <c r="D2" s="156"/>
      <c r="E2" s="156"/>
      <c r="F2" s="156"/>
      <c r="G2" s="156"/>
    </row>
    <row r="3" spans="1:7" ht="15" customHeight="1" x14ac:dyDescent="0.25">
      <c r="A3" s="113"/>
      <c r="B3" s="114"/>
      <c r="C3" s="114"/>
      <c r="D3" s="114"/>
      <c r="E3" s="114"/>
      <c r="F3" s="114"/>
      <c r="G3" s="113"/>
    </row>
    <row r="4" spans="1:7" ht="31.5" customHeight="1" x14ac:dyDescent="0.25">
      <c r="A4" s="115" t="s">
        <v>6340</v>
      </c>
      <c r="B4" s="115" t="s">
        <v>5</v>
      </c>
      <c r="C4" s="115" t="s">
        <v>6341</v>
      </c>
      <c r="D4" s="115" t="s">
        <v>6342</v>
      </c>
      <c r="E4" s="115" t="s">
        <v>6343</v>
      </c>
      <c r="F4" s="115" t="s">
        <v>6344</v>
      </c>
      <c r="G4" s="115" t="s">
        <v>6345</v>
      </c>
    </row>
    <row r="5" spans="1:7" ht="23.25" customHeight="1" x14ac:dyDescent="0.25">
      <c r="A5" s="116" t="s">
        <v>4827</v>
      </c>
      <c r="B5" s="117" t="s">
        <v>6346</v>
      </c>
      <c r="C5" s="117">
        <v>1</v>
      </c>
      <c r="D5" s="117">
        <v>68</v>
      </c>
      <c r="E5" s="117">
        <v>67</v>
      </c>
      <c r="F5" s="117">
        <v>1</v>
      </c>
      <c r="G5" s="116" t="s">
        <v>6347</v>
      </c>
    </row>
    <row r="6" spans="1:7" ht="23.25" customHeight="1" x14ac:dyDescent="0.25">
      <c r="A6" s="116" t="s">
        <v>4497</v>
      </c>
      <c r="B6" s="117" t="s">
        <v>5218</v>
      </c>
      <c r="C6" s="117">
        <v>5</v>
      </c>
      <c r="D6" s="117">
        <v>68</v>
      </c>
      <c r="E6" s="117">
        <v>63</v>
      </c>
      <c r="F6" s="117">
        <v>1</v>
      </c>
      <c r="G6" s="116" t="s">
        <v>6348</v>
      </c>
    </row>
    <row r="7" spans="1:7" ht="23.25" customHeight="1" x14ac:dyDescent="0.25">
      <c r="A7" s="116" t="s">
        <v>4491</v>
      </c>
      <c r="B7" s="117" t="s">
        <v>5218</v>
      </c>
      <c r="C7" s="117">
        <v>25</v>
      </c>
      <c r="D7" s="117">
        <v>49</v>
      </c>
      <c r="E7" s="117">
        <v>24</v>
      </c>
      <c r="F7" s="117">
        <v>2</v>
      </c>
      <c r="G7" s="116" t="s">
        <v>6349</v>
      </c>
    </row>
    <row r="8" spans="1:7" ht="15" customHeight="1" x14ac:dyDescent="0.25">
      <c r="A8" s="116" t="s">
        <v>4514</v>
      </c>
      <c r="B8" s="117" t="s">
        <v>5218</v>
      </c>
      <c r="C8" s="117">
        <v>17</v>
      </c>
      <c r="D8" s="117">
        <v>38</v>
      </c>
      <c r="E8" s="117">
        <v>21</v>
      </c>
      <c r="F8" s="117">
        <v>4</v>
      </c>
      <c r="G8" s="116" t="s">
        <v>6350</v>
      </c>
    </row>
    <row r="9" spans="1:7" ht="15" customHeight="1" x14ac:dyDescent="0.25">
      <c r="A9" s="116" t="s">
        <v>4500</v>
      </c>
      <c r="B9" s="117" t="s">
        <v>5218</v>
      </c>
      <c r="C9" s="117">
        <v>52</v>
      </c>
      <c r="D9" s="117">
        <v>68</v>
      </c>
      <c r="E9" s="117">
        <v>16</v>
      </c>
      <c r="F9" s="117">
        <v>5</v>
      </c>
      <c r="G9" s="116" t="s">
        <v>6351</v>
      </c>
    </row>
    <row r="10" spans="1:7" ht="15" customHeight="1" x14ac:dyDescent="0.25">
      <c r="A10" s="116" t="s">
        <v>4313</v>
      </c>
      <c r="B10" s="117" t="s">
        <v>5218</v>
      </c>
      <c r="C10" s="117">
        <v>75</v>
      </c>
      <c r="D10" s="117">
        <v>88</v>
      </c>
      <c r="E10" s="117">
        <v>13</v>
      </c>
      <c r="F10" s="117">
        <v>2</v>
      </c>
      <c r="G10" s="116" t="s">
        <v>6352</v>
      </c>
    </row>
    <row r="11" spans="1:7" ht="15" customHeight="1" x14ac:dyDescent="0.25">
      <c r="A11" s="116" t="s">
        <v>4235</v>
      </c>
      <c r="B11" s="117" t="s">
        <v>5218</v>
      </c>
      <c r="C11" s="117">
        <v>11</v>
      </c>
      <c r="D11" s="117">
        <v>21</v>
      </c>
      <c r="E11" s="117">
        <v>10</v>
      </c>
      <c r="F11" s="117">
        <v>1</v>
      </c>
      <c r="G11" s="116" t="s">
        <v>6353</v>
      </c>
    </row>
    <row r="12" spans="1:7" ht="23.25" customHeight="1" x14ac:dyDescent="0.25">
      <c r="A12" s="116" t="s">
        <v>6354</v>
      </c>
      <c r="B12" s="117" t="s">
        <v>5218</v>
      </c>
      <c r="C12" s="117">
        <v>20</v>
      </c>
      <c r="D12" s="117">
        <v>29</v>
      </c>
      <c r="E12" s="117">
        <v>9</v>
      </c>
      <c r="F12" s="117">
        <v>2</v>
      </c>
      <c r="G12" s="116" t="s">
        <v>6355</v>
      </c>
    </row>
    <row r="13" spans="1:7" ht="34.5" customHeight="1" x14ac:dyDescent="0.25">
      <c r="A13" s="116" t="s">
        <v>4483</v>
      </c>
      <c r="B13" s="117" t="s">
        <v>5218</v>
      </c>
      <c r="C13" s="117">
        <v>10</v>
      </c>
      <c r="D13" s="117">
        <v>18</v>
      </c>
      <c r="E13" s="117">
        <v>8</v>
      </c>
      <c r="F13" s="117">
        <v>1</v>
      </c>
      <c r="G13" s="116" t="s">
        <v>6356</v>
      </c>
    </row>
    <row r="14" spans="1:7" ht="23.25" customHeight="1" x14ac:dyDescent="0.25">
      <c r="A14" s="116" t="s">
        <v>5356</v>
      </c>
      <c r="B14" s="117" t="s">
        <v>5218</v>
      </c>
      <c r="C14" s="117">
        <v>3</v>
      </c>
      <c r="D14" s="117">
        <v>11</v>
      </c>
      <c r="E14" s="117">
        <v>8</v>
      </c>
      <c r="F14" s="117">
        <v>1</v>
      </c>
      <c r="G14" s="116" t="s">
        <v>6356</v>
      </c>
    </row>
    <row r="15" spans="1:7" ht="23.25" customHeight="1" x14ac:dyDescent="0.25">
      <c r="A15" s="116" t="s">
        <v>4497</v>
      </c>
      <c r="B15" s="117" t="s">
        <v>6346</v>
      </c>
      <c r="C15" s="117">
        <v>62</v>
      </c>
      <c r="D15" s="117">
        <v>68</v>
      </c>
      <c r="E15" s="117">
        <v>6</v>
      </c>
      <c r="F15" s="117">
        <v>1</v>
      </c>
      <c r="G15" s="116" t="s">
        <v>6357</v>
      </c>
    </row>
    <row r="16" spans="1:7" ht="15" customHeight="1" x14ac:dyDescent="0.25">
      <c r="A16" s="116" t="s">
        <v>4574</v>
      </c>
      <c r="B16" s="117" t="s">
        <v>6358</v>
      </c>
      <c r="C16" s="117">
        <v>6</v>
      </c>
      <c r="D16" s="117">
        <v>12</v>
      </c>
      <c r="E16" s="117">
        <v>6</v>
      </c>
      <c r="F16" s="117">
        <v>2</v>
      </c>
      <c r="G16" s="116" t="s">
        <v>6357</v>
      </c>
    </row>
    <row r="17" spans="1:7" ht="23.25" customHeight="1" x14ac:dyDescent="0.25">
      <c r="A17" s="116" t="s">
        <v>4258</v>
      </c>
      <c r="B17" s="117" t="s">
        <v>5218</v>
      </c>
      <c r="C17" s="117">
        <v>48</v>
      </c>
      <c r="D17" s="117">
        <v>53</v>
      </c>
      <c r="E17" s="117">
        <v>5</v>
      </c>
      <c r="F17" s="117">
        <v>1</v>
      </c>
      <c r="G17" s="116" t="s">
        <v>6359</v>
      </c>
    </row>
    <row r="18" spans="1:7" ht="15" customHeight="1" x14ac:dyDescent="0.25">
      <c r="A18" s="116" t="s">
        <v>4263</v>
      </c>
      <c r="B18" s="117" t="s">
        <v>5218</v>
      </c>
      <c r="C18" s="117">
        <v>5</v>
      </c>
      <c r="D18" s="117">
        <v>10</v>
      </c>
      <c r="E18" s="117">
        <v>5</v>
      </c>
      <c r="F18" s="117">
        <v>1</v>
      </c>
      <c r="G18" s="116" t="s">
        <v>6359</v>
      </c>
    </row>
    <row r="19" spans="1:7" ht="34.5" customHeight="1" x14ac:dyDescent="0.25">
      <c r="A19" s="116" t="s">
        <v>4227</v>
      </c>
      <c r="B19" s="117" t="s">
        <v>5218</v>
      </c>
      <c r="C19" s="117">
        <v>7</v>
      </c>
      <c r="D19" s="117">
        <v>11</v>
      </c>
      <c r="E19" s="117">
        <v>4</v>
      </c>
      <c r="F19" s="117">
        <v>1</v>
      </c>
      <c r="G19" s="116" t="s">
        <v>6360</v>
      </c>
    </row>
    <row r="20" spans="1:7" ht="15" customHeight="1" x14ac:dyDescent="0.25">
      <c r="A20" s="116" t="s">
        <v>4343</v>
      </c>
      <c r="B20" s="117" t="s">
        <v>5218</v>
      </c>
      <c r="C20" s="117">
        <v>80</v>
      </c>
      <c r="D20" s="117">
        <v>82</v>
      </c>
      <c r="E20" s="117">
        <v>2</v>
      </c>
      <c r="F20" s="117">
        <v>3</v>
      </c>
      <c r="G20" s="116" t="s">
        <v>6361</v>
      </c>
    </row>
    <row r="21" spans="1:7" ht="15" customHeight="1" x14ac:dyDescent="0.25">
      <c r="A21" s="116" t="s">
        <v>4578</v>
      </c>
      <c r="B21" s="117" t="s">
        <v>6362</v>
      </c>
      <c r="C21" s="117">
        <v>4</v>
      </c>
      <c r="D21" s="117">
        <v>6</v>
      </c>
      <c r="E21" s="117">
        <v>2</v>
      </c>
      <c r="F21" s="117">
        <v>1</v>
      </c>
      <c r="G21" s="116" t="s">
        <v>6361</v>
      </c>
    </row>
    <row r="22" spans="1:7" ht="15" customHeight="1" x14ac:dyDescent="0.25">
      <c r="A22" s="116" t="s">
        <v>5204</v>
      </c>
      <c r="B22" s="117" t="s">
        <v>5218</v>
      </c>
      <c r="C22" s="117">
        <v>4</v>
      </c>
      <c r="D22" s="117">
        <v>6</v>
      </c>
      <c r="E22" s="117">
        <v>2</v>
      </c>
      <c r="F22" s="117">
        <v>2</v>
      </c>
      <c r="G22" s="116" t="s">
        <v>6361</v>
      </c>
    </row>
    <row r="23" spans="1:7" ht="23.25" customHeight="1" x14ac:dyDescent="0.25">
      <c r="A23" s="116" t="s">
        <v>6363</v>
      </c>
      <c r="B23" s="117" t="s">
        <v>5218</v>
      </c>
      <c r="C23" s="117">
        <v>1</v>
      </c>
      <c r="D23" s="117">
        <v>3</v>
      </c>
      <c r="E23" s="117">
        <v>2</v>
      </c>
      <c r="F23" s="117">
        <v>1</v>
      </c>
      <c r="G23" s="116" t="s">
        <v>6361</v>
      </c>
    </row>
    <row r="24" spans="1:7" ht="15" customHeight="1" x14ac:dyDescent="0.25">
      <c r="A24" s="116" t="s">
        <v>4334</v>
      </c>
      <c r="B24" s="117" t="s">
        <v>5218</v>
      </c>
      <c r="C24" s="117">
        <v>98</v>
      </c>
      <c r="D24" s="117">
        <v>99</v>
      </c>
      <c r="E24" s="117">
        <v>1</v>
      </c>
      <c r="F24" s="117">
        <v>1</v>
      </c>
      <c r="G24" s="116" t="s">
        <v>6364</v>
      </c>
    </row>
    <row r="25" spans="1:7" ht="34.5" customHeight="1" x14ac:dyDescent="0.25">
      <c r="A25" s="116" t="s">
        <v>4232</v>
      </c>
      <c r="B25" s="117" t="s">
        <v>5218</v>
      </c>
      <c r="C25" s="117">
        <v>34</v>
      </c>
      <c r="D25" s="117">
        <v>35</v>
      </c>
      <c r="E25" s="117">
        <v>1</v>
      </c>
      <c r="F25" s="117">
        <v>1</v>
      </c>
      <c r="G25" s="116" t="s">
        <v>6364</v>
      </c>
    </row>
    <row r="26" spans="1:7" ht="15" customHeight="1" x14ac:dyDescent="0.25">
      <c r="A26" s="116" t="s">
        <v>4988</v>
      </c>
      <c r="B26" s="117" t="s">
        <v>5218</v>
      </c>
      <c r="C26" s="117">
        <v>10</v>
      </c>
      <c r="D26" s="117">
        <v>10</v>
      </c>
      <c r="E26" s="117">
        <v>0</v>
      </c>
      <c r="F26" s="117">
        <v>2</v>
      </c>
      <c r="G26" s="116" t="s">
        <v>6886</v>
      </c>
    </row>
    <row r="27" spans="1:7" ht="23.25" customHeight="1" x14ac:dyDescent="0.25">
      <c r="A27" s="116" t="s">
        <v>4698</v>
      </c>
      <c r="B27" s="117" t="s">
        <v>5218</v>
      </c>
      <c r="C27" s="117">
        <v>2</v>
      </c>
      <c r="D27" s="117">
        <v>3</v>
      </c>
      <c r="E27" s="117">
        <v>1</v>
      </c>
      <c r="F27" s="117">
        <v>2</v>
      </c>
      <c r="G27" s="116" t="s">
        <v>6364</v>
      </c>
    </row>
    <row r="28" spans="1:7" ht="45.75" customHeight="1" x14ac:dyDescent="0.25">
      <c r="A28" s="116" t="s">
        <v>5194</v>
      </c>
      <c r="B28" s="117" t="s">
        <v>5218</v>
      </c>
      <c r="C28" s="117">
        <v>2</v>
      </c>
      <c r="D28" s="117">
        <v>3</v>
      </c>
      <c r="E28" s="117">
        <v>1</v>
      </c>
      <c r="F28" s="117">
        <v>1</v>
      </c>
      <c r="G28" s="116" t="s">
        <v>6364</v>
      </c>
    </row>
    <row r="29" spans="1:7" ht="23.25" customHeight="1" x14ac:dyDescent="0.25">
      <c r="A29" s="116" t="s">
        <v>4297</v>
      </c>
      <c r="B29" s="117" t="s">
        <v>5218</v>
      </c>
      <c r="C29" s="117">
        <v>1</v>
      </c>
      <c r="D29" s="117">
        <v>2</v>
      </c>
      <c r="E29" s="117">
        <v>1</v>
      </c>
      <c r="F29" s="117">
        <v>2</v>
      </c>
      <c r="G29" s="116" t="s">
        <v>6364</v>
      </c>
    </row>
    <row r="30" spans="1:7" ht="68.25" customHeight="1" x14ac:dyDescent="0.25">
      <c r="A30" s="116" t="s">
        <v>4639</v>
      </c>
      <c r="B30" s="117" t="s">
        <v>6358</v>
      </c>
      <c r="C30" s="117">
        <v>1</v>
      </c>
      <c r="D30" s="117">
        <v>2</v>
      </c>
      <c r="E30" s="117">
        <v>1</v>
      </c>
      <c r="F30" s="117">
        <v>1</v>
      </c>
      <c r="G30" s="116" t="s">
        <v>6364</v>
      </c>
    </row>
    <row r="31" spans="1:7" ht="79.5" customHeight="1" x14ac:dyDescent="0.25">
      <c r="A31" s="116" t="s">
        <v>4652</v>
      </c>
      <c r="B31" s="117" t="s">
        <v>6358</v>
      </c>
      <c r="C31" s="117">
        <v>1</v>
      </c>
      <c r="D31" s="117">
        <v>2</v>
      </c>
      <c r="E31" s="117">
        <v>1</v>
      </c>
      <c r="F31" s="117">
        <v>1</v>
      </c>
      <c r="G31" s="116" t="s">
        <v>6364</v>
      </c>
    </row>
    <row r="32" spans="1:7" ht="15" customHeight="1" x14ac:dyDescent="0.25">
      <c r="A32" s="116" t="s">
        <v>4672</v>
      </c>
      <c r="B32" s="117" t="s">
        <v>6358</v>
      </c>
      <c r="C32" s="117">
        <v>1</v>
      </c>
      <c r="D32" s="117">
        <v>2</v>
      </c>
      <c r="E32" s="117">
        <v>1</v>
      </c>
      <c r="F32" s="117">
        <v>2</v>
      </c>
      <c r="G32" s="116" t="s">
        <v>6364</v>
      </c>
    </row>
    <row r="33" spans="1:7" ht="15" customHeight="1" x14ac:dyDescent="0.25">
      <c r="A33" s="116" t="s">
        <v>4787</v>
      </c>
      <c r="B33" s="117" t="s">
        <v>6346</v>
      </c>
      <c r="C33" s="117">
        <v>1</v>
      </c>
      <c r="D33" s="117">
        <v>2</v>
      </c>
      <c r="E33" s="117">
        <v>1</v>
      </c>
      <c r="F33" s="117">
        <v>1</v>
      </c>
      <c r="G33" s="116" t="s">
        <v>6364</v>
      </c>
    </row>
    <row r="34" spans="1:7" ht="23.25" customHeight="1" x14ac:dyDescent="0.25">
      <c r="A34" s="116" t="s">
        <v>5097</v>
      </c>
      <c r="B34" s="117" t="s">
        <v>5218</v>
      </c>
      <c r="C34" s="117">
        <v>1</v>
      </c>
      <c r="D34" s="117">
        <v>2</v>
      </c>
      <c r="E34" s="117">
        <v>1</v>
      </c>
      <c r="F34" s="117">
        <v>1</v>
      </c>
      <c r="G34" s="116" t="s">
        <v>6364</v>
      </c>
    </row>
    <row r="35" spans="1:7" ht="34.5" customHeight="1" x14ac:dyDescent="0.25">
      <c r="A35" s="116" t="s">
        <v>5107</v>
      </c>
      <c r="B35" s="117" t="s">
        <v>5218</v>
      </c>
      <c r="C35" s="117">
        <v>1</v>
      </c>
      <c r="D35" s="117">
        <v>2</v>
      </c>
      <c r="E35" s="117">
        <v>1</v>
      </c>
      <c r="F35" s="117">
        <v>1</v>
      </c>
      <c r="G35" s="116" t="s">
        <v>6364</v>
      </c>
    </row>
    <row r="36" spans="1:7" ht="113.25" customHeight="1" x14ac:dyDescent="0.25">
      <c r="A36" s="116" t="s">
        <v>5142</v>
      </c>
      <c r="B36" s="117" t="s">
        <v>5218</v>
      </c>
      <c r="C36" s="117">
        <v>1</v>
      </c>
      <c r="D36" s="117">
        <v>2</v>
      </c>
      <c r="E36" s="117">
        <v>1</v>
      </c>
      <c r="F36" s="117">
        <v>1</v>
      </c>
      <c r="G36" s="116" t="s">
        <v>6364</v>
      </c>
    </row>
    <row r="37" spans="1:7" ht="15" customHeight="1" x14ac:dyDescent="0.25">
      <c r="A37" s="116" t="s">
        <v>4570</v>
      </c>
      <c r="B37" s="117" t="s">
        <v>6365</v>
      </c>
      <c r="C37" s="117">
        <v>27</v>
      </c>
      <c r="D37" s="117">
        <v>6</v>
      </c>
      <c r="E37" s="117">
        <v>-21</v>
      </c>
      <c r="F37" s="117">
        <v>2</v>
      </c>
      <c r="G37" s="116" t="s">
        <v>6366</v>
      </c>
    </row>
    <row r="38" spans="1:7" ht="15" customHeight="1" x14ac:dyDescent="0.25">
      <c r="A38" s="116" t="s">
        <v>4390</v>
      </c>
      <c r="B38" s="117" t="s">
        <v>5218</v>
      </c>
      <c r="C38" s="117">
        <v>24</v>
      </c>
      <c r="D38" s="117">
        <v>5</v>
      </c>
      <c r="E38" s="117">
        <v>-19</v>
      </c>
      <c r="F38" s="117">
        <v>1</v>
      </c>
      <c r="G38" s="116" t="s">
        <v>6367</v>
      </c>
    </row>
    <row r="39" spans="1:7" ht="15" customHeight="1" x14ac:dyDescent="0.25">
      <c r="A39" s="116" t="s">
        <v>4578</v>
      </c>
      <c r="B39" s="117" t="s">
        <v>5218</v>
      </c>
      <c r="C39" s="117">
        <v>20</v>
      </c>
      <c r="D39" s="117">
        <v>6</v>
      </c>
      <c r="E39" s="117">
        <v>-14</v>
      </c>
      <c r="F39" s="117">
        <v>1</v>
      </c>
      <c r="G39" s="116" t="s">
        <v>6368</v>
      </c>
    </row>
    <row r="40" spans="1:7" ht="15" customHeight="1" x14ac:dyDescent="0.25">
      <c r="A40" s="116" t="s">
        <v>4682</v>
      </c>
      <c r="B40" s="117" t="s">
        <v>5218</v>
      </c>
      <c r="C40" s="117">
        <v>11</v>
      </c>
      <c r="D40" s="117">
        <v>1</v>
      </c>
      <c r="E40" s="117">
        <v>-10</v>
      </c>
      <c r="F40" s="117">
        <v>1</v>
      </c>
      <c r="G40" s="116" t="s">
        <v>6369</v>
      </c>
    </row>
    <row r="41" spans="1:7" ht="34.5" customHeight="1" x14ac:dyDescent="0.25">
      <c r="A41" s="116" t="s">
        <v>5022</v>
      </c>
      <c r="B41" s="117" t="s">
        <v>5218</v>
      </c>
      <c r="C41" s="117">
        <v>16</v>
      </c>
      <c r="D41" s="117">
        <v>8</v>
      </c>
      <c r="E41" s="117">
        <v>-8</v>
      </c>
      <c r="F41" s="117">
        <v>1</v>
      </c>
      <c r="G41" s="116" t="s">
        <v>6370</v>
      </c>
    </row>
    <row r="42" spans="1:7" ht="23.25" customHeight="1" x14ac:dyDescent="0.25">
      <c r="A42" s="116" t="s">
        <v>4234</v>
      </c>
      <c r="B42" s="117" t="s">
        <v>5218</v>
      </c>
      <c r="C42" s="117">
        <v>13</v>
      </c>
      <c r="D42" s="117">
        <v>5</v>
      </c>
      <c r="E42" s="117">
        <v>-8</v>
      </c>
      <c r="F42" s="117">
        <v>2</v>
      </c>
      <c r="G42" s="116" t="s">
        <v>6370</v>
      </c>
    </row>
    <row r="43" spans="1:7" ht="15" customHeight="1" x14ac:dyDescent="0.25">
      <c r="A43" s="116" t="s">
        <v>5073</v>
      </c>
      <c r="B43" s="117" t="s">
        <v>5218</v>
      </c>
      <c r="C43" s="117">
        <v>6</v>
      </c>
      <c r="D43" s="117">
        <v>1</v>
      </c>
      <c r="E43" s="117">
        <v>-5</v>
      </c>
      <c r="F43" s="117">
        <v>1</v>
      </c>
      <c r="G43" s="116" t="s">
        <v>6371</v>
      </c>
    </row>
    <row r="44" spans="1:7" ht="15" customHeight="1" x14ac:dyDescent="0.25">
      <c r="A44" s="116" t="s">
        <v>4494</v>
      </c>
      <c r="B44" s="117" t="s">
        <v>5218</v>
      </c>
      <c r="C44" s="117">
        <v>25</v>
      </c>
      <c r="D44" s="117">
        <v>23</v>
      </c>
      <c r="E44" s="117">
        <v>-2</v>
      </c>
      <c r="F44" s="117">
        <v>6</v>
      </c>
      <c r="G44" s="116" t="s">
        <v>6372</v>
      </c>
    </row>
    <row r="45" spans="1:7" ht="15" customHeight="1" x14ac:dyDescent="0.25">
      <c r="A45" s="116" t="s">
        <v>4755</v>
      </c>
      <c r="B45" s="117" t="s">
        <v>5218</v>
      </c>
      <c r="C45" s="117">
        <v>6</v>
      </c>
      <c r="D45" s="117">
        <v>5</v>
      </c>
      <c r="E45" s="117">
        <v>-1</v>
      </c>
      <c r="F45" s="117">
        <v>1</v>
      </c>
      <c r="G45" s="116" t="s">
        <v>6373</v>
      </c>
    </row>
    <row r="46" spans="1:7" ht="34.5" customHeight="1" x14ac:dyDescent="0.25">
      <c r="A46" s="116" t="s">
        <v>4485</v>
      </c>
      <c r="B46" s="117" t="s">
        <v>5218</v>
      </c>
      <c r="C46" s="117">
        <v>16</v>
      </c>
      <c r="D46" s="117"/>
      <c r="E46" s="117"/>
      <c r="F46" s="117">
        <v>0</v>
      </c>
      <c r="G46" s="116" t="s">
        <v>6374</v>
      </c>
    </row>
    <row r="47" spans="1:7" ht="34.5" customHeight="1" x14ac:dyDescent="0.25">
      <c r="A47" s="116" t="s">
        <v>4243</v>
      </c>
      <c r="B47" s="117" t="s">
        <v>5218</v>
      </c>
      <c r="C47" s="117">
        <v>13</v>
      </c>
      <c r="D47" s="117"/>
      <c r="E47" s="117"/>
      <c r="F47" s="117">
        <v>0</v>
      </c>
      <c r="G47" s="116" t="s">
        <v>6375</v>
      </c>
    </row>
    <row r="48" spans="1:7" ht="34.5" customHeight="1" x14ac:dyDescent="0.25">
      <c r="A48" s="116" t="s">
        <v>6376</v>
      </c>
      <c r="B48" s="117" t="s">
        <v>5218</v>
      </c>
      <c r="C48" s="117">
        <v>9</v>
      </c>
      <c r="D48" s="117"/>
      <c r="E48" s="117"/>
      <c r="F48" s="117">
        <v>0</v>
      </c>
      <c r="G48" s="116" t="s">
        <v>6377</v>
      </c>
    </row>
    <row r="49" spans="1:7" ht="23.25" customHeight="1" x14ac:dyDescent="0.25">
      <c r="A49" s="116" t="s">
        <v>4238</v>
      </c>
      <c r="B49" s="117" t="s">
        <v>5218</v>
      </c>
      <c r="C49" s="117">
        <v>7</v>
      </c>
      <c r="D49" s="117"/>
      <c r="E49" s="117"/>
      <c r="F49" s="117">
        <v>0</v>
      </c>
      <c r="G49" s="116" t="s">
        <v>6378</v>
      </c>
    </row>
    <row r="50" spans="1:7" ht="34.5" customHeight="1" x14ac:dyDescent="0.25">
      <c r="A50" s="116" t="s">
        <v>4337</v>
      </c>
      <c r="B50" s="117" t="s">
        <v>5218</v>
      </c>
      <c r="C50" s="117">
        <v>4</v>
      </c>
      <c r="D50" s="117"/>
      <c r="E50" s="117"/>
      <c r="F50" s="117">
        <v>0</v>
      </c>
      <c r="G50" s="116" t="s">
        <v>6379</v>
      </c>
    </row>
    <row r="51" spans="1:7" ht="34.5" customHeight="1" x14ac:dyDescent="0.25">
      <c r="A51" s="116" t="s">
        <v>5016</v>
      </c>
      <c r="B51" s="117" t="s">
        <v>5218</v>
      </c>
      <c r="C51" s="117">
        <v>4</v>
      </c>
      <c r="D51" s="117"/>
      <c r="E51" s="117"/>
      <c r="F51" s="117">
        <v>0</v>
      </c>
      <c r="G51" s="116" t="s">
        <v>6380</v>
      </c>
    </row>
    <row r="52" spans="1:7" ht="23.25" customHeight="1" x14ac:dyDescent="0.25">
      <c r="A52" s="116" t="s">
        <v>4750</v>
      </c>
      <c r="B52" s="117" t="s">
        <v>6346</v>
      </c>
      <c r="C52" s="117">
        <v>2</v>
      </c>
      <c r="D52" s="117"/>
      <c r="E52" s="117"/>
      <c r="F52" s="117">
        <v>0</v>
      </c>
      <c r="G52" s="116" t="s">
        <v>6378</v>
      </c>
    </row>
    <row r="53" spans="1:7" ht="34.5" customHeight="1" x14ac:dyDescent="0.25">
      <c r="A53" s="116" t="s">
        <v>5185</v>
      </c>
      <c r="B53" s="117" t="s">
        <v>5218</v>
      </c>
      <c r="C53" s="117">
        <v>2</v>
      </c>
      <c r="D53" s="117"/>
      <c r="E53" s="117"/>
      <c r="F53" s="117">
        <v>0</v>
      </c>
      <c r="G53" s="116" t="s">
        <v>6381</v>
      </c>
    </row>
    <row r="54" spans="1:7" ht="34.5" customHeight="1" x14ac:dyDescent="0.25">
      <c r="A54" s="116" t="s">
        <v>6382</v>
      </c>
      <c r="B54" s="117" t="s">
        <v>5218</v>
      </c>
      <c r="C54" s="117">
        <v>2</v>
      </c>
      <c r="D54" s="117"/>
      <c r="E54" s="117"/>
      <c r="F54" s="117">
        <v>0</v>
      </c>
      <c r="G54" s="116" t="s">
        <v>6383</v>
      </c>
    </row>
    <row r="55" spans="1:7" ht="34.5" customHeight="1" x14ac:dyDescent="0.25">
      <c r="A55" s="116" t="s">
        <v>4305</v>
      </c>
      <c r="B55" s="117" t="s">
        <v>5218</v>
      </c>
      <c r="C55" s="117">
        <v>1</v>
      </c>
      <c r="D55" s="117"/>
      <c r="E55" s="117"/>
      <c r="F55" s="117">
        <v>0</v>
      </c>
      <c r="G55" s="116" t="s">
        <v>6384</v>
      </c>
    </row>
    <row r="56" spans="1:7" ht="68.25" customHeight="1" x14ac:dyDescent="0.25">
      <c r="A56" s="116" t="s">
        <v>4376</v>
      </c>
      <c r="B56" s="117" t="s">
        <v>5218</v>
      </c>
      <c r="C56" s="117">
        <v>1</v>
      </c>
      <c r="D56" s="117"/>
      <c r="E56" s="117"/>
      <c r="F56" s="117">
        <v>0</v>
      </c>
      <c r="G56" s="116" t="s">
        <v>6378</v>
      </c>
    </row>
    <row r="57" spans="1:7" ht="34.5" customHeight="1" x14ac:dyDescent="0.25">
      <c r="A57" s="116" t="s">
        <v>4641</v>
      </c>
      <c r="B57" s="117" t="s">
        <v>6358</v>
      </c>
      <c r="C57" s="117">
        <v>1</v>
      </c>
      <c r="D57" s="117"/>
      <c r="E57" s="117"/>
      <c r="F57" s="117">
        <v>0</v>
      </c>
      <c r="G57" s="116" t="s">
        <v>6385</v>
      </c>
    </row>
    <row r="58" spans="1:7" ht="23.25" customHeight="1" x14ac:dyDescent="0.25">
      <c r="A58" s="116" t="s">
        <v>4644</v>
      </c>
      <c r="B58" s="117" t="s">
        <v>6358</v>
      </c>
      <c r="C58" s="117">
        <v>1</v>
      </c>
      <c r="D58" s="117"/>
      <c r="E58" s="117"/>
      <c r="F58" s="117">
        <v>0</v>
      </c>
      <c r="G58" s="116" t="s">
        <v>6378</v>
      </c>
    </row>
    <row r="59" spans="1:7" ht="79.5" customHeight="1" x14ac:dyDescent="0.25">
      <c r="A59" s="116" t="s">
        <v>4656</v>
      </c>
      <c r="B59" s="117" t="s">
        <v>6358</v>
      </c>
      <c r="C59" s="117">
        <v>1</v>
      </c>
      <c r="D59" s="117"/>
      <c r="E59" s="117"/>
      <c r="F59" s="117">
        <v>0</v>
      </c>
      <c r="G59" s="116" t="s">
        <v>6378</v>
      </c>
    </row>
    <row r="60" spans="1:7" ht="45.75" customHeight="1" x14ac:dyDescent="0.25">
      <c r="A60" s="116" t="s">
        <v>4668</v>
      </c>
      <c r="B60" s="117" t="s">
        <v>6358</v>
      </c>
      <c r="C60" s="117">
        <v>1</v>
      </c>
      <c r="D60" s="117"/>
      <c r="E60" s="117"/>
      <c r="F60" s="117">
        <v>0</v>
      </c>
      <c r="G60" s="116" t="s">
        <v>6378</v>
      </c>
    </row>
    <row r="61" spans="1:7" ht="157.5" customHeight="1" x14ac:dyDescent="0.25">
      <c r="A61" s="116" t="s">
        <v>4809</v>
      </c>
      <c r="B61" s="117" t="s">
        <v>5218</v>
      </c>
      <c r="C61" s="117">
        <v>1</v>
      </c>
      <c r="D61" s="117"/>
      <c r="E61" s="117"/>
      <c r="F61" s="117">
        <v>0</v>
      </c>
      <c r="G61" s="116" t="s">
        <v>6378</v>
      </c>
    </row>
    <row r="62" spans="1:7" ht="34.5" customHeight="1" x14ac:dyDescent="0.25">
      <c r="A62" s="116" t="s">
        <v>4872</v>
      </c>
      <c r="B62" s="117" t="s">
        <v>5218</v>
      </c>
      <c r="C62" s="117">
        <v>1</v>
      </c>
      <c r="D62" s="117"/>
      <c r="E62" s="117"/>
      <c r="F62" s="117">
        <v>0</v>
      </c>
      <c r="G62" s="116" t="s">
        <v>6380</v>
      </c>
    </row>
    <row r="63" spans="1:7" ht="34.5" customHeight="1" x14ac:dyDescent="0.25">
      <c r="A63" s="116" t="s">
        <v>6887</v>
      </c>
      <c r="B63" s="117" t="s">
        <v>5218</v>
      </c>
      <c r="C63" s="117">
        <v>0</v>
      </c>
      <c r="D63" s="117">
        <v>0</v>
      </c>
      <c r="E63" s="117">
        <v>0</v>
      </c>
      <c r="F63" s="117">
        <v>0</v>
      </c>
      <c r="G63" s="116" t="s">
        <v>6888</v>
      </c>
    </row>
    <row r="64" spans="1:7" ht="45.75" customHeight="1" x14ac:dyDescent="0.25">
      <c r="A64" s="116" t="s">
        <v>5121</v>
      </c>
      <c r="B64" s="117" t="s">
        <v>5218</v>
      </c>
      <c r="C64" s="117">
        <v>1</v>
      </c>
      <c r="D64" s="117"/>
      <c r="E64" s="117"/>
      <c r="F64" s="117">
        <v>0</v>
      </c>
      <c r="G64" s="116" t="s">
        <v>6387</v>
      </c>
    </row>
    <row r="65" spans="1:7" ht="124.5" customHeight="1" x14ac:dyDescent="0.25">
      <c r="A65" s="116" t="s">
        <v>5195</v>
      </c>
      <c r="B65" s="117" t="s">
        <v>5218</v>
      </c>
      <c r="C65" s="117">
        <v>1</v>
      </c>
      <c r="D65" s="117"/>
      <c r="E65" s="117"/>
      <c r="F65" s="117">
        <v>0</v>
      </c>
      <c r="G65" s="116" t="s">
        <v>6388</v>
      </c>
    </row>
    <row r="66" spans="1:7" ht="34.5" customHeight="1" x14ac:dyDescent="0.25">
      <c r="A66" s="116" t="s">
        <v>5221</v>
      </c>
      <c r="B66" s="117" t="s">
        <v>5218</v>
      </c>
      <c r="C66" s="117">
        <v>1</v>
      </c>
      <c r="D66" s="117"/>
      <c r="E66" s="117"/>
      <c r="F66" s="117">
        <v>0</v>
      </c>
      <c r="G66" s="116" t="s">
        <v>6389</v>
      </c>
    </row>
    <row r="67" spans="1:7" ht="34.5" customHeight="1" x14ac:dyDescent="0.25">
      <c r="A67" s="116" t="s">
        <v>5236</v>
      </c>
      <c r="B67" s="117" t="s">
        <v>5218</v>
      </c>
      <c r="C67" s="117">
        <v>1</v>
      </c>
      <c r="D67" s="117"/>
      <c r="E67" s="117"/>
      <c r="F67" s="117">
        <v>0</v>
      </c>
      <c r="G67" s="116" t="s">
        <v>6390</v>
      </c>
    </row>
    <row r="68" spans="1:7" ht="34.5" customHeight="1" x14ac:dyDescent="0.25">
      <c r="A68" s="116" t="s">
        <v>5272</v>
      </c>
      <c r="B68" s="117" t="s">
        <v>5218</v>
      </c>
      <c r="C68" s="117">
        <v>1</v>
      </c>
      <c r="D68" s="117"/>
      <c r="E68" s="117"/>
      <c r="F68" s="117">
        <v>0</v>
      </c>
      <c r="G68" s="116" t="s">
        <v>6391</v>
      </c>
    </row>
    <row r="69" spans="1:7" ht="23.25" customHeight="1" x14ac:dyDescent="0.25">
      <c r="A69" s="116" t="s">
        <v>5302</v>
      </c>
      <c r="B69" s="117" t="s">
        <v>5218</v>
      </c>
      <c r="C69" s="117">
        <v>1</v>
      </c>
      <c r="D69" s="117"/>
      <c r="E69" s="117"/>
      <c r="F69" s="117">
        <v>0</v>
      </c>
      <c r="G69" s="116" t="s">
        <v>6378</v>
      </c>
    </row>
    <row r="70" spans="1:7" ht="23.25" customHeight="1" x14ac:dyDescent="0.25">
      <c r="A70" s="116" t="s">
        <v>5000</v>
      </c>
      <c r="B70" s="117" t="s">
        <v>6392</v>
      </c>
      <c r="C70" s="117">
        <v>826</v>
      </c>
      <c r="D70" s="117">
        <v>826</v>
      </c>
      <c r="E70" s="117">
        <v>0</v>
      </c>
      <c r="F70" s="117">
        <v>1</v>
      </c>
      <c r="G70" s="116" t="s">
        <v>6393</v>
      </c>
    </row>
    <row r="71" spans="1:7" ht="15" customHeight="1" x14ac:dyDescent="0.25">
      <c r="A71" s="116" t="s">
        <v>5359</v>
      </c>
      <c r="B71" s="117" t="s">
        <v>5218</v>
      </c>
      <c r="C71" s="117">
        <v>200</v>
      </c>
      <c r="D71" s="117">
        <v>200</v>
      </c>
      <c r="E71" s="117">
        <v>0</v>
      </c>
      <c r="F71" s="117">
        <v>1</v>
      </c>
      <c r="G71" s="116" t="s">
        <v>6393</v>
      </c>
    </row>
    <row r="72" spans="1:7" ht="23.25" customHeight="1" x14ac:dyDescent="0.25">
      <c r="A72" s="116" t="s">
        <v>4550</v>
      </c>
      <c r="B72" s="117" t="s">
        <v>5218</v>
      </c>
      <c r="C72" s="117">
        <v>138</v>
      </c>
      <c r="D72" s="117">
        <v>138</v>
      </c>
      <c r="E72" s="117">
        <v>0</v>
      </c>
      <c r="F72" s="117">
        <v>3</v>
      </c>
      <c r="G72" s="116" t="s">
        <v>6393</v>
      </c>
    </row>
    <row r="73" spans="1:7" ht="15" customHeight="1" x14ac:dyDescent="0.25">
      <c r="A73" s="116" t="s">
        <v>4389</v>
      </c>
      <c r="B73" s="117" t="s">
        <v>5218</v>
      </c>
      <c r="C73" s="117">
        <v>60</v>
      </c>
      <c r="D73" s="117">
        <v>60</v>
      </c>
      <c r="E73" s="117">
        <v>0</v>
      </c>
      <c r="F73" s="117">
        <v>3</v>
      </c>
      <c r="G73" s="116" t="s">
        <v>6393</v>
      </c>
    </row>
    <row r="74" spans="1:7" ht="23.25" customHeight="1" x14ac:dyDescent="0.25">
      <c r="A74" s="116" t="s">
        <v>6394</v>
      </c>
      <c r="B74" s="117" t="s">
        <v>5218</v>
      </c>
      <c r="C74" s="117">
        <v>50</v>
      </c>
      <c r="D74" s="117">
        <v>50</v>
      </c>
      <c r="E74" s="117">
        <v>0</v>
      </c>
      <c r="F74" s="117">
        <v>1</v>
      </c>
      <c r="G74" s="116" t="s">
        <v>6393</v>
      </c>
    </row>
    <row r="75" spans="1:7" ht="15" customHeight="1" x14ac:dyDescent="0.25">
      <c r="A75" s="116" t="s">
        <v>5265</v>
      </c>
      <c r="B75" s="117" t="s">
        <v>5218</v>
      </c>
      <c r="C75" s="117">
        <v>50</v>
      </c>
      <c r="D75" s="117">
        <v>50</v>
      </c>
      <c r="E75" s="117">
        <v>0</v>
      </c>
      <c r="F75" s="117">
        <v>1</v>
      </c>
      <c r="G75" s="116" t="s">
        <v>6393</v>
      </c>
    </row>
    <row r="76" spans="1:7" ht="15" customHeight="1" x14ac:dyDescent="0.25">
      <c r="A76" s="116" t="s">
        <v>5014</v>
      </c>
      <c r="B76" s="117" t="s">
        <v>5218</v>
      </c>
      <c r="C76" s="117">
        <v>48</v>
      </c>
      <c r="D76" s="117">
        <v>48</v>
      </c>
      <c r="E76" s="117">
        <v>0</v>
      </c>
      <c r="F76" s="117">
        <v>1</v>
      </c>
      <c r="G76" s="116" t="s">
        <v>6393</v>
      </c>
    </row>
    <row r="77" spans="1:7" ht="15" customHeight="1" x14ac:dyDescent="0.25">
      <c r="A77" s="116" t="s">
        <v>4492</v>
      </c>
      <c r="B77" s="117" t="s">
        <v>5218</v>
      </c>
      <c r="C77" s="117">
        <v>46</v>
      </c>
      <c r="D77" s="117">
        <v>46</v>
      </c>
      <c r="E77" s="117">
        <v>0</v>
      </c>
      <c r="F77" s="117">
        <v>3</v>
      </c>
      <c r="G77" s="116" t="s">
        <v>6393</v>
      </c>
    </row>
    <row r="78" spans="1:7" ht="15" customHeight="1" x14ac:dyDescent="0.25">
      <c r="A78" s="116" t="s">
        <v>4493</v>
      </c>
      <c r="B78" s="117" t="s">
        <v>5218</v>
      </c>
      <c r="C78" s="117">
        <v>46</v>
      </c>
      <c r="D78" s="117">
        <v>46</v>
      </c>
      <c r="E78" s="117">
        <v>0</v>
      </c>
      <c r="F78" s="117">
        <v>1</v>
      </c>
      <c r="G78" s="116" t="s">
        <v>6393</v>
      </c>
    </row>
    <row r="79" spans="1:7" ht="34.5" customHeight="1" x14ac:dyDescent="0.25">
      <c r="A79" s="116" t="s">
        <v>4898</v>
      </c>
      <c r="B79" s="117" t="s">
        <v>5218</v>
      </c>
      <c r="C79" s="117">
        <v>42</v>
      </c>
      <c r="D79" s="117">
        <v>42</v>
      </c>
      <c r="E79" s="117">
        <v>0</v>
      </c>
      <c r="F79" s="117">
        <v>3</v>
      </c>
      <c r="G79" s="116" t="s">
        <v>6393</v>
      </c>
    </row>
    <row r="80" spans="1:7" ht="15" customHeight="1" x14ac:dyDescent="0.25">
      <c r="A80" s="116" t="s">
        <v>4360</v>
      </c>
      <c r="B80" s="117" t="s">
        <v>5218</v>
      </c>
      <c r="C80" s="117">
        <v>40</v>
      </c>
      <c r="D80" s="117">
        <v>40</v>
      </c>
      <c r="E80" s="117">
        <v>0</v>
      </c>
      <c r="F80" s="117">
        <v>1</v>
      </c>
      <c r="G80" s="116" t="s">
        <v>6393</v>
      </c>
    </row>
    <row r="81" spans="1:7" ht="34.5" customHeight="1" x14ac:dyDescent="0.25">
      <c r="A81" s="116" t="s">
        <v>5001</v>
      </c>
      <c r="B81" s="117" t="s">
        <v>5218</v>
      </c>
      <c r="C81" s="117">
        <v>40</v>
      </c>
      <c r="D81" s="117">
        <v>40</v>
      </c>
      <c r="E81" s="117">
        <v>0</v>
      </c>
      <c r="F81" s="117">
        <v>1</v>
      </c>
      <c r="G81" s="116" t="s">
        <v>6393</v>
      </c>
    </row>
    <row r="82" spans="1:7" ht="34.5" customHeight="1" x14ac:dyDescent="0.25">
      <c r="A82" s="116" t="s">
        <v>4487</v>
      </c>
      <c r="B82" s="117" t="s">
        <v>5218</v>
      </c>
      <c r="C82" s="117">
        <v>37</v>
      </c>
      <c r="D82" s="117">
        <v>37</v>
      </c>
      <c r="E82" s="117">
        <v>0</v>
      </c>
      <c r="F82" s="117">
        <v>1</v>
      </c>
      <c r="G82" s="116" t="s">
        <v>6393</v>
      </c>
    </row>
    <row r="83" spans="1:7" ht="15" customHeight="1" x14ac:dyDescent="0.25">
      <c r="A83" s="116" t="s">
        <v>4237</v>
      </c>
      <c r="B83" s="117" t="s">
        <v>5218</v>
      </c>
      <c r="C83" s="117">
        <v>34</v>
      </c>
      <c r="D83" s="117">
        <v>34</v>
      </c>
      <c r="E83" s="117">
        <v>0</v>
      </c>
      <c r="F83" s="117">
        <v>2</v>
      </c>
      <c r="G83" s="116" t="s">
        <v>6393</v>
      </c>
    </row>
    <row r="84" spans="1:7" ht="79.5" customHeight="1" x14ac:dyDescent="0.25">
      <c r="A84" s="116" t="s">
        <v>4518</v>
      </c>
      <c r="B84" s="117" t="s">
        <v>5218</v>
      </c>
      <c r="C84" s="117">
        <v>29</v>
      </c>
      <c r="D84" s="117">
        <v>29</v>
      </c>
      <c r="E84" s="117">
        <v>0</v>
      </c>
      <c r="F84" s="117">
        <v>3</v>
      </c>
      <c r="G84" s="116" t="s">
        <v>6393</v>
      </c>
    </row>
    <row r="85" spans="1:7" ht="23.25" customHeight="1" x14ac:dyDescent="0.25">
      <c r="A85" s="116" t="s">
        <v>4265</v>
      </c>
      <c r="B85" s="117" t="s">
        <v>5218</v>
      </c>
      <c r="C85" s="117">
        <v>28</v>
      </c>
      <c r="D85" s="117">
        <v>28</v>
      </c>
      <c r="E85" s="117">
        <v>0</v>
      </c>
      <c r="F85" s="117">
        <v>6</v>
      </c>
      <c r="G85" s="116" t="s">
        <v>6393</v>
      </c>
    </row>
    <row r="86" spans="1:7" ht="23.25" customHeight="1" x14ac:dyDescent="0.25">
      <c r="A86" s="116" t="s">
        <v>4231</v>
      </c>
      <c r="B86" s="117" t="s">
        <v>5218</v>
      </c>
      <c r="C86" s="117">
        <v>27</v>
      </c>
      <c r="D86" s="117">
        <v>27</v>
      </c>
      <c r="E86" s="117">
        <v>0</v>
      </c>
      <c r="F86" s="117">
        <v>5</v>
      </c>
      <c r="G86" s="116" t="s">
        <v>6393</v>
      </c>
    </row>
    <row r="87" spans="1:7" ht="15" customHeight="1" x14ac:dyDescent="0.25">
      <c r="A87" s="116" t="s">
        <v>5253</v>
      </c>
      <c r="B87" s="117" t="s">
        <v>5218</v>
      </c>
      <c r="C87" s="117">
        <v>27</v>
      </c>
      <c r="D87" s="117">
        <v>27</v>
      </c>
      <c r="E87" s="117">
        <v>0</v>
      </c>
      <c r="F87" s="117">
        <v>1</v>
      </c>
      <c r="G87" s="116" t="s">
        <v>6393</v>
      </c>
    </row>
    <row r="88" spans="1:7" ht="23.25" customHeight="1" x14ac:dyDescent="0.25">
      <c r="A88" s="116" t="s">
        <v>4281</v>
      </c>
      <c r="B88" s="117" t="s">
        <v>5218</v>
      </c>
      <c r="C88" s="117">
        <v>26</v>
      </c>
      <c r="D88" s="117">
        <v>26</v>
      </c>
      <c r="E88" s="117">
        <v>0</v>
      </c>
      <c r="F88" s="117">
        <v>2</v>
      </c>
      <c r="G88" s="116" t="s">
        <v>6393</v>
      </c>
    </row>
    <row r="89" spans="1:7" ht="15" customHeight="1" x14ac:dyDescent="0.25">
      <c r="A89" s="116" t="s">
        <v>5257</v>
      </c>
      <c r="B89" s="117" t="s">
        <v>5218</v>
      </c>
      <c r="C89" s="117">
        <v>26</v>
      </c>
      <c r="D89" s="117">
        <v>26</v>
      </c>
      <c r="E89" s="117">
        <v>0</v>
      </c>
      <c r="F89" s="117">
        <v>1</v>
      </c>
      <c r="G89" s="116" t="s">
        <v>6393</v>
      </c>
    </row>
    <row r="90" spans="1:7" ht="15" customHeight="1" x14ac:dyDescent="0.25">
      <c r="A90" s="116" t="s">
        <v>5018</v>
      </c>
      <c r="B90" s="117" t="s">
        <v>5218</v>
      </c>
      <c r="C90" s="117">
        <v>25</v>
      </c>
      <c r="D90" s="117">
        <v>25</v>
      </c>
      <c r="E90" s="117">
        <v>0</v>
      </c>
      <c r="F90" s="117">
        <v>1</v>
      </c>
      <c r="G90" s="116" t="s">
        <v>6393</v>
      </c>
    </row>
    <row r="91" spans="1:7" ht="15" customHeight="1" x14ac:dyDescent="0.25">
      <c r="A91" s="116" t="s">
        <v>5019</v>
      </c>
      <c r="B91" s="117" t="s">
        <v>5218</v>
      </c>
      <c r="C91" s="117">
        <v>25</v>
      </c>
      <c r="D91" s="117">
        <v>25</v>
      </c>
      <c r="E91" s="117">
        <v>0</v>
      </c>
      <c r="F91" s="117">
        <v>1</v>
      </c>
      <c r="G91" s="116" t="s">
        <v>6393</v>
      </c>
    </row>
    <row r="92" spans="1:7" ht="15" customHeight="1" x14ac:dyDescent="0.25">
      <c r="A92" s="116" t="s">
        <v>4311</v>
      </c>
      <c r="B92" s="117" t="s">
        <v>5218</v>
      </c>
      <c r="C92" s="117">
        <v>23</v>
      </c>
      <c r="D92" s="117">
        <v>23</v>
      </c>
      <c r="E92" s="117">
        <v>0</v>
      </c>
      <c r="F92" s="117">
        <v>9</v>
      </c>
      <c r="G92" s="116" t="s">
        <v>6393</v>
      </c>
    </row>
    <row r="93" spans="1:7" ht="23.25" customHeight="1" x14ac:dyDescent="0.25">
      <c r="A93" s="116" t="s">
        <v>4248</v>
      </c>
      <c r="B93" s="117" t="s">
        <v>5218</v>
      </c>
      <c r="C93" s="117">
        <v>20</v>
      </c>
      <c r="D93" s="117">
        <v>20</v>
      </c>
      <c r="E93" s="117">
        <v>0</v>
      </c>
      <c r="F93" s="117">
        <v>1</v>
      </c>
      <c r="G93" s="116" t="s">
        <v>6393</v>
      </c>
    </row>
    <row r="94" spans="1:7" ht="23.25" customHeight="1" x14ac:dyDescent="0.25">
      <c r="A94" s="116" t="s">
        <v>4975</v>
      </c>
      <c r="B94" s="117" t="s">
        <v>5218</v>
      </c>
      <c r="C94" s="117">
        <v>20</v>
      </c>
      <c r="D94" s="117">
        <v>20</v>
      </c>
      <c r="E94" s="117">
        <v>0</v>
      </c>
      <c r="F94" s="117">
        <v>1</v>
      </c>
      <c r="G94" s="116" t="s">
        <v>6393</v>
      </c>
    </row>
    <row r="95" spans="1:7" ht="15" customHeight="1" x14ac:dyDescent="0.25">
      <c r="A95" s="116" t="s">
        <v>4277</v>
      </c>
      <c r="B95" s="117" t="s">
        <v>5218</v>
      </c>
      <c r="C95" s="117">
        <v>18</v>
      </c>
      <c r="D95" s="117">
        <v>18</v>
      </c>
      <c r="E95" s="117">
        <v>0</v>
      </c>
      <c r="F95" s="117">
        <v>3</v>
      </c>
      <c r="G95" s="116" t="s">
        <v>6393</v>
      </c>
    </row>
    <row r="96" spans="1:7" ht="15" customHeight="1" x14ac:dyDescent="0.25">
      <c r="A96" s="116" t="s">
        <v>4347</v>
      </c>
      <c r="B96" s="117" t="s">
        <v>5218</v>
      </c>
      <c r="C96" s="117">
        <v>17</v>
      </c>
      <c r="D96" s="117">
        <v>17</v>
      </c>
      <c r="E96" s="117">
        <v>0</v>
      </c>
      <c r="F96" s="117">
        <v>3</v>
      </c>
      <c r="G96" s="116" t="s">
        <v>6393</v>
      </c>
    </row>
    <row r="97" spans="1:7" ht="23.25" customHeight="1" x14ac:dyDescent="0.25">
      <c r="A97" s="116" t="s">
        <v>4268</v>
      </c>
      <c r="B97" s="117" t="s">
        <v>5218</v>
      </c>
      <c r="C97" s="117">
        <v>16</v>
      </c>
      <c r="D97" s="117">
        <v>16</v>
      </c>
      <c r="E97" s="117">
        <v>0</v>
      </c>
      <c r="F97" s="117">
        <v>5</v>
      </c>
      <c r="G97" s="116" t="s">
        <v>6393</v>
      </c>
    </row>
    <row r="98" spans="1:7" ht="23.25" customHeight="1" x14ac:dyDescent="0.25">
      <c r="A98" s="116" t="s">
        <v>5008</v>
      </c>
      <c r="B98" s="117" t="s">
        <v>5218</v>
      </c>
      <c r="C98" s="117">
        <v>16</v>
      </c>
      <c r="D98" s="117">
        <v>16</v>
      </c>
      <c r="E98" s="117">
        <v>0</v>
      </c>
      <c r="F98" s="117">
        <v>1</v>
      </c>
      <c r="G98" s="116" t="s">
        <v>6393</v>
      </c>
    </row>
    <row r="99" spans="1:7" ht="15" customHeight="1" x14ac:dyDescent="0.25">
      <c r="A99" s="116" t="s">
        <v>4964</v>
      </c>
      <c r="B99" s="117" t="s">
        <v>5218</v>
      </c>
      <c r="C99" s="117">
        <v>15</v>
      </c>
      <c r="D99" s="117">
        <v>15</v>
      </c>
      <c r="E99" s="117">
        <v>0</v>
      </c>
      <c r="F99" s="117">
        <v>1</v>
      </c>
      <c r="G99" s="116" t="s">
        <v>6393</v>
      </c>
    </row>
    <row r="100" spans="1:7" ht="34.5" customHeight="1" x14ac:dyDescent="0.25">
      <c r="A100" s="116" t="s">
        <v>4384</v>
      </c>
      <c r="B100" s="117" t="s">
        <v>5218</v>
      </c>
      <c r="C100" s="117">
        <v>14</v>
      </c>
      <c r="D100" s="117">
        <v>14</v>
      </c>
      <c r="E100" s="117">
        <v>0</v>
      </c>
      <c r="F100" s="117">
        <v>5</v>
      </c>
      <c r="G100" s="116" t="s">
        <v>6393</v>
      </c>
    </row>
    <row r="101" spans="1:7" ht="15" customHeight="1" x14ac:dyDescent="0.25">
      <c r="A101" s="116" t="s">
        <v>6395</v>
      </c>
      <c r="B101" s="117" t="s">
        <v>5218</v>
      </c>
      <c r="C101" s="117">
        <v>12</v>
      </c>
      <c r="D101" s="117">
        <v>12</v>
      </c>
      <c r="E101" s="117">
        <v>0</v>
      </c>
      <c r="F101" s="117">
        <v>5</v>
      </c>
      <c r="G101" s="116" t="s">
        <v>6393</v>
      </c>
    </row>
    <row r="102" spans="1:7" ht="23.25" customHeight="1" x14ac:dyDescent="0.25">
      <c r="A102" s="116" t="s">
        <v>4552</v>
      </c>
      <c r="B102" s="117" t="s">
        <v>5218</v>
      </c>
      <c r="C102" s="117">
        <v>12</v>
      </c>
      <c r="D102" s="117">
        <v>12</v>
      </c>
      <c r="E102" s="117">
        <v>0</v>
      </c>
      <c r="F102" s="117">
        <v>2</v>
      </c>
      <c r="G102" s="116" t="s">
        <v>6393</v>
      </c>
    </row>
    <row r="103" spans="1:7" ht="15" customHeight="1" x14ac:dyDescent="0.25">
      <c r="A103" s="116" t="s">
        <v>4971</v>
      </c>
      <c r="B103" s="117" t="s">
        <v>5218</v>
      </c>
      <c r="C103" s="117">
        <v>12</v>
      </c>
      <c r="D103" s="117">
        <v>12</v>
      </c>
      <c r="E103" s="117">
        <v>0</v>
      </c>
      <c r="F103" s="117">
        <v>1</v>
      </c>
      <c r="G103" s="116" t="s">
        <v>6393</v>
      </c>
    </row>
    <row r="104" spans="1:7" ht="23.25" customHeight="1" x14ac:dyDescent="0.25">
      <c r="A104" s="116" t="s">
        <v>5067</v>
      </c>
      <c r="B104" s="117" t="s">
        <v>5218</v>
      </c>
      <c r="C104" s="117">
        <v>12</v>
      </c>
      <c r="D104" s="117">
        <v>12</v>
      </c>
      <c r="E104" s="117">
        <v>0</v>
      </c>
      <c r="F104" s="117">
        <v>5</v>
      </c>
      <c r="G104" s="116" t="s">
        <v>6393</v>
      </c>
    </row>
    <row r="105" spans="1:7" ht="15" customHeight="1" x14ac:dyDescent="0.25">
      <c r="A105" s="116" t="s">
        <v>5017</v>
      </c>
      <c r="B105" s="117" t="s">
        <v>5218</v>
      </c>
      <c r="C105" s="117">
        <v>10</v>
      </c>
      <c r="D105" s="117">
        <v>10</v>
      </c>
      <c r="E105" s="117">
        <v>0</v>
      </c>
      <c r="F105" s="117">
        <v>1</v>
      </c>
      <c r="G105" s="116" t="s">
        <v>6393</v>
      </c>
    </row>
    <row r="106" spans="1:7" ht="23.25" customHeight="1" x14ac:dyDescent="0.25">
      <c r="A106" s="116" t="s">
        <v>5104</v>
      </c>
      <c r="B106" s="117" t="s">
        <v>5218</v>
      </c>
      <c r="C106" s="117">
        <v>10</v>
      </c>
      <c r="D106" s="117">
        <v>10</v>
      </c>
      <c r="E106" s="117">
        <v>0</v>
      </c>
      <c r="F106" s="117">
        <v>2</v>
      </c>
      <c r="G106" s="116" t="s">
        <v>6393</v>
      </c>
    </row>
    <row r="107" spans="1:7" ht="15" customHeight="1" x14ac:dyDescent="0.25">
      <c r="A107" s="116" t="s">
        <v>5150</v>
      </c>
      <c r="B107" s="117" t="s">
        <v>5218</v>
      </c>
      <c r="C107" s="117">
        <v>10</v>
      </c>
      <c r="D107" s="117">
        <v>10</v>
      </c>
      <c r="E107" s="117">
        <v>0</v>
      </c>
      <c r="F107" s="117">
        <v>1</v>
      </c>
      <c r="G107" s="116" t="s">
        <v>6393</v>
      </c>
    </row>
    <row r="108" spans="1:7" ht="15" customHeight="1" x14ac:dyDescent="0.25">
      <c r="A108" s="116" t="s">
        <v>4667</v>
      </c>
      <c r="B108" s="117" t="s">
        <v>5218</v>
      </c>
      <c r="C108" s="117">
        <v>9</v>
      </c>
      <c r="D108" s="117">
        <v>9</v>
      </c>
      <c r="E108" s="117">
        <v>0</v>
      </c>
      <c r="F108" s="117">
        <v>1</v>
      </c>
      <c r="G108" s="116" t="s">
        <v>6393</v>
      </c>
    </row>
    <row r="109" spans="1:7" ht="34.5" customHeight="1" x14ac:dyDescent="0.25">
      <c r="A109" s="116" t="s">
        <v>4813</v>
      </c>
      <c r="B109" s="117" t="s">
        <v>5218</v>
      </c>
      <c r="C109" s="117">
        <v>8</v>
      </c>
      <c r="D109" s="117">
        <v>8</v>
      </c>
      <c r="E109" s="117">
        <v>0</v>
      </c>
      <c r="F109" s="117">
        <v>3</v>
      </c>
      <c r="G109" s="116" t="s">
        <v>6393</v>
      </c>
    </row>
    <row r="110" spans="1:7" ht="15" customHeight="1" x14ac:dyDescent="0.25">
      <c r="A110" s="116" t="s">
        <v>5070</v>
      </c>
      <c r="B110" s="117" t="s">
        <v>5218</v>
      </c>
      <c r="C110" s="117">
        <v>8</v>
      </c>
      <c r="D110" s="117">
        <v>8</v>
      </c>
      <c r="E110" s="117">
        <v>0</v>
      </c>
      <c r="F110" s="117">
        <v>1</v>
      </c>
      <c r="G110" s="116" t="s">
        <v>6393</v>
      </c>
    </row>
    <row r="111" spans="1:7" ht="34.5" customHeight="1" x14ac:dyDescent="0.25">
      <c r="A111" s="116" t="s">
        <v>4275</v>
      </c>
      <c r="B111" s="117" t="s">
        <v>5218</v>
      </c>
      <c r="C111" s="117">
        <v>7</v>
      </c>
      <c r="D111" s="117">
        <v>7</v>
      </c>
      <c r="E111" s="117">
        <v>0</v>
      </c>
      <c r="F111" s="117">
        <v>2</v>
      </c>
      <c r="G111" s="116" t="s">
        <v>6393</v>
      </c>
    </row>
    <row r="112" spans="1:7" ht="15" customHeight="1" x14ac:dyDescent="0.25">
      <c r="A112" s="116" t="s">
        <v>4286</v>
      </c>
      <c r="B112" s="117" t="s">
        <v>5218</v>
      </c>
      <c r="C112" s="117">
        <v>7</v>
      </c>
      <c r="D112" s="117">
        <v>7</v>
      </c>
      <c r="E112" s="117">
        <v>0</v>
      </c>
      <c r="F112" s="117">
        <v>1</v>
      </c>
      <c r="G112" s="116" t="s">
        <v>6393</v>
      </c>
    </row>
    <row r="113" spans="1:7" ht="15" customHeight="1" x14ac:dyDescent="0.25">
      <c r="A113" s="116" t="s">
        <v>4290</v>
      </c>
      <c r="B113" s="117" t="s">
        <v>5218</v>
      </c>
      <c r="C113" s="117">
        <v>7</v>
      </c>
      <c r="D113" s="117">
        <v>7</v>
      </c>
      <c r="E113" s="117">
        <v>0</v>
      </c>
      <c r="F113" s="117">
        <v>3</v>
      </c>
      <c r="G113" s="116" t="s">
        <v>6393</v>
      </c>
    </row>
    <row r="114" spans="1:7" ht="15" customHeight="1" x14ac:dyDescent="0.25">
      <c r="A114" s="116" t="s">
        <v>4816</v>
      </c>
      <c r="B114" s="117" t="s">
        <v>5218</v>
      </c>
      <c r="C114" s="117">
        <v>7</v>
      </c>
      <c r="D114" s="117">
        <v>7</v>
      </c>
      <c r="E114" s="117">
        <v>0</v>
      </c>
      <c r="F114" s="117">
        <v>1</v>
      </c>
      <c r="G114" s="116" t="s">
        <v>6393</v>
      </c>
    </row>
    <row r="115" spans="1:7" ht="15" customHeight="1" x14ac:dyDescent="0.25">
      <c r="A115" s="116" t="s">
        <v>4279</v>
      </c>
      <c r="B115" s="117" t="s">
        <v>5218</v>
      </c>
      <c r="C115" s="117">
        <v>6</v>
      </c>
      <c r="D115" s="117">
        <v>6</v>
      </c>
      <c r="E115" s="117">
        <v>0</v>
      </c>
      <c r="F115" s="117">
        <v>2</v>
      </c>
      <c r="G115" s="116" t="s">
        <v>6393</v>
      </c>
    </row>
    <row r="116" spans="1:7" ht="23.25" customHeight="1" x14ac:dyDescent="0.25">
      <c r="A116" s="116" t="s">
        <v>4284</v>
      </c>
      <c r="B116" s="117" t="s">
        <v>5218</v>
      </c>
      <c r="C116" s="117">
        <v>6</v>
      </c>
      <c r="D116" s="117">
        <v>6</v>
      </c>
      <c r="E116" s="117">
        <v>0</v>
      </c>
      <c r="F116" s="117">
        <v>2</v>
      </c>
      <c r="G116" s="116" t="s">
        <v>6393</v>
      </c>
    </row>
    <row r="117" spans="1:7" ht="23.25" customHeight="1" x14ac:dyDescent="0.25">
      <c r="A117" s="116" t="s">
        <v>4309</v>
      </c>
      <c r="B117" s="117" t="s">
        <v>5218</v>
      </c>
      <c r="C117" s="117">
        <v>6</v>
      </c>
      <c r="D117" s="117">
        <v>6</v>
      </c>
      <c r="E117" s="117">
        <v>0</v>
      </c>
      <c r="F117" s="117">
        <v>1</v>
      </c>
      <c r="G117" s="116" t="s">
        <v>6393</v>
      </c>
    </row>
    <row r="118" spans="1:7" ht="15" customHeight="1" x14ac:dyDescent="0.25">
      <c r="A118" s="116" t="s">
        <v>4409</v>
      </c>
      <c r="B118" s="117" t="s">
        <v>5218</v>
      </c>
      <c r="C118" s="117">
        <v>6</v>
      </c>
      <c r="D118" s="117">
        <v>6</v>
      </c>
      <c r="E118" s="117">
        <v>0</v>
      </c>
      <c r="F118" s="117">
        <v>1</v>
      </c>
      <c r="G118" s="116" t="s">
        <v>6393</v>
      </c>
    </row>
    <row r="119" spans="1:7" ht="23.25" customHeight="1" x14ac:dyDescent="0.25">
      <c r="A119" s="116" t="s">
        <v>4554</v>
      </c>
      <c r="B119" s="117" t="s">
        <v>5218</v>
      </c>
      <c r="C119" s="117">
        <v>6</v>
      </c>
      <c r="D119" s="117">
        <v>6</v>
      </c>
      <c r="E119" s="117">
        <v>0</v>
      </c>
      <c r="F119" s="117">
        <v>3</v>
      </c>
      <c r="G119" s="116" t="s">
        <v>6393</v>
      </c>
    </row>
    <row r="120" spans="1:7" ht="68.25" customHeight="1" x14ac:dyDescent="0.25">
      <c r="A120" s="116" t="s">
        <v>4566</v>
      </c>
      <c r="B120" s="117" t="s">
        <v>5218</v>
      </c>
      <c r="C120" s="117">
        <v>6</v>
      </c>
      <c r="D120" s="117">
        <v>6</v>
      </c>
      <c r="E120" s="117">
        <v>0</v>
      </c>
      <c r="F120" s="117">
        <v>3</v>
      </c>
      <c r="G120" s="116" t="s">
        <v>6393</v>
      </c>
    </row>
    <row r="121" spans="1:7" ht="15" customHeight="1" x14ac:dyDescent="0.25">
      <c r="A121" s="116" t="s">
        <v>4571</v>
      </c>
      <c r="B121" s="117" t="s">
        <v>6358</v>
      </c>
      <c r="C121" s="117">
        <v>6</v>
      </c>
      <c r="D121" s="117">
        <v>6</v>
      </c>
      <c r="E121" s="117">
        <v>0</v>
      </c>
      <c r="F121" s="117">
        <v>1</v>
      </c>
      <c r="G121" s="116" t="s">
        <v>6393</v>
      </c>
    </row>
    <row r="122" spans="1:7" ht="15" customHeight="1" x14ac:dyDescent="0.25">
      <c r="A122" s="116" t="s">
        <v>4572</v>
      </c>
      <c r="B122" s="117" t="s">
        <v>5218</v>
      </c>
      <c r="C122" s="117">
        <v>6</v>
      </c>
      <c r="D122" s="117">
        <v>6</v>
      </c>
      <c r="E122" s="117">
        <v>0</v>
      </c>
      <c r="F122" s="117">
        <v>1</v>
      </c>
      <c r="G122" s="116" t="s">
        <v>6393</v>
      </c>
    </row>
    <row r="123" spans="1:7" ht="15" customHeight="1" x14ac:dyDescent="0.25">
      <c r="A123" s="116" t="s">
        <v>4573</v>
      </c>
      <c r="B123" s="117" t="s">
        <v>5218</v>
      </c>
      <c r="C123" s="117">
        <v>6</v>
      </c>
      <c r="D123" s="117">
        <v>6</v>
      </c>
      <c r="E123" s="117">
        <v>0</v>
      </c>
      <c r="F123" s="117">
        <v>1</v>
      </c>
      <c r="G123" s="116" t="s">
        <v>6393</v>
      </c>
    </row>
    <row r="124" spans="1:7" ht="15" customHeight="1" x14ac:dyDescent="0.25">
      <c r="A124" s="116" t="s">
        <v>4575</v>
      </c>
      <c r="B124" s="117" t="s">
        <v>5218</v>
      </c>
      <c r="C124" s="117">
        <v>6</v>
      </c>
      <c r="D124" s="117">
        <v>6</v>
      </c>
      <c r="E124" s="117">
        <v>0</v>
      </c>
      <c r="F124" s="117">
        <v>1</v>
      </c>
      <c r="G124" s="116" t="s">
        <v>6393</v>
      </c>
    </row>
    <row r="125" spans="1:7" ht="15" customHeight="1" x14ac:dyDescent="0.25">
      <c r="A125" s="116" t="s">
        <v>4576</v>
      </c>
      <c r="B125" s="117" t="s">
        <v>5218</v>
      </c>
      <c r="C125" s="117">
        <v>6</v>
      </c>
      <c r="D125" s="117">
        <v>6</v>
      </c>
      <c r="E125" s="117">
        <v>0</v>
      </c>
      <c r="F125" s="117">
        <v>1</v>
      </c>
      <c r="G125" s="116" t="s">
        <v>6393</v>
      </c>
    </row>
    <row r="126" spans="1:7" ht="15" customHeight="1" x14ac:dyDescent="0.25">
      <c r="A126" s="116" t="s">
        <v>4791</v>
      </c>
      <c r="B126" s="117" t="s">
        <v>6346</v>
      </c>
      <c r="C126" s="117">
        <v>6</v>
      </c>
      <c r="D126" s="117">
        <v>6</v>
      </c>
      <c r="E126" s="117">
        <v>0</v>
      </c>
      <c r="F126" s="117">
        <v>2</v>
      </c>
      <c r="G126" s="116" t="s">
        <v>6393</v>
      </c>
    </row>
    <row r="127" spans="1:7" ht="23.25" customHeight="1" x14ac:dyDescent="0.25">
      <c r="A127" s="116" t="s">
        <v>5064</v>
      </c>
      <c r="B127" s="117" t="s">
        <v>5218</v>
      </c>
      <c r="C127" s="117">
        <v>6</v>
      </c>
      <c r="D127" s="117">
        <v>6</v>
      </c>
      <c r="E127" s="117">
        <v>0</v>
      </c>
      <c r="F127" s="117">
        <v>3</v>
      </c>
      <c r="G127" s="116" t="s">
        <v>6393</v>
      </c>
    </row>
    <row r="128" spans="1:7" ht="15" customHeight="1" x14ac:dyDescent="0.25">
      <c r="A128" s="116" t="s">
        <v>5267</v>
      </c>
      <c r="B128" s="117" t="s">
        <v>5218</v>
      </c>
      <c r="C128" s="117">
        <v>6</v>
      </c>
      <c r="D128" s="117">
        <v>6</v>
      </c>
      <c r="E128" s="117">
        <v>0</v>
      </c>
      <c r="F128" s="117">
        <v>1</v>
      </c>
      <c r="G128" s="116" t="s">
        <v>6393</v>
      </c>
    </row>
    <row r="129" spans="1:7" ht="15" customHeight="1" x14ac:dyDescent="0.25">
      <c r="A129" s="116" t="s">
        <v>4386</v>
      </c>
      <c r="B129" s="117" t="s">
        <v>5218</v>
      </c>
      <c r="C129" s="117">
        <v>5</v>
      </c>
      <c r="D129" s="117">
        <v>5</v>
      </c>
      <c r="E129" s="117">
        <v>0</v>
      </c>
      <c r="F129" s="117">
        <v>3</v>
      </c>
      <c r="G129" s="116" t="s">
        <v>6393</v>
      </c>
    </row>
    <row r="130" spans="1:7" ht="15" customHeight="1" x14ac:dyDescent="0.25">
      <c r="A130" s="116" t="s">
        <v>4795</v>
      </c>
      <c r="B130" s="117" t="s">
        <v>5218</v>
      </c>
      <c r="C130" s="117">
        <v>5</v>
      </c>
      <c r="D130" s="117">
        <v>5</v>
      </c>
      <c r="E130" s="117">
        <v>0</v>
      </c>
      <c r="F130" s="117">
        <v>2</v>
      </c>
      <c r="G130" s="116" t="s">
        <v>6393</v>
      </c>
    </row>
    <row r="131" spans="1:7" ht="34.5" customHeight="1" x14ac:dyDescent="0.25">
      <c r="A131" s="116" t="s">
        <v>4999</v>
      </c>
      <c r="B131" s="117" t="s">
        <v>5218</v>
      </c>
      <c r="C131" s="117">
        <v>5</v>
      </c>
      <c r="D131" s="117">
        <v>5</v>
      </c>
      <c r="E131" s="117">
        <v>0</v>
      </c>
      <c r="F131" s="117">
        <v>1</v>
      </c>
      <c r="G131" s="116" t="s">
        <v>6393</v>
      </c>
    </row>
    <row r="132" spans="1:7" ht="34.5" customHeight="1" x14ac:dyDescent="0.25">
      <c r="A132" s="116" t="s">
        <v>5010</v>
      </c>
      <c r="B132" s="117" t="s">
        <v>5218</v>
      </c>
      <c r="C132" s="117">
        <v>5</v>
      </c>
      <c r="D132" s="117">
        <v>5</v>
      </c>
      <c r="E132" s="117">
        <v>0</v>
      </c>
      <c r="F132" s="117">
        <v>1</v>
      </c>
      <c r="G132" s="116" t="s">
        <v>6393</v>
      </c>
    </row>
    <row r="133" spans="1:7" ht="15" customHeight="1" x14ac:dyDescent="0.25">
      <c r="A133" s="116" t="s">
        <v>5012</v>
      </c>
      <c r="B133" s="117" t="s">
        <v>5218</v>
      </c>
      <c r="C133" s="117">
        <v>5</v>
      </c>
      <c r="D133" s="117">
        <v>5</v>
      </c>
      <c r="E133" s="117">
        <v>0</v>
      </c>
      <c r="F133" s="117">
        <v>1</v>
      </c>
      <c r="G133" s="116" t="s">
        <v>6393</v>
      </c>
    </row>
    <row r="134" spans="1:7" ht="23.25" customHeight="1" x14ac:dyDescent="0.25">
      <c r="A134" s="116" t="s">
        <v>5149</v>
      </c>
      <c r="B134" s="117" t="s">
        <v>5218</v>
      </c>
      <c r="C134" s="117">
        <v>5</v>
      </c>
      <c r="D134" s="117">
        <v>5</v>
      </c>
      <c r="E134" s="117">
        <v>0</v>
      </c>
      <c r="F134" s="117">
        <v>1</v>
      </c>
      <c r="G134" s="116" t="s">
        <v>6393</v>
      </c>
    </row>
    <row r="135" spans="1:7" ht="15" customHeight="1" x14ac:dyDescent="0.25">
      <c r="A135" s="116" t="s">
        <v>4291</v>
      </c>
      <c r="B135" s="117" t="s">
        <v>5218</v>
      </c>
      <c r="C135" s="117">
        <v>4</v>
      </c>
      <c r="D135" s="117">
        <v>4</v>
      </c>
      <c r="E135" s="117">
        <v>0</v>
      </c>
      <c r="F135" s="117">
        <v>1</v>
      </c>
      <c r="G135" s="116" t="s">
        <v>6393</v>
      </c>
    </row>
    <row r="136" spans="1:7" ht="15" customHeight="1" x14ac:dyDescent="0.25">
      <c r="A136" s="116" t="s">
        <v>4422</v>
      </c>
      <c r="B136" s="117" t="s">
        <v>5218</v>
      </c>
      <c r="C136" s="117">
        <v>4</v>
      </c>
      <c r="D136" s="117">
        <v>4</v>
      </c>
      <c r="E136" s="117">
        <v>0</v>
      </c>
      <c r="F136" s="117">
        <v>1</v>
      </c>
      <c r="G136" s="116" t="s">
        <v>6393</v>
      </c>
    </row>
    <row r="137" spans="1:7" ht="79.5" customHeight="1" x14ac:dyDescent="0.25">
      <c r="A137" s="116" t="s">
        <v>4522</v>
      </c>
      <c r="B137" s="117" t="s">
        <v>5218</v>
      </c>
      <c r="C137" s="117">
        <v>4</v>
      </c>
      <c r="D137" s="117">
        <v>4</v>
      </c>
      <c r="E137" s="117">
        <v>0</v>
      </c>
      <c r="F137" s="117">
        <v>2</v>
      </c>
      <c r="G137" s="116" t="s">
        <v>6393</v>
      </c>
    </row>
    <row r="138" spans="1:7" ht="23.25" customHeight="1" x14ac:dyDescent="0.25">
      <c r="A138" s="116" t="s">
        <v>4725</v>
      </c>
      <c r="B138" s="117" t="s">
        <v>5218</v>
      </c>
      <c r="C138" s="117">
        <v>4</v>
      </c>
      <c r="D138" s="117">
        <v>4</v>
      </c>
      <c r="E138" s="117">
        <v>0</v>
      </c>
      <c r="F138" s="117">
        <v>1</v>
      </c>
      <c r="G138" s="116" t="s">
        <v>6393</v>
      </c>
    </row>
    <row r="139" spans="1:7" ht="34.5" customHeight="1" x14ac:dyDescent="0.25">
      <c r="A139" s="116" t="s">
        <v>4734</v>
      </c>
      <c r="B139" s="117" t="s">
        <v>5218</v>
      </c>
      <c r="C139" s="117">
        <v>4</v>
      </c>
      <c r="D139" s="117">
        <v>4</v>
      </c>
      <c r="E139" s="117">
        <v>0</v>
      </c>
      <c r="F139" s="117">
        <v>2</v>
      </c>
      <c r="G139" s="116" t="s">
        <v>6393</v>
      </c>
    </row>
    <row r="140" spans="1:7" ht="15" customHeight="1" x14ac:dyDescent="0.25">
      <c r="A140" s="116" t="s">
        <v>4757</v>
      </c>
      <c r="B140" s="117" t="s">
        <v>5218</v>
      </c>
      <c r="C140" s="117">
        <v>4</v>
      </c>
      <c r="D140" s="117">
        <v>4</v>
      </c>
      <c r="E140" s="117">
        <v>0</v>
      </c>
      <c r="F140" s="117">
        <v>1</v>
      </c>
      <c r="G140" s="116" t="s">
        <v>6393</v>
      </c>
    </row>
    <row r="141" spans="1:7" ht="15" customHeight="1" x14ac:dyDescent="0.25">
      <c r="A141" s="116" t="s">
        <v>4759</v>
      </c>
      <c r="B141" s="117" t="s">
        <v>5218</v>
      </c>
      <c r="C141" s="117">
        <v>4</v>
      </c>
      <c r="D141" s="117">
        <v>4</v>
      </c>
      <c r="E141" s="117">
        <v>0</v>
      </c>
      <c r="F141" s="117">
        <v>1</v>
      </c>
      <c r="G141" s="116" t="s">
        <v>6393</v>
      </c>
    </row>
    <row r="142" spans="1:7" ht="23.25" customHeight="1" x14ac:dyDescent="0.25">
      <c r="A142" s="116" t="s">
        <v>4966</v>
      </c>
      <c r="B142" s="117" t="s">
        <v>5218</v>
      </c>
      <c r="C142" s="117">
        <v>4</v>
      </c>
      <c r="D142" s="117">
        <v>4</v>
      </c>
      <c r="E142" s="117">
        <v>0</v>
      </c>
      <c r="F142" s="117">
        <v>1</v>
      </c>
      <c r="G142" s="116" t="s">
        <v>6393</v>
      </c>
    </row>
    <row r="143" spans="1:7" ht="23.25" customHeight="1" x14ac:dyDescent="0.25">
      <c r="A143" s="116" t="s">
        <v>4969</v>
      </c>
      <c r="B143" s="117" t="s">
        <v>5218</v>
      </c>
      <c r="C143" s="117">
        <v>4</v>
      </c>
      <c r="D143" s="117">
        <v>4</v>
      </c>
      <c r="E143" s="117">
        <v>0</v>
      </c>
      <c r="F143" s="117">
        <v>1</v>
      </c>
      <c r="G143" s="116" t="s">
        <v>6393</v>
      </c>
    </row>
    <row r="144" spans="1:7" ht="15" customHeight="1" x14ac:dyDescent="0.25">
      <c r="A144" s="116" t="s">
        <v>4978</v>
      </c>
      <c r="B144" s="117" t="s">
        <v>5218</v>
      </c>
      <c r="C144" s="117">
        <v>4</v>
      </c>
      <c r="D144" s="117">
        <v>4</v>
      </c>
      <c r="E144" s="117">
        <v>0</v>
      </c>
      <c r="F144" s="117">
        <v>1</v>
      </c>
      <c r="G144" s="116" t="s">
        <v>6393</v>
      </c>
    </row>
    <row r="145" spans="1:7" ht="15" customHeight="1" x14ac:dyDescent="0.25">
      <c r="A145" s="116" t="s">
        <v>4992</v>
      </c>
      <c r="B145" s="117" t="s">
        <v>5218</v>
      </c>
      <c r="C145" s="117">
        <v>4</v>
      </c>
      <c r="D145" s="117">
        <v>4</v>
      </c>
      <c r="E145" s="117">
        <v>0</v>
      </c>
      <c r="F145" s="117">
        <v>1</v>
      </c>
      <c r="G145" s="116" t="s">
        <v>6393</v>
      </c>
    </row>
    <row r="146" spans="1:7" ht="23.25" customHeight="1" x14ac:dyDescent="0.25">
      <c r="A146" s="116" t="s">
        <v>5127</v>
      </c>
      <c r="B146" s="117" t="s">
        <v>5218</v>
      </c>
      <c r="C146" s="117">
        <v>4</v>
      </c>
      <c r="D146" s="117">
        <v>4</v>
      </c>
      <c r="E146" s="117">
        <v>0</v>
      </c>
      <c r="F146" s="117">
        <v>1</v>
      </c>
      <c r="G146" s="116" t="s">
        <v>6393</v>
      </c>
    </row>
    <row r="147" spans="1:7" ht="15" customHeight="1" x14ac:dyDescent="0.25">
      <c r="A147" s="116" t="s">
        <v>4271</v>
      </c>
      <c r="B147" s="117" t="s">
        <v>5218</v>
      </c>
      <c r="C147" s="117">
        <v>3</v>
      </c>
      <c r="D147" s="117">
        <v>3</v>
      </c>
      <c r="E147" s="117">
        <v>0</v>
      </c>
      <c r="F147" s="117">
        <v>1</v>
      </c>
      <c r="G147" s="116" t="s">
        <v>6393</v>
      </c>
    </row>
    <row r="148" spans="1:7" ht="23.25" customHeight="1" x14ac:dyDescent="0.25">
      <c r="A148" s="116" t="s">
        <v>4317</v>
      </c>
      <c r="B148" s="117" t="s">
        <v>5218</v>
      </c>
      <c r="C148" s="117">
        <v>3</v>
      </c>
      <c r="D148" s="117">
        <v>3</v>
      </c>
      <c r="E148" s="117">
        <v>0</v>
      </c>
      <c r="F148" s="117">
        <v>1</v>
      </c>
      <c r="G148" s="116" t="s">
        <v>6393</v>
      </c>
    </row>
    <row r="149" spans="1:7" ht="15" customHeight="1" x14ac:dyDescent="0.25">
      <c r="A149" s="116" t="s">
        <v>4325</v>
      </c>
      <c r="B149" s="117" t="s">
        <v>5218</v>
      </c>
      <c r="C149" s="117">
        <v>3</v>
      </c>
      <c r="D149" s="117">
        <v>3</v>
      </c>
      <c r="E149" s="117">
        <v>0</v>
      </c>
      <c r="F149" s="117">
        <v>2</v>
      </c>
      <c r="G149" s="116" t="s">
        <v>6393</v>
      </c>
    </row>
    <row r="150" spans="1:7" ht="23.25" customHeight="1" x14ac:dyDescent="0.25">
      <c r="A150" s="116" t="s">
        <v>4328</v>
      </c>
      <c r="B150" s="117" t="s">
        <v>5218</v>
      </c>
      <c r="C150" s="117">
        <v>3</v>
      </c>
      <c r="D150" s="117">
        <v>3</v>
      </c>
      <c r="E150" s="117">
        <v>0</v>
      </c>
      <c r="F150" s="117">
        <v>2</v>
      </c>
      <c r="G150" s="116" t="s">
        <v>6393</v>
      </c>
    </row>
    <row r="151" spans="1:7" ht="23.25" customHeight="1" x14ac:dyDescent="0.25">
      <c r="A151" s="116" t="s">
        <v>4332</v>
      </c>
      <c r="B151" s="117" t="s">
        <v>5218</v>
      </c>
      <c r="C151" s="117">
        <v>3</v>
      </c>
      <c r="D151" s="117">
        <v>3</v>
      </c>
      <c r="E151" s="117">
        <v>0</v>
      </c>
      <c r="F151" s="117">
        <v>2</v>
      </c>
      <c r="G151" s="116" t="s">
        <v>6393</v>
      </c>
    </row>
    <row r="152" spans="1:7" ht="45.75" customHeight="1" x14ac:dyDescent="0.25">
      <c r="A152" s="116" t="s">
        <v>4339</v>
      </c>
      <c r="B152" s="117" t="s">
        <v>5218</v>
      </c>
      <c r="C152" s="117">
        <v>3</v>
      </c>
      <c r="D152" s="117">
        <v>3</v>
      </c>
      <c r="E152" s="117">
        <v>0</v>
      </c>
      <c r="F152" s="117">
        <v>1</v>
      </c>
      <c r="G152" s="116" t="s">
        <v>6393</v>
      </c>
    </row>
    <row r="153" spans="1:7" ht="45.75" customHeight="1" x14ac:dyDescent="0.25">
      <c r="A153" s="116" t="s">
        <v>4380</v>
      </c>
      <c r="B153" s="117" t="s">
        <v>5218</v>
      </c>
      <c r="C153" s="117">
        <v>3</v>
      </c>
      <c r="D153" s="117">
        <v>3</v>
      </c>
      <c r="E153" s="117">
        <v>0</v>
      </c>
      <c r="F153" s="117">
        <v>2</v>
      </c>
      <c r="G153" s="116" t="s">
        <v>6393</v>
      </c>
    </row>
    <row r="154" spans="1:7" ht="15" customHeight="1" x14ac:dyDescent="0.25">
      <c r="A154" s="116" t="s">
        <v>4473</v>
      </c>
      <c r="B154" s="117" t="s">
        <v>6346</v>
      </c>
      <c r="C154" s="117">
        <v>3</v>
      </c>
      <c r="D154" s="117">
        <v>3</v>
      </c>
      <c r="E154" s="117">
        <v>0</v>
      </c>
      <c r="F154" s="117">
        <v>1</v>
      </c>
      <c r="G154" s="116" t="s">
        <v>6393</v>
      </c>
    </row>
    <row r="155" spans="1:7" ht="23.25" customHeight="1" x14ac:dyDescent="0.25">
      <c r="A155" s="116" t="s">
        <v>4677</v>
      </c>
      <c r="B155" s="117" t="s">
        <v>5218</v>
      </c>
      <c r="C155" s="117">
        <v>3</v>
      </c>
      <c r="D155" s="117">
        <v>3</v>
      </c>
      <c r="E155" s="117">
        <v>0</v>
      </c>
      <c r="F155" s="117">
        <v>2</v>
      </c>
      <c r="G155" s="116" t="s">
        <v>6393</v>
      </c>
    </row>
    <row r="156" spans="1:7" ht="23.25" customHeight="1" x14ac:dyDescent="0.25">
      <c r="A156" s="116" t="s">
        <v>4680</v>
      </c>
      <c r="B156" s="117" t="s">
        <v>5218</v>
      </c>
      <c r="C156" s="117">
        <v>3</v>
      </c>
      <c r="D156" s="117">
        <v>3</v>
      </c>
      <c r="E156" s="117">
        <v>0</v>
      </c>
      <c r="F156" s="117">
        <v>1</v>
      </c>
      <c r="G156" s="116" t="s">
        <v>6393</v>
      </c>
    </row>
    <row r="157" spans="1:7" ht="15" customHeight="1" x14ac:dyDescent="0.25">
      <c r="A157" s="116" t="s">
        <v>4805</v>
      </c>
      <c r="B157" s="117" t="s">
        <v>5218</v>
      </c>
      <c r="C157" s="117">
        <v>3</v>
      </c>
      <c r="D157" s="117">
        <v>3</v>
      </c>
      <c r="E157" s="117">
        <v>0</v>
      </c>
      <c r="F157" s="117">
        <v>2</v>
      </c>
      <c r="G157" s="116" t="s">
        <v>6393</v>
      </c>
    </row>
    <row r="158" spans="1:7" ht="57" customHeight="1" x14ac:dyDescent="0.25">
      <c r="A158" s="116" t="s">
        <v>4815</v>
      </c>
      <c r="B158" s="117" t="s">
        <v>5218</v>
      </c>
      <c r="C158" s="117">
        <v>3</v>
      </c>
      <c r="D158" s="117">
        <v>3</v>
      </c>
      <c r="E158" s="117">
        <v>0</v>
      </c>
      <c r="F158" s="117">
        <v>1</v>
      </c>
      <c r="G158" s="116" t="s">
        <v>6393</v>
      </c>
    </row>
    <row r="159" spans="1:7" ht="15" customHeight="1" x14ac:dyDescent="0.25">
      <c r="A159" s="116" t="s">
        <v>4996</v>
      </c>
      <c r="B159" s="117" t="s">
        <v>5218</v>
      </c>
      <c r="C159" s="117">
        <v>3</v>
      </c>
      <c r="D159" s="117">
        <v>3</v>
      </c>
      <c r="E159" s="117">
        <v>0</v>
      </c>
      <c r="F159" s="117">
        <v>1</v>
      </c>
      <c r="G159" s="116" t="s">
        <v>6393</v>
      </c>
    </row>
    <row r="160" spans="1:7" ht="23.25" customHeight="1" x14ac:dyDescent="0.25">
      <c r="A160" s="116" t="s">
        <v>5102</v>
      </c>
      <c r="B160" s="117" t="s">
        <v>5218</v>
      </c>
      <c r="C160" s="117">
        <v>3</v>
      </c>
      <c r="D160" s="117">
        <v>3</v>
      </c>
      <c r="E160" s="117">
        <v>0</v>
      </c>
      <c r="F160" s="117">
        <v>2</v>
      </c>
      <c r="G160" s="116" t="s">
        <v>6393</v>
      </c>
    </row>
    <row r="161" spans="1:7" ht="15" customHeight="1" x14ac:dyDescent="0.25">
      <c r="A161" s="116" t="s">
        <v>5143</v>
      </c>
      <c r="B161" s="117" t="s">
        <v>5218</v>
      </c>
      <c r="C161" s="117">
        <v>3</v>
      </c>
      <c r="D161" s="117">
        <v>3</v>
      </c>
      <c r="E161" s="117">
        <v>0</v>
      </c>
      <c r="F161" s="117">
        <v>1</v>
      </c>
      <c r="G161" s="116" t="s">
        <v>6393</v>
      </c>
    </row>
    <row r="162" spans="1:7" ht="68.25" customHeight="1" x14ac:dyDescent="0.25">
      <c r="A162" s="116" t="s">
        <v>5197</v>
      </c>
      <c r="B162" s="117" t="s">
        <v>5218</v>
      </c>
      <c r="C162" s="117">
        <v>3</v>
      </c>
      <c r="D162" s="117">
        <v>3</v>
      </c>
      <c r="E162" s="117">
        <v>0</v>
      </c>
      <c r="F162" s="117">
        <v>1</v>
      </c>
      <c r="G162" s="116" t="s">
        <v>6393</v>
      </c>
    </row>
    <row r="163" spans="1:7" ht="15" customHeight="1" x14ac:dyDescent="0.25">
      <c r="A163" s="116" t="s">
        <v>5245</v>
      </c>
      <c r="B163" s="117" t="s">
        <v>5218</v>
      </c>
      <c r="C163" s="117">
        <v>3</v>
      </c>
      <c r="D163" s="117">
        <v>3</v>
      </c>
      <c r="E163" s="117">
        <v>0</v>
      </c>
      <c r="F163" s="117">
        <v>1</v>
      </c>
      <c r="G163" s="116" t="s">
        <v>6393</v>
      </c>
    </row>
    <row r="164" spans="1:7" ht="15" customHeight="1" x14ac:dyDescent="0.25">
      <c r="A164" s="116" t="s">
        <v>4300</v>
      </c>
      <c r="B164" s="117" t="s">
        <v>5218</v>
      </c>
      <c r="C164" s="117">
        <v>2</v>
      </c>
      <c r="D164" s="117">
        <v>2</v>
      </c>
      <c r="E164" s="117">
        <v>0</v>
      </c>
      <c r="F164" s="117">
        <v>1</v>
      </c>
      <c r="G164" s="116" t="s">
        <v>6393</v>
      </c>
    </row>
    <row r="165" spans="1:7" ht="34.5" customHeight="1" x14ac:dyDescent="0.25">
      <c r="A165" s="116" t="s">
        <v>4301</v>
      </c>
      <c r="B165" s="117" t="s">
        <v>5218</v>
      </c>
      <c r="C165" s="117">
        <v>2</v>
      </c>
      <c r="D165" s="117">
        <v>2</v>
      </c>
      <c r="E165" s="117">
        <v>0</v>
      </c>
      <c r="F165" s="117">
        <v>2</v>
      </c>
      <c r="G165" s="116" t="s">
        <v>6393</v>
      </c>
    </row>
    <row r="166" spans="1:7" ht="23.25" customHeight="1" x14ac:dyDescent="0.25">
      <c r="A166" s="116" t="s">
        <v>4315</v>
      </c>
      <c r="B166" s="117" t="s">
        <v>5218</v>
      </c>
      <c r="C166" s="117">
        <v>2</v>
      </c>
      <c r="D166" s="117">
        <v>2</v>
      </c>
      <c r="E166" s="117">
        <v>0</v>
      </c>
      <c r="F166" s="117">
        <v>1</v>
      </c>
      <c r="G166" s="116" t="s">
        <v>6393</v>
      </c>
    </row>
    <row r="167" spans="1:7" ht="34.5" customHeight="1" x14ac:dyDescent="0.25">
      <c r="A167" s="116" t="s">
        <v>4382</v>
      </c>
      <c r="B167" s="117" t="s">
        <v>5218</v>
      </c>
      <c r="C167" s="117">
        <v>2</v>
      </c>
      <c r="D167" s="117">
        <v>2</v>
      </c>
      <c r="E167" s="117">
        <v>0</v>
      </c>
      <c r="F167" s="117">
        <v>2</v>
      </c>
      <c r="G167" s="116" t="s">
        <v>6393</v>
      </c>
    </row>
    <row r="168" spans="1:7" ht="15" customHeight="1" x14ac:dyDescent="0.25">
      <c r="A168" s="116" t="s">
        <v>4430</v>
      </c>
      <c r="B168" s="117" t="s">
        <v>5218</v>
      </c>
      <c r="C168" s="117">
        <v>2</v>
      </c>
      <c r="D168" s="117">
        <v>2</v>
      </c>
      <c r="E168" s="117">
        <v>0</v>
      </c>
      <c r="F168" s="117">
        <v>1</v>
      </c>
      <c r="G168" s="116" t="s">
        <v>6393</v>
      </c>
    </row>
    <row r="169" spans="1:7" ht="23.25" customHeight="1" x14ac:dyDescent="0.25">
      <c r="A169" s="116" t="s">
        <v>4643</v>
      </c>
      <c r="B169" s="117" t="s">
        <v>5218</v>
      </c>
      <c r="C169" s="117">
        <v>2</v>
      </c>
      <c r="D169" s="117">
        <v>2</v>
      </c>
      <c r="E169" s="117">
        <v>0</v>
      </c>
      <c r="F169" s="117">
        <v>1</v>
      </c>
      <c r="G169" s="116" t="s">
        <v>6393</v>
      </c>
    </row>
    <row r="170" spans="1:7" ht="23.25" customHeight="1" x14ac:dyDescent="0.25">
      <c r="A170" s="116" t="s">
        <v>4671</v>
      </c>
      <c r="B170" s="117" t="s">
        <v>5218</v>
      </c>
      <c r="C170" s="117">
        <v>2</v>
      </c>
      <c r="D170" s="117">
        <v>2</v>
      </c>
      <c r="E170" s="117">
        <v>0</v>
      </c>
      <c r="F170" s="117">
        <v>1</v>
      </c>
      <c r="G170" s="116" t="s">
        <v>6393</v>
      </c>
    </row>
    <row r="171" spans="1:7" ht="34.5" customHeight="1" x14ac:dyDescent="0.25">
      <c r="A171" s="116" t="s">
        <v>4709</v>
      </c>
      <c r="B171" s="117" t="s">
        <v>5218</v>
      </c>
      <c r="C171" s="117">
        <v>2</v>
      </c>
      <c r="D171" s="117">
        <v>2</v>
      </c>
      <c r="E171" s="117">
        <v>0</v>
      </c>
      <c r="F171" s="117">
        <v>2</v>
      </c>
      <c r="G171" s="116" t="s">
        <v>6393</v>
      </c>
    </row>
    <row r="172" spans="1:7" ht="15" customHeight="1" x14ac:dyDescent="0.25">
      <c r="A172" s="116" t="s">
        <v>4712</v>
      </c>
      <c r="B172" s="117" t="s">
        <v>5218</v>
      </c>
      <c r="C172" s="117">
        <v>2</v>
      </c>
      <c r="D172" s="117">
        <v>2</v>
      </c>
      <c r="E172" s="117">
        <v>0</v>
      </c>
      <c r="F172" s="117">
        <v>1</v>
      </c>
      <c r="G172" s="116" t="s">
        <v>6393</v>
      </c>
    </row>
    <row r="173" spans="1:7" ht="15" customHeight="1" x14ac:dyDescent="0.25">
      <c r="A173" s="116" t="s">
        <v>4714</v>
      </c>
      <c r="B173" s="117" t="s">
        <v>5218</v>
      </c>
      <c r="C173" s="117">
        <v>2</v>
      </c>
      <c r="D173" s="117">
        <v>2</v>
      </c>
      <c r="E173" s="117">
        <v>0</v>
      </c>
      <c r="F173" s="117">
        <v>1</v>
      </c>
      <c r="G173" s="116" t="s">
        <v>6393</v>
      </c>
    </row>
    <row r="174" spans="1:7" ht="23.25" customHeight="1" x14ac:dyDescent="0.25">
      <c r="A174" s="116" t="s">
        <v>4721</v>
      </c>
      <c r="B174" s="117" t="s">
        <v>5218</v>
      </c>
      <c r="C174" s="117">
        <v>2</v>
      </c>
      <c r="D174" s="117">
        <v>2</v>
      </c>
      <c r="E174" s="117">
        <v>0</v>
      </c>
      <c r="F174" s="117">
        <v>1</v>
      </c>
      <c r="G174" s="116" t="s">
        <v>6393</v>
      </c>
    </row>
    <row r="175" spans="1:7" ht="68.25" customHeight="1" x14ac:dyDescent="0.25">
      <c r="A175" s="116" t="s">
        <v>4731</v>
      </c>
      <c r="B175" s="117" t="s">
        <v>5218</v>
      </c>
      <c r="C175" s="117">
        <v>2</v>
      </c>
      <c r="D175" s="117">
        <v>2</v>
      </c>
      <c r="E175" s="117">
        <v>0</v>
      </c>
      <c r="F175" s="117">
        <v>2</v>
      </c>
      <c r="G175" s="116" t="s">
        <v>6393</v>
      </c>
    </row>
    <row r="176" spans="1:7" ht="23.25" customHeight="1" x14ac:dyDescent="0.25">
      <c r="A176" s="116" t="s">
        <v>4737</v>
      </c>
      <c r="B176" s="117" t="s">
        <v>5218</v>
      </c>
      <c r="C176" s="117">
        <v>2</v>
      </c>
      <c r="D176" s="117">
        <v>2</v>
      </c>
      <c r="E176" s="117">
        <v>0</v>
      </c>
      <c r="F176" s="117">
        <v>2</v>
      </c>
      <c r="G176" s="116" t="s">
        <v>6393</v>
      </c>
    </row>
    <row r="177" spans="1:7" ht="15" customHeight="1" x14ac:dyDescent="0.25">
      <c r="A177" s="116" t="s">
        <v>4739</v>
      </c>
      <c r="B177" s="117" t="s">
        <v>5218</v>
      </c>
      <c r="C177" s="117">
        <v>2</v>
      </c>
      <c r="D177" s="117">
        <v>2</v>
      </c>
      <c r="E177" s="117">
        <v>0</v>
      </c>
      <c r="F177" s="117">
        <v>1</v>
      </c>
      <c r="G177" s="116" t="s">
        <v>6393</v>
      </c>
    </row>
    <row r="178" spans="1:7" ht="15" customHeight="1" x14ac:dyDescent="0.25">
      <c r="A178" s="116" t="s">
        <v>4740</v>
      </c>
      <c r="B178" s="117" t="s">
        <v>5218</v>
      </c>
      <c r="C178" s="117">
        <v>2</v>
      </c>
      <c r="D178" s="117">
        <v>2</v>
      </c>
      <c r="E178" s="117">
        <v>0</v>
      </c>
      <c r="F178" s="117">
        <v>1</v>
      </c>
      <c r="G178" s="116" t="s">
        <v>6393</v>
      </c>
    </row>
    <row r="179" spans="1:7" ht="15" customHeight="1" x14ac:dyDescent="0.25">
      <c r="A179" s="116" t="s">
        <v>4741</v>
      </c>
      <c r="B179" s="117" t="s">
        <v>5218</v>
      </c>
      <c r="C179" s="117">
        <v>2</v>
      </c>
      <c r="D179" s="117">
        <v>2</v>
      </c>
      <c r="E179" s="117">
        <v>0</v>
      </c>
      <c r="F179" s="117">
        <v>1</v>
      </c>
      <c r="G179" s="116" t="s">
        <v>6393</v>
      </c>
    </row>
    <row r="180" spans="1:7" ht="15" customHeight="1" x14ac:dyDescent="0.25">
      <c r="A180" s="116" t="s">
        <v>4742</v>
      </c>
      <c r="B180" s="117" t="s">
        <v>5218</v>
      </c>
      <c r="C180" s="117">
        <v>2</v>
      </c>
      <c r="D180" s="117">
        <v>2</v>
      </c>
      <c r="E180" s="117">
        <v>0</v>
      </c>
      <c r="F180" s="117">
        <v>2</v>
      </c>
      <c r="G180" s="116" t="s">
        <v>6393</v>
      </c>
    </row>
    <row r="181" spans="1:7" ht="15" customHeight="1" x14ac:dyDescent="0.25">
      <c r="A181" s="116" t="s">
        <v>4743</v>
      </c>
      <c r="B181" s="117" t="s">
        <v>5218</v>
      </c>
      <c r="C181" s="117">
        <v>2</v>
      </c>
      <c r="D181" s="117">
        <v>2</v>
      </c>
      <c r="E181" s="117">
        <v>0</v>
      </c>
      <c r="F181" s="117">
        <v>1</v>
      </c>
      <c r="G181" s="116" t="s">
        <v>6393</v>
      </c>
    </row>
    <row r="182" spans="1:7" ht="15" customHeight="1" x14ac:dyDescent="0.25">
      <c r="A182" s="116" t="s">
        <v>4744</v>
      </c>
      <c r="B182" s="117" t="s">
        <v>5218</v>
      </c>
      <c r="C182" s="117">
        <v>2</v>
      </c>
      <c r="D182" s="117">
        <v>2</v>
      </c>
      <c r="E182" s="117">
        <v>0</v>
      </c>
      <c r="F182" s="117">
        <v>1</v>
      </c>
      <c r="G182" s="116" t="s">
        <v>6393</v>
      </c>
    </row>
    <row r="183" spans="1:7" ht="15" customHeight="1" x14ac:dyDescent="0.25">
      <c r="A183" s="116" t="s">
        <v>4746</v>
      </c>
      <c r="B183" s="117" t="s">
        <v>5218</v>
      </c>
      <c r="C183" s="117">
        <v>2</v>
      </c>
      <c r="D183" s="117">
        <v>2</v>
      </c>
      <c r="E183" s="117">
        <v>0</v>
      </c>
      <c r="F183" s="117">
        <v>1</v>
      </c>
      <c r="G183" s="116" t="s">
        <v>6393</v>
      </c>
    </row>
    <row r="184" spans="1:7" ht="15" customHeight="1" x14ac:dyDescent="0.25">
      <c r="A184" s="116" t="s">
        <v>4747</v>
      </c>
      <c r="B184" s="117" t="s">
        <v>5218</v>
      </c>
      <c r="C184" s="117">
        <v>2</v>
      </c>
      <c r="D184" s="117">
        <v>2</v>
      </c>
      <c r="E184" s="117">
        <v>0</v>
      </c>
      <c r="F184" s="117">
        <v>1</v>
      </c>
      <c r="G184" s="116" t="s">
        <v>6393</v>
      </c>
    </row>
    <row r="185" spans="1:7" ht="15" customHeight="1" x14ac:dyDescent="0.25">
      <c r="A185" s="116" t="s">
        <v>4748</v>
      </c>
      <c r="B185" s="117" t="s">
        <v>5218</v>
      </c>
      <c r="C185" s="117">
        <v>2</v>
      </c>
      <c r="D185" s="117">
        <v>2</v>
      </c>
      <c r="E185" s="117">
        <v>0</v>
      </c>
      <c r="F185" s="117">
        <v>1</v>
      </c>
      <c r="G185" s="116" t="s">
        <v>6393</v>
      </c>
    </row>
    <row r="186" spans="1:7" ht="102" customHeight="1" x14ac:dyDescent="0.25">
      <c r="A186" s="116" t="s">
        <v>4749</v>
      </c>
      <c r="B186" s="117" t="s">
        <v>6346</v>
      </c>
      <c r="C186" s="117">
        <v>2</v>
      </c>
      <c r="D186" s="117">
        <v>2</v>
      </c>
      <c r="E186" s="117">
        <v>0</v>
      </c>
      <c r="F186" s="117">
        <v>1</v>
      </c>
      <c r="G186" s="116" t="s">
        <v>6393</v>
      </c>
    </row>
    <row r="187" spans="1:7" ht="15" customHeight="1" x14ac:dyDescent="0.25">
      <c r="A187" s="116" t="s">
        <v>4752</v>
      </c>
      <c r="B187" s="117" t="s">
        <v>6346</v>
      </c>
      <c r="C187" s="117">
        <v>2</v>
      </c>
      <c r="D187" s="117">
        <v>2</v>
      </c>
      <c r="E187" s="117">
        <v>0</v>
      </c>
      <c r="F187" s="117">
        <v>1</v>
      </c>
      <c r="G187" s="116" t="s">
        <v>6393</v>
      </c>
    </row>
    <row r="188" spans="1:7" ht="15" customHeight="1" x14ac:dyDescent="0.25">
      <c r="A188" s="116" t="s">
        <v>4754</v>
      </c>
      <c r="B188" s="117" t="s">
        <v>5218</v>
      </c>
      <c r="C188" s="117">
        <v>2</v>
      </c>
      <c r="D188" s="117">
        <v>2</v>
      </c>
      <c r="E188" s="117">
        <v>0</v>
      </c>
      <c r="F188" s="117">
        <v>1</v>
      </c>
      <c r="G188" s="116" t="s">
        <v>6393</v>
      </c>
    </row>
    <row r="189" spans="1:7" ht="15" customHeight="1" x14ac:dyDescent="0.25">
      <c r="A189" s="116" t="s">
        <v>4762</v>
      </c>
      <c r="B189" s="117" t="s">
        <v>5218</v>
      </c>
      <c r="C189" s="117">
        <v>2</v>
      </c>
      <c r="D189" s="117">
        <v>2</v>
      </c>
      <c r="E189" s="117">
        <v>0</v>
      </c>
      <c r="F189" s="117">
        <v>1</v>
      </c>
      <c r="G189" s="116" t="s">
        <v>6393</v>
      </c>
    </row>
    <row r="190" spans="1:7" ht="57" customHeight="1" x14ac:dyDescent="0.25">
      <c r="A190" s="116" t="s">
        <v>4785</v>
      </c>
      <c r="B190" s="117" t="s">
        <v>5218</v>
      </c>
      <c r="C190" s="117">
        <v>2</v>
      </c>
      <c r="D190" s="117">
        <v>2</v>
      </c>
      <c r="E190" s="117">
        <v>0</v>
      </c>
      <c r="F190" s="117">
        <v>1</v>
      </c>
      <c r="G190" s="116" t="s">
        <v>6393</v>
      </c>
    </row>
    <row r="191" spans="1:7" ht="15" customHeight="1" x14ac:dyDescent="0.25">
      <c r="A191" s="116" t="s">
        <v>4802</v>
      </c>
      <c r="B191" s="117" t="s">
        <v>5218</v>
      </c>
      <c r="C191" s="117">
        <v>2</v>
      </c>
      <c r="D191" s="117">
        <v>2</v>
      </c>
      <c r="E191" s="117">
        <v>0</v>
      </c>
      <c r="F191" s="117">
        <v>1</v>
      </c>
      <c r="G191" s="116" t="s">
        <v>6393</v>
      </c>
    </row>
    <row r="192" spans="1:7" ht="15" customHeight="1" x14ac:dyDescent="0.25">
      <c r="A192" s="116" t="s">
        <v>4807</v>
      </c>
      <c r="B192" s="117" t="s">
        <v>5218</v>
      </c>
      <c r="C192" s="117">
        <v>2</v>
      </c>
      <c r="D192" s="117">
        <v>2</v>
      </c>
      <c r="E192" s="117">
        <v>0</v>
      </c>
      <c r="F192" s="117">
        <v>1</v>
      </c>
      <c r="G192" s="116" t="s">
        <v>6393</v>
      </c>
    </row>
    <row r="193" spans="1:7" ht="23.25" customHeight="1" x14ac:dyDescent="0.25">
      <c r="A193" s="116" t="s">
        <v>4874</v>
      </c>
      <c r="B193" s="117" t="s">
        <v>5218</v>
      </c>
      <c r="C193" s="117">
        <v>2</v>
      </c>
      <c r="D193" s="117">
        <v>2</v>
      </c>
      <c r="E193" s="117">
        <v>0</v>
      </c>
      <c r="F193" s="117">
        <v>2</v>
      </c>
      <c r="G193" s="116" t="s">
        <v>6393</v>
      </c>
    </row>
    <row r="194" spans="1:7" ht="34.5" customHeight="1" x14ac:dyDescent="0.25">
      <c r="A194" s="116" t="s">
        <v>4877</v>
      </c>
      <c r="B194" s="117" t="s">
        <v>5218</v>
      </c>
      <c r="C194" s="117">
        <v>2</v>
      </c>
      <c r="D194" s="117">
        <v>2</v>
      </c>
      <c r="E194" s="117">
        <v>0</v>
      </c>
      <c r="F194" s="117">
        <v>1</v>
      </c>
      <c r="G194" s="116" t="s">
        <v>6393</v>
      </c>
    </row>
    <row r="195" spans="1:7" ht="23.25" customHeight="1" x14ac:dyDescent="0.25">
      <c r="A195" s="116" t="s">
        <v>4938</v>
      </c>
      <c r="B195" s="117" t="s">
        <v>5218</v>
      </c>
      <c r="C195" s="117">
        <v>2</v>
      </c>
      <c r="D195" s="117">
        <v>2</v>
      </c>
      <c r="E195" s="117">
        <v>0</v>
      </c>
      <c r="F195" s="117">
        <v>1</v>
      </c>
      <c r="G195" s="116" t="s">
        <v>6393</v>
      </c>
    </row>
    <row r="196" spans="1:7" ht="34.5" customHeight="1" x14ac:dyDescent="0.25">
      <c r="A196" s="116" t="s">
        <v>4942</v>
      </c>
      <c r="B196" s="117" t="s">
        <v>5218</v>
      </c>
      <c r="C196" s="117">
        <v>2</v>
      </c>
      <c r="D196" s="117">
        <v>2</v>
      </c>
      <c r="E196" s="117">
        <v>0</v>
      </c>
      <c r="F196" s="117">
        <v>1</v>
      </c>
      <c r="G196" s="116" t="s">
        <v>6393</v>
      </c>
    </row>
    <row r="197" spans="1:7" ht="57" customHeight="1" x14ac:dyDescent="0.25">
      <c r="A197" s="116" t="s">
        <v>4982</v>
      </c>
      <c r="B197" s="117" t="s">
        <v>5218</v>
      </c>
      <c r="C197" s="117">
        <v>2</v>
      </c>
      <c r="D197" s="117">
        <v>2</v>
      </c>
      <c r="E197" s="117">
        <v>0</v>
      </c>
      <c r="F197" s="117">
        <v>1</v>
      </c>
      <c r="G197" s="116" t="s">
        <v>6393</v>
      </c>
    </row>
    <row r="198" spans="1:7" ht="15" customHeight="1" x14ac:dyDescent="0.25">
      <c r="A198" s="116" t="s">
        <v>4994</v>
      </c>
      <c r="B198" s="117" t="s">
        <v>5218</v>
      </c>
      <c r="C198" s="117">
        <v>2</v>
      </c>
      <c r="D198" s="117">
        <v>2</v>
      </c>
      <c r="E198" s="117">
        <v>0</v>
      </c>
      <c r="F198" s="117">
        <v>1</v>
      </c>
      <c r="G198" s="116" t="s">
        <v>6393</v>
      </c>
    </row>
    <row r="199" spans="1:7" ht="45.75" customHeight="1" x14ac:dyDescent="0.25">
      <c r="A199" s="116" t="s">
        <v>5109</v>
      </c>
      <c r="B199" s="117" t="s">
        <v>5218</v>
      </c>
      <c r="C199" s="117">
        <v>2</v>
      </c>
      <c r="D199" s="117">
        <v>2</v>
      </c>
      <c r="E199" s="117">
        <v>0</v>
      </c>
      <c r="F199" s="117">
        <v>1</v>
      </c>
      <c r="G199" s="116" t="s">
        <v>6393</v>
      </c>
    </row>
    <row r="200" spans="1:7" ht="57" customHeight="1" x14ac:dyDescent="0.25">
      <c r="A200" s="116" t="s">
        <v>5148</v>
      </c>
      <c r="B200" s="117" t="s">
        <v>5218</v>
      </c>
      <c r="C200" s="117">
        <v>2</v>
      </c>
      <c r="D200" s="117">
        <v>2</v>
      </c>
      <c r="E200" s="117">
        <v>0</v>
      </c>
      <c r="F200" s="117">
        <v>1</v>
      </c>
      <c r="G200" s="116" t="s">
        <v>6393</v>
      </c>
    </row>
    <row r="201" spans="1:7" ht="45.75" customHeight="1" x14ac:dyDescent="0.25">
      <c r="A201" s="116" t="s">
        <v>5157</v>
      </c>
      <c r="B201" s="117" t="s">
        <v>5218</v>
      </c>
      <c r="C201" s="117">
        <v>2</v>
      </c>
      <c r="D201" s="117">
        <v>2</v>
      </c>
      <c r="E201" s="117">
        <v>0</v>
      </c>
      <c r="F201" s="117">
        <v>1</v>
      </c>
      <c r="G201" s="116" t="s">
        <v>6393</v>
      </c>
    </row>
    <row r="202" spans="1:7" ht="45.75" customHeight="1" x14ac:dyDescent="0.25">
      <c r="A202" s="116" t="s">
        <v>5170</v>
      </c>
      <c r="B202" s="117" t="s">
        <v>5218</v>
      </c>
      <c r="C202" s="117">
        <v>2</v>
      </c>
      <c r="D202" s="117">
        <v>2</v>
      </c>
      <c r="E202" s="117">
        <v>0</v>
      </c>
      <c r="F202" s="117">
        <v>1</v>
      </c>
      <c r="G202" s="116" t="s">
        <v>6393</v>
      </c>
    </row>
    <row r="203" spans="1:7" ht="45.75" customHeight="1" x14ac:dyDescent="0.25">
      <c r="A203" s="116" t="s">
        <v>5173</v>
      </c>
      <c r="B203" s="117" t="s">
        <v>5218</v>
      </c>
      <c r="C203" s="117">
        <v>2</v>
      </c>
      <c r="D203" s="117">
        <v>2</v>
      </c>
      <c r="E203" s="117">
        <v>0</v>
      </c>
      <c r="F203" s="117">
        <v>1</v>
      </c>
      <c r="G203" s="116" t="s">
        <v>6393</v>
      </c>
    </row>
    <row r="204" spans="1:7" ht="34.5" customHeight="1" x14ac:dyDescent="0.25">
      <c r="A204" s="116" t="s">
        <v>5211</v>
      </c>
      <c r="B204" s="117" t="s">
        <v>5218</v>
      </c>
      <c r="C204" s="117">
        <v>2</v>
      </c>
      <c r="D204" s="117">
        <v>2</v>
      </c>
      <c r="E204" s="117">
        <v>0</v>
      </c>
      <c r="F204" s="117">
        <v>1</v>
      </c>
      <c r="G204" s="116" t="s">
        <v>6393</v>
      </c>
    </row>
    <row r="205" spans="1:7" ht="23.25" customHeight="1" x14ac:dyDescent="0.25">
      <c r="A205" s="116" t="s">
        <v>4230</v>
      </c>
      <c r="B205" s="117" t="s">
        <v>5218</v>
      </c>
      <c r="C205" s="117">
        <v>1</v>
      </c>
      <c r="D205" s="117">
        <v>1</v>
      </c>
      <c r="E205" s="117">
        <v>0</v>
      </c>
      <c r="F205" s="117">
        <v>1</v>
      </c>
      <c r="G205" s="116" t="s">
        <v>6393</v>
      </c>
    </row>
    <row r="206" spans="1:7" ht="34.5" customHeight="1" x14ac:dyDescent="0.25">
      <c r="A206" s="116" t="s">
        <v>4321</v>
      </c>
      <c r="B206" s="117" t="s">
        <v>5218</v>
      </c>
      <c r="C206" s="117">
        <v>1</v>
      </c>
      <c r="D206" s="117">
        <v>1</v>
      </c>
      <c r="E206" s="117">
        <v>0</v>
      </c>
      <c r="F206" s="117">
        <v>1</v>
      </c>
      <c r="G206" s="116" t="s">
        <v>6393</v>
      </c>
    </row>
    <row r="207" spans="1:7" ht="23.25" customHeight="1" x14ac:dyDescent="0.25">
      <c r="A207" s="116" t="s">
        <v>4396</v>
      </c>
      <c r="B207" s="117" t="s">
        <v>5218</v>
      </c>
      <c r="C207" s="117">
        <v>1</v>
      </c>
      <c r="D207" s="117">
        <v>1</v>
      </c>
      <c r="E207" s="117">
        <v>0</v>
      </c>
      <c r="F207" s="117">
        <v>1</v>
      </c>
      <c r="G207" s="116" t="s">
        <v>6393</v>
      </c>
    </row>
    <row r="208" spans="1:7" ht="23.25" customHeight="1" x14ac:dyDescent="0.25">
      <c r="A208" s="116" t="s">
        <v>4400</v>
      </c>
      <c r="B208" s="117" t="s">
        <v>5218</v>
      </c>
      <c r="C208" s="117">
        <v>1</v>
      </c>
      <c r="D208" s="117">
        <v>1</v>
      </c>
      <c r="E208" s="117">
        <v>0</v>
      </c>
      <c r="F208" s="117">
        <v>1</v>
      </c>
      <c r="G208" s="116" t="s">
        <v>6393</v>
      </c>
    </row>
    <row r="209" spans="1:7" ht="15" customHeight="1" x14ac:dyDescent="0.25">
      <c r="A209" s="116" t="s">
        <v>4405</v>
      </c>
      <c r="B209" s="117" t="s">
        <v>5218</v>
      </c>
      <c r="C209" s="117">
        <v>1</v>
      </c>
      <c r="D209" s="117">
        <v>1</v>
      </c>
      <c r="E209" s="117">
        <v>0</v>
      </c>
      <c r="F209" s="117">
        <v>1</v>
      </c>
      <c r="G209" s="116" t="s">
        <v>6393</v>
      </c>
    </row>
    <row r="210" spans="1:7" ht="15" customHeight="1" x14ac:dyDescent="0.25">
      <c r="A210" s="116" t="s">
        <v>4412</v>
      </c>
      <c r="B210" s="117" t="s">
        <v>5218</v>
      </c>
      <c r="C210" s="117">
        <v>1</v>
      </c>
      <c r="D210" s="117">
        <v>1</v>
      </c>
      <c r="E210" s="117">
        <v>0</v>
      </c>
      <c r="F210" s="117">
        <v>1</v>
      </c>
      <c r="G210" s="116" t="s">
        <v>6393</v>
      </c>
    </row>
    <row r="211" spans="1:7" ht="15" customHeight="1" x14ac:dyDescent="0.25">
      <c r="A211" s="116" t="s">
        <v>4417</v>
      </c>
      <c r="B211" s="117" t="s">
        <v>5218</v>
      </c>
      <c r="C211" s="117">
        <v>1</v>
      </c>
      <c r="D211" s="117">
        <v>1</v>
      </c>
      <c r="E211" s="117">
        <v>0</v>
      </c>
      <c r="F211" s="117">
        <v>1</v>
      </c>
      <c r="G211" s="116" t="s">
        <v>6393</v>
      </c>
    </row>
    <row r="212" spans="1:7" ht="15" customHeight="1" x14ac:dyDescent="0.25">
      <c r="A212" s="116" t="s">
        <v>4426</v>
      </c>
      <c r="B212" s="117" t="s">
        <v>5218</v>
      </c>
      <c r="C212" s="117">
        <v>1</v>
      </c>
      <c r="D212" s="117">
        <v>1</v>
      </c>
      <c r="E212" s="117">
        <v>0</v>
      </c>
      <c r="F212" s="117">
        <v>1</v>
      </c>
      <c r="G212" s="116" t="s">
        <v>6393</v>
      </c>
    </row>
    <row r="213" spans="1:7" ht="15" customHeight="1" x14ac:dyDescent="0.25">
      <c r="A213" s="116" t="s">
        <v>4434</v>
      </c>
      <c r="B213" s="117" t="s">
        <v>5218</v>
      </c>
      <c r="C213" s="117">
        <v>1</v>
      </c>
      <c r="D213" s="117">
        <v>1</v>
      </c>
      <c r="E213" s="117">
        <v>0</v>
      </c>
      <c r="F213" s="117">
        <v>1</v>
      </c>
      <c r="G213" s="116" t="s">
        <v>6393</v>
      </c>
    </row>
    <row r="214" spans="1:7" ht="15" customHeight="1" x14ac:dyDescent="0.25">
      <c r="A214" s="116" t="s">
        <v>4438</v>
      </c>
      <c r="B214" s="117" t="s">
        <v>5218</v>
      </c>
      <c r="C214" s="117">
        <v>1</v>
      </c>
      <c r="D214" s="117">
        <v>1</v>
      </c>
      <c r="E214" s="117">
        <v>0</v>
      </c>
      <c r="F214" s="117">
        <v>1</v>
      </c>
      <c r="G214" s="116" t="s">
        <v>6393</v>
      </c>
    </row>
    <row r="215" spans="1:7" ht="15" customHeight="1" x14ac:dyDescent="0.25">
      <c r="A215" s="116" t="s">
        <v>4443</v>
      </c>
      <c r="B215" s="117" t="s">
        <v>5218</v>
      </c>
      <c r="C215" s="117">
        <v>1</v>
      </c>
      <c r="D215" s="117">
        <v>1</v>
      </c>
      <c r="E215" s="117">
        <v>0</v>
      </c>
      <c r="F215" s="117">
        <v>1</v>
      </c>
      <c r="G215" s="116" t="s">
        <v>6393</v>
      </c>
    </row>
    <row r="216" spans="1:7" ht="15" customHeight="1" x14ac:dyDescent="0.25">
      <c r="A216" s="116" t="s">
        <v>4447</v>
      </c>
      <c r="B216" s="117" t="s">
        <v>5218</v>
      </c>
      <c r="C216" s="117">
        <v>1</v>
      </c>
      <c r="D216" s="117">
        <v>1</v>
      </c>
      <c r="E216" s="117">
        <v>0</v>
      </c>
      <c r="F216" s="117">
        <v>1</v>
      </c>
      <c r="G216" s="116" t="s">
        <v>6393</v>
      </c>
    </row>
    <row r="217" spans="1:7" ht="15" customHeight="1" x14ac:dyDescent="0.25">
      <c r="A217" s="116" t="s">
        <v>4450</v>
      </c>
      <c r="B217" s="117" t="s">
        <v>5218</v>
      </c>
      <c r="C217" s="117">
        <v>1</v>
      </c>
      <c r="D217" s="117">
        <v>1</v>
      </c>
      <c r="E217" s="117">
        <v>0</v>
      </c>
      <c r="F217" s="117">
        <v>1</v>
      </c>
      <c r="G217" s="116" t="s">
        <v>6393</v>
      </c>
    </row>
    <row r="218" spans="1:7" ht="15" customHeight="1" x14ac:dyDescent="0.25">
      <c r="A218" s="116" t="s">
        <v>4452</v>
      </c>
      <c r="B218" s="117" t="s">
        <v>5218</v>
      </c>
      <c r="C218" s="117">
        <v>1</v>
      </c>
      <c r="D218" s="117">
        <v>1</v>
      </c>
      <c r="E218" s="117">
        <v>0</v>
      </c>
      <c r="F218" s="117">
        <v>1</v>
      </c>
      <c r="G218" s="116" t="s">
        <v>6393</v>
      </c>
    </row>
    <row r="219" spans="1:7" ht="23.25" customHeight="1" x14ac:dyDescent="0.25">
      <c r="A219" s="116" t="s">
        <v>4454</v>
      </c>
      <c r="B219" s="117" t="s">
        <v>5218</v>
      </c>
      <c r="C219" s="117">
        <v>1</v>
      </c>
      <c r="D219" s="117">
        <v>1</v>
      </c>
      <c r="E219" s="117">
        <v>0</v>
      </c>
      <c r="F219" s="117">
        <v>1</v>
      </c>
      <c r="G219" s="116" t="s">
        <v>6393</v>
      </c>
    </row>
    <row r="220" spans="1:7" ht="23.25" customHeight="1" x14ac:dyDescent="0.25">
      <c r="A220" s="116" t="s">
        <v>4458</v>
      </c>
      <c r="B220" s="117" t="s">
        <v>5218</v>
      </c>
      <c r="C220" s="117">
        <v>1</v>
      </c>
      <c r="D220" s="117">
        <v>1</v>
      </c>
      <c r="E220" s="117">
        <v>0</v>
      </c>
      <c r="F220" s="117">
        <v>1</v>
      </c>
      <c r="G220" s="116" t="s">
        <v>6393</v>
      </c>
    </row>
    <row r="221" spans="1:7" ht="23.25" customHeight="1" x14ac:dyDescent="0.25">
      <c r="A221" s="116" t="s">
        <v>4462</v>
      </c>
      <c r="B221" s="117" t="s">
        <v>5218</v>
      </c>
      <c r="C221" s="117">
        <v>1</v>
      </c>
      <c r="D221" s="117">
        <v>1</v>
      </c>
      <c r="E221" s="117">
        <v>0</v>
      </c>
      <c r="F221" s="117">
        <v>1</v>
      </c>
      <c r="G221" s="116" t="s">
        <v>6393</v>
      </c>
    </row>
    <row r="222" spans="1:7" ht="23.25" customHeight="1" x14ac:dyDescent="0.25">
      <c r="A222" s="116" t="s">
        <v>4465</v>
      </c>
      <c r="B222" s="117" t="s">
        <v>5218</v>
      </c>
      <c r="C222" s="117">
        <v>1</v>
      </c>
      <c r="D222" s="117">
        <v>1</v>
      </c>
      <c r="E222" s="117">
        <v>0</v>
      </c>
      <c r="F222" s="117">
        <v>1</v>
      </c>
      <c r="G222" s="116" t="s">
        <v>6393</v>
      </c>
    </row>
    <row r="223" spans="1:7" ht="15" customHeight="1" x14ac:dyDescent="0.25">
      <c r="A223" s="116" t="s">
        <v>4468</v>
      </c>
      <c r="B223" s="117" t="s">
        <v>6346</v>
      </c>
      <c r="C223" s="117">
        <v>1</v>
      </c>
      <c r="D223" s="117">
        <v>1</v>
      </c>
      <c r="E223" s="117">
        <v>0</v>
      </c>
      <c r="F223" s="117">
        <v>1</v>
      </c>
      <c r="G223" s="116" t="s">
        <v>6393</v>
      </c>
    </row>
    <row r="224" spans="1:7" ht="15" customHeight="1" x14ac:dyDescent="0.25">
      <c r="A224" s="116" t="s">
        <v>4470</v>
      </c>
      <c r="B224" s="117" t="s">
        <v>6346</v>
      </c>
      <c r="C224" s="117">
        <v>1</v>
      </c>
      <c r="D224" s="117">
        <v>1</v>
      </c>
      <c r="E224" s="117">
        <v>0</v>
      </c>
      <c r="F224" s="117">
        <v>1</v>
      </c>
      <c r="G224" s="116" t="s">
        <v>6393</v>
      </c>
    </row>
    <row r="225" spans="1:7" ht="15" customHeight="1" x14ac:dyDescent="0.25">
      <c r="A225" s="116" t="s">
        <v>4475</v>
      </c>
      <c r="B225" s="117" t="s">
        <v>6346</v>
      </c>
      <c r="C225" s="117">
        <v>1</v>
      </c>
      <c r="D225" s="117">
        <v>1</v>
      </c>
      <c r="E225" s="117">
        <v>0</v>
      </c>
      <c r="F225" s="117">
        <v>1</v>
      </c>
      <c r="G225" s="116" t="s">
        <v>6393</v>
      </c>
    </row>
    <row r="226" spans="1:7" ht="15" customHeight="1" x14ac:dyDescent="0.25">
      <c r="A226" s="116" t="s">
        <v>4488</v>
      </c>
      <c r="B226" s="117" t="s">
        <v>5218</v>
      </c>
      <c r="C226" s="117">
        <v>1</v>
      </c>
      <c r="D226" s="117">
        <v>1</v>
      </c>
      <c r="E226" s="117">
        <v>0</v>
      </c>
      <c r="F226" s="117">
        <v>1</v>
      </c>
      <c r="G226" s="116" t="s">
        <v>6393</v>
      </c>
    </row>
    <row r="227" spans="1:7" ht="34.5" customHeight="1" x14ac:dyDescent="0.25">
      <c r="A227" s="116" t="s">
        <v>4637</v>
      </c>
      <c r="B227" s="117" t="s">
        <v>6358</v>
      </c>
      <c r="C227" s="117">
        <v>1</v>
      </c>
      <c r="D227" s="117">
        <v>1</v>
      </c>
      <c r="E227" s="117">
        <v>0</v>
      </c>
      <c r="F227" s="117">
        <v>1</v>
      </c>
      <c r="G227" s="116" t="s">
        <v>6393</v>
      </c>
    </row>
    <row r="228" spans="1:7" ht="34.5" customHeight="1" x14ac:dyDescent="0.25">
      <c r="A228" s="116" t="s">
        <v>4646</v>
      </c>
      <c r="B228" s="117" t="s">
        <v>6358</v>
      </c>
      <c r="C228" s="117">
        <v>1</v>
      </c>
      <c r="D228" s="117">
        <v>1</v>
      </c>
      <c r="E228" s="117">
        <v>0</v>
      </c>
      <c r="F228" s="117">
        <v>1</v>
      </c>
      <c r="G228" s="116" t="s">
        <v>6393</v>
      </c>
    </row>
    <row r="229" spans="1:7" ht="34.5" customHeight="1" x14ac:dyDescent="0.25">
      <c r="A229" s="116" t="s">
        <v>4666</v>
      </c>
      <c r="B229" s="117" t="s">
        <v>6358</v>
      </c>
      <c r="C229" s="117">
        <v>1</v>
      </c>
      <c r="D229" s="117">
        <v>1</v>
      </c>
      <c r="E229" s="117">
        <v>0</v>
      </c>
      <c r="F229" s="117">
        <v>1</v>
      </c>
      <c r="G229" s="116" t="s">
        <v>6393</v>
      </c>
    </row>
    <row r="230" spans="1:7" ht="15" customHeight="1" x14ac:dyDescent="0.25">
      <c r="A230" s="116" t="s">
        <v>4669</v>
      </c>
      <c r="B230" s="117" t="s">
        <v>6358</v>
      </c>
      <c r="C230" s="117">
        <v>1</v>
      </c>
      <c r="D230" s="117">
        <v>1</v>
      </c>
      <c r="E230" s="117">
        <v>0</v>
      </c>
      <c r="F230" s="117">
        <v>1</v>
      </c>
      <c r="G230" s="116" t="s">
        <v>6393</v>
      </c>
    </row>
    <row r="231" spans="1:7" ht="15" customHeight="1" x14ac:dyDescent="0.25">
      <c r="A231" s="116" t="s">
        <v>4694</v>
      </c>
      <c r="B231" s="117" t="s">
        <v>5218</v>
      </c>
      <c r="C231" s="117">
        <v>1</v>
      </c>
      <c r="D231" s="117">
        <v>1</v>
      </c>
      <c r="E231" s="117">
        <v>0</v>
      </c>
      <c r="F231" s="117">
        <v>1</v>
      </c>
      <c r="G231" s="116" t="s">
        <v>6393</v>
      </c>
    </row>
    <row r="232" spans="1:7" ht="15" customHeight="1" x14ac:dyDescent="0.25">
      <c r="A232" s="116" t="s">
        <v>4696</v>
      </c>
      <c r="B232" s="117" t="s">
        <v>5218</v>
      </c>
      <c r="C232" s="117">
        <v>1</v>
      </c>
      <c r="D232" s="117">
        <v>1</v>
      </c>
      <c r="E232" s="117">
        <v>0</v>
      </c>
      <c r="F232" s="117">
        <v>1</v>
      </c>
      <c r="G232" s="116" t="s">
        <v>6393</v>
      </c>
    </row>
    <row r="233" spans="1:7" ht="15" customHeight="1" x14ac:dyDescent="0.25">
      <c r="A233" s="116" t="s">
        <v>4706</v>
      </c>
      <c r="B233" s="117" t="s">
        <v>5218</v>
      </c>
      <c r="C233" s="117">
        <v>1</v>
      </c>
      <c r="D233" s="117">
        <v>1</v>
      </c>
      <c r="E233" s="117">
        <v>0</v>
      </c>
      <c r="F233" s="117">
        <v>1</v>
      </c>
      <c r="G233" s="116" t="s">
        <v>6393</v>
      </c>
    </row>
    <row r="234" spans="1:7" ht="15" customHeight="1" x14ac:dyDescent="0.25">
      <c r="A234" s="116" t="s">
        <v>4717</v>
      </c>
      <c r="B234" s="117" t="s">
        <v>5218</v>
      </c>
      <c r="C234" s="117">
        <v>1</v>
      </c>
      <c r="D234" s="117">
        <v>1</v>
      </c>
      <c r="E234" s="117">
        <v>0</v>
      </c>
      <c r="F234" s="117">
        <v>1</v>
      </c>
      <c r="G234" s="116" t="s">
        <v>6393</v>
      </c>
    </row>
    <row r="235" spans="1:7" ht="15" customHeight="1" x14ac:dyDescent="0.25">
      <c r="A235" s="116" t="s">
        <v>4728</v>
      </c>
      <c r="B235" s="117" t="s">
        <v>5218</v>
      </c>
      <c r="C235" s="117">
        <v>1</v>
      </c>
      <c r="D235" s="117">
        <v>1</v>
      </c>
      <c r="E235" s="117">
        <v>0</v>
      </c>
      <c r="F235" s="117">
        <v>1</v>
      </c>
      <c r="G235" s="116" t="s">
        <v>6393</v>
      </c>
    </row>
    <row r="236" spans="1:7" ht="23.25" customHeight="1" x14ac:dyDescent="0.25">
      <c r="A236" s="116" t="s">
        <v>4769</v>
      </c>
      <c r="B236" s="117" t="s">
        <v>5218</v>
      </c>
      <c r="C236" s="117">
        <v>1</v>
      </c>
      <c r="D236" s="117">
        <v>1</v>
      </c>
      <c r="E236" s="117">
        <v>0</v>
      </c>
      <c r="F236" s="117">
        <v>1</v>
      </c>
      <c r="G236" s="116" t="s">
        <v>6393</v>
      </c>
    </row>
    <row r="237" spans="1:7" ht="15" customHeight="1" x14ac:dyDescent="0.25">
      <c r="A237" s="116" t="s">
        <v>4772</v>
      </c>
      <c r="B237" s="117" t="s">
        <v>5218</v>
      </c>
      <c r="C237" s="117">
        <v>1</v>
      </c>
      <c r="D237" s="117">
        <v>1</v>
      </c>
      <c r="E237" s="117">
        <v>0</v>
      </c>
      <c r="F237" s="117">
        <v>1</v>
      </c>
      <c r="G237" s="116" t="s">
        <v>6393</v>
      </c>
    </row>
    <row r="238" spans="1:7" ht="15" customHeight="1" x14ac:dyDescent="0.25">
      <c r="A238" s="116" t="s">
        <v>4775</v>
      </c>
      <c r="B238" s="117" t="s">
        <v>5218</v>
      </c>
      <c r="C238" s="117">
        <v>1</v>
      </c>
      <c r="D238" s="117">
        <v>1</v>
      </c>
      <c r="E238" s="117">
        <v>0</v>
      </c>
      <c r="F238" s="117">
        <v>1</v>
      </c>
      <c r="G238" s="116" t="s">
        <v>6393</v>
      </c>
    </row>
    <row r="239" spans="1:7" ht="15" customHeight="1" x14ac:dyDescent="0.25">
      <c r="A239" s="116" t="s">
        <v>4778</v>
      </c>
      <c r="B239" s="117" t="s">
        <v>5218</v>
      </c>
      <c r="C239" s="117">
        <v>1</v>
      </c>
      <c r="D239" s="117">
        <v>1</v>
      </c>
      <c r="E239" s="117">
        <v>0</v>
      </c>
      <c r="F239" s="117">
        <v>1</v>
      </c>
      <c r="G239" s="116" t="s">
        <v>6393</v>
      </c>
    </row>
    <row r="240" spans="1:7" ht="23.25" customHeight="1" x14ac:dyDescent="0.25">
      <c r="A240" s="116" t="s">
        <v>4780</v>
      </c>
      <c r="B240" s="117" t="s">
        <v>5218</v>
      </c>
      <c r="C240" s="117">
        <v>1</v>
      </c>
      <c r="D240" s="117">
        <v>1</v>
      </c>
      <c r="E240" s="117">
        <v>0</v>
      </c>
      <c r="F240" s="117">
        <v>1</v>
      </c>
      <c r="G240" s="116" t="s">
        <v>6393</v>
      </c>
    </row>
    <row r="241" spans="1:7" ht="34.5" customHeight="1" x14ac:dyDescent="0.25">
      <c r="A241" s="116" t="s">
        <v>4784</v>
      </c>
      <c r="B241" s="117" t="s">
        <v>5218</v>
      </c>
      <c r="C241" s="117">
        <v>1</v>
      </c>
      <c r="D241" s="117">
        <v>1</v>
      </c>
      <c r="E241" s="117">
        <v>0</v>
      </c>
      <c r="F241" s="117">
        <v>1</v>
      </c>
      <c r="G241" s="116" t="s">
        <v>6393</v>
      </c>
    </row>
    <row r="242" spans="1:7" ht="79.5" customHeight="1" x14ac:dyDescent="0.25">
      <c r="A242" s="116" t="s">
        <v>4786</v>
      </c>
      <c r="B242" s="117" t="s">
        <v>6346</v>
      </c>
      <c r="C242" s="117">
        <v>1</v>
      </c>
      <c r="D242" s="117">
        <v>1</v>
      </c>
      <c r="E242" s="117">
        <v>0</v>
      </c>
      <c r="F242" s="117">
        <v>1</v>
      </c>
      <c r="G242" s="116" t="s">
        <v>6393</v>
      </c>
    </row>
    <row r="243" spans="1:7" ht="15" customHeight="1" x14ac:dyDescent="0.25">
      <c r="A243" s="116" t="s">
        <v>4796</v>
      </c>
      <c r="B243" s="117" t="s">
        <v>5218</v>
      </c>
      <c r="C243" s="117">
        <v>1</v>
      </c>
      <c r="D243" s="117">
        <v>1</v>
      </c>
      <c r="E243" s="117">
        <v>0</v>
      </c>
      <c r="F243" s="117">
        <v>1</v>
      </c>
      <c r="G243" s="116" t="s">
        <v>6393</v>
      </c>
    </row>
    <row r="244" spans="1:7" ht="45.75" customHeight="1" x14ac:dyDescent="0.25">
      <c r="A244" s="116" t="s">
        <v>4800</v>
      </c>
      <c r="B244" s="117" t="s">
        <v>5218</v>
      </c>
      <c r="C244" s="117">
        <v>1</v>
      </c>
      <c r="D244" s="117">
        <v>1</v>
      </c>
      <c r="E244" s="117">
        <v>0</v>
      </c>
      <c r="F244" s="117">
        <v>1</v>
      </c>
      <c r="G244" s="116" t="s">
        <v>6393</v>
      </c>
    </row>
    <row r="245" spans="1:7" ht="34.5" customHeight="1" x14ac:dyDescent="0.25">
      <c r="A245" s="116" t="s">
        <v>4882</v>
      </c>
      <c r="B245" s="117" t="s">
        <v>5218</v>
      </c>
      <c r="C245" s="117">
        <v>1</v>
      </c>
      <c r="D245" s="117">
        <v>1</v>
      </c>
      <c r="E245" s="117">
        <v>0</v>
      </c>
      <c r="F245" s="117">
        <v>1</v>
      </c>
      <c r="G245" s="116" t="s">
        <v>6393</v>
      </c>
    </row>
    <row r="246" spans="1:7" ht="23.25" customHeight="1" x14ac:dyDescent="0.25">
      <c r="A246" s="116" t="s">
        <v>4885</v>
      </c>
      <c r="B246" s="117" t="s">
        <v>5218</v>
      </c>
      <c r="C246" s="117">
        <v>1</v>
      </c>
      <c r="D246" s="117">
        <v>1</v>
      </c>
      <c r="E246" s="117">
        <v>0</v>
      </c>
      <c r="F246" s="117">
        <v>1</v>
      </c>
      <c r="G246" s="116" t="s">
        <v>6393</v>
      </c>
    </row>
    <row r="247" spans="1:7" ht="15" customHeight="1" x14ac:dyDescent="0.25">
      <c r="A247" s="116" t="s">
        <v>4888</v>
      </c>
      <c r="B247" s="117" t="s">
        <v>5218</v>
      </c>
      <c r="C247" s="117">
        <v>1</v>
      </c>
      <c r="D247" s="117">
        <v>1</v>
      </c>
      <c r="E247" s="117">
        <v>0</v>
      </c>
      <c r="F247" s="117">
        <v>1</v>
      </c>
      <c r="G247" s="116" t="s">
        <v>6393</v>
      </c>
    </row>
    <row r="248" spans="1:7" ht="23.25" customHeight="1" x14ac:dyDescent="0.25">
      <c r="A248" s="116" t="s">
        <v>4907</v>
      </c>
      <c r="B248" s="117" t="s">
        <v>5218</v>
      </c>
      <c r="C248" s="117">
        <v>1</v>
      </c>
      <c r="D248" s="117">
        <v>1</v>
      </c>
      <c r="E248" s="117">
        <v>0</v>
      </c>
      <c r="F248" s="117">
        <v>1</v>
      </c>
      <c r="G248" s="116" t="s">
        <v>6393</v>
      </c>
    </row>
    <row r="249" spans="1:7" ht="15" customHeight="1" x14ac:dyDescent="0.25">
      <c r="A249" s="116" t="s">
        <v>4926</v>
      </c>
      <c r="B249" s="117" t="s">
        <v>5218</v>
      </c>
      <c r="C249" s="117">
        <v>1</v>
      </c>
      <c r="D249" s="117">
        <v>1</v>
      </c>
      <c r="E249" s="117">
        <v>0</v>
      </c>
      <c r="F249" s="117">
        <v>1</v>
      </c>
      <c r="G249" s="116" t="s">
        <v>6393</v>
      </c>
    </row>
    <row r="250" spans="1:7" ht="15" customHeight="1" x14ac:dyDescent="0.25">
      <c r="A250" s="116" t="s">
        <v>4927</v>
      </c>
      <c r="B250" s="117" t="s">
        <v>5218</v>
      </c>
      <c r="C250" s="117">
        <v>1</v>
      </c>
      <c r="D250" s="117">
        <v>1</v>
      </c>
      <c r="E250" s="117">
        <v>0</v>
      </c>
      <c r="F250" s="117">
        <v>1</v>
      </c>
      <c r="G250" s="116" t="s">
        <v>6393</v>
      </c>
    </row>
    <row r="251" spans="1:7" ht="34.5" customHeight="1" x14ac:dyDescent="0.25">
      <c r="A251" s="116" t="s">
        <v>4945</v>
      </c>
      <c r="B251" s="117" t="s">
        <v>5218</v>
      </c>
      <c r="C251" s="117">
        <v>1</v>
      </c>
      <c r="D251" s="117">
        <v>1</v>
      </c>
      <c r="E251" s="117">
        <v>0</v>
      </c>
      <c r="F251" s="117">
        <v>1</v>
      </c>
      <c r="G251" s="116" t="s">
        <v>6393</v>
      </c>
    </row>
    <row r="252" spans="1:7" ht="15" customHeight="1" x14ac:dyDescent="0.25">
      <c r="A252" s="116" t="s">
        <v>4947</v>
      </c>
      <c r="B252" s="117" t="s">
        <v>5218</v>
      </c>
      <c r="C252" s="117">
        <v>1</v>
      </c>
      <c r="D252" s="117">
        <v>1</v>
      </c>
      <c r="E252" s="117">
        <v>0</v>
      </c>
      <c r="F252" s="117">
        <v>1</v>
      </c>
      <c r="G252" s="116" t="s">
        <v>6393</v>
      </c>
    </row>
    <row r="253" spans="1:7" ht="23.25" customHeight="1" x14ac:dyDescent="0.25">
      <c r="A253" s="116" t="s">
        <v>4949</v>
      </c>
      <c r="B253" s="117" t="s">
        <v>5218</v>
      </c>
      <c r="C253" s="117">
        <v>1</v>
      </c>
      <c r="D253" s="117">
        <v>1</v>
      </c>
      <c r="E253" s="117">
        <v>0</v>
      </c>
      <c r="F253" s="117">
        <v>1</v>
      </c>
      <c r="G253" s="116" t="s">
        <v>6393</v>
      </c>
    </row>
    <row r="254" spans="1:7" ht="23.25" customHeight="1" x14ac:dyDescent="0.25">
      <c r="A254" s="116" t="s">
        <v>4952</v>
      </c>
      <c r="B254" s="117" t="s">
        <v>5218</v>
      </c>
      <c r="C254" s="117">
        <v>1</v>
      </c>
      <c r="D254" s="117">
        <v>1</v>
      </c>
      <c r="E254" s="117">
        <v>0</v>
      </c>
      <c r="F254" s="117">
        <v>1</v>
      </c>
      <c r="G254" s="116" t="s">
        <v>6393</v>
      </c>
    </row>
    <row r="255" spans="1:7" ht="23.25" customHeight="1" x14ac:dyDescent="0.25">
      <c r="A255" s="116" t="s">
        <v>4956</v>
      </c>
      <c r="B255" s="117" t="s">
        <v>5218</v>
      </c>
      <c r="C255" s="117">
        <v>1</v>
      </c>
      <c r="D255" s="117">
        <v>1</v>
      </c>
      <c r="E255" s="117">
        <v>0</v>
      </c>
      <c r="F255" s="117">
        <v>1</v>
      </c>
      <c r="G255" s="116" t="s">
        <v>6393</v>
      </c>
    </row>
    <row r="256" spans="1:7" ht="15" customHeight="1" x14ac:dyDescent="0.25">
      <c r="A256" s="116" t="s">
        <v>4958</v>
      </c>
      <c r="B256" s="117" t="s">
        <v>5218</v>
      </c>
      <c r="C256" s="117">
        <v>1</v>
      </c>
      <c r="D256" s="117">
        <v>1</v>
      </c>
      <c r="E256" s="117">
        <v>0</v>
      </c>
      <c r="F256" s="117">
        <v>1</v>
      </c>
      <c r="G256" s="116" t="s">
        <v>6393</v>
      </c>
    </row>
    <row r="257" spans="1:7" ht="23.25" customHeight="1" x14ac:dyDescent="0.25">
      <c r="A257" s="116" t="s">
        <v>4960</v>
      </c>
      <c r="B257" s="117" t="s">
        <v>5218</v>
      </c>
      <c r="C257" s="117">
        <v>1</v>
      </c>
      <c r="D257" s="117">
        <v>1</v>
      </c>
      <c r="E257" s="117">
        <v>0</v>
      </c>
      <c r="F257" s="117">
        <v>1</v>
      </c>
      <c r="G257" s="116" t="s">
        <v>6393</v>
      </c>
    </row>
    <row r="258" spans="1:7" ht="15" customHeight="1" x14ac:dyDescent="0.25">
      <c r="A258" s="116" t="s">
        <v>4962</v>
      </c>
      <c r="B258" s="117" t="s">
        <v>5218</v>
      </c>
      <c r="C258" s="117">
        <v>1</v>
      </c>
      <c r="D258" s="117">
        <v>1</v>
      </c>
      <c r="E258" s="117">
        <v>0</v>
      </c>
      <c r="F258" s="117">
        <v>1</v>
      </c>
      <c r="G258" s="116" t="s">
        <v>6393</v>
      </c>
    </row>
    <row r="259" spans="1:7" ht="34.5" customHeight="1" x14ac:dyDescent="0.25">
      <c r="A259" s="116" t="s">
        <v>6396</v>
      </c>
      <c r="B259" s="117" t="s">
        <v>5218</v>
      </c>
      <c r="C259" s="117">
        <v>1</v>
      </c>
      <c r="D259" s="117">
        <v>1</v>
      </c>
      <c r="E259" s="117">
        <v>0</v>
      </c>
      <c r="F259" s="117">
        <v>1</v>
      </c>
      <c r="G259" s="116" t="s">
        <v>6393</v>
      </c>
    </row>
    <row r="260" spans="1:7" ht="15" customHeight="1" x14ac:dyDescent="0.25">
      <c r="A260" s="116" t="s">
        <v>4990</v>
      </c>
      <c r="B260" s="117" t="s">
        <v>5218</v>
      </c>
      <c r="C260" s="117">
        <v>1</v>
      </c>
      <c r="D260" s="117">
        <v>1</v>
      </c>
      <c r="E260" s="117">
        <v>0</v>
      </c>
      <c r="F260" s="117">
        <v>1</v>
      </c>
      <c r="G260" s="116" t="s">
        <v>6393</v>
      </c>
    </row>
    <row r="261" spans="1:7" ht="15" customHeight="1" x14ac:dyDescent="0.25">
      <c r="A261" s="116" t="s">
        <v>4998</v>
      </c>
      <c r="B261" s="117" t="s">
        <v>5218</v>
      </c>
      <c r="C261" s="117">
        <v>1</v>
      </c>
      <c r="D261" s="117">
        <v>1</v>
      </c>
      <c r="E261" s="117">
        <v>0</v>
      </c>
      <c r="F261" s="117">
        <v>1</v>
      </c>
      <c r="G261" s="116" t="s">
        <v>6393</v>
      </c>
    </row>
    <row r="262" spans="1:7" ht="15" customHeight="1" x14ac:dyDescent="0.25">
      <c r="A262" s="116" t="s">
        <v>5013</v>
      </c>
      <c r="B262" s="117" t="s">
        <v>5218</v>
      </c>
      <c r="C262" s="117">
        <v>1</v>
      </c>
      <c r="D262" s="117">
        <v>1</v>
      </c>
      <c r="E262" s="117">
        <v>0</v>
      </c>
      <c r="F262" s="117">
        <v>1</v>
      </c>
      <c r="G262" s="116" t="s">
        <v>6393</v>
      </c>
    </row>
    <row r="263" spans="1:7" ht="15" customHeight="1" x14ac:dyDescent="0.25">
      <c r="A263" s="116" t="s">
        <v>5076</v>
      </c>
      <c r="B263" s="117" t="s">
        <v>5218</v>
      </c>
      <c r="C263" s="117">
        <v>1</v>
      </c>
      <c r="D263" s="117">
        <v>1</v>
      </c>
      <c r="E263" s="117">
        <v>0</v>
      </c>
      <c r="F263" s="117">
        <v>1</v>
      </c>
      <c r="G263" s="116" t="s">
        <v>6393</v>
      </c>
    </row>
    <row r="264" spans="1:7" ht="15" customHeight="1" x14ac:dyDescent="0.25">
      <c r="A264" s="116" t="s">
        <v>5078</v>
      </c>
      <c r="B264" s="117" t="s">
        <v>5218</v>
      </c>
      <c r="C264" s="117">
        <v>1</v>
      </c>
      <c r="D264" s="117">
        <v>1</v>
      </c>
      <c r="E264" s="117">
        <v>0</v>
      </c>
      <c r="F264" s="117">
        <v>1</v>
      </c>
      <c r="G264" s="116" t="s">
        <v>6393</v>
      </c>
    </row>
    <row r="265" spans="1:7" ht="15" customHeight="1" x14ac:dyDescent="0.25">
      <c r="A265" s="116" t="s">
        <v>5090</v>
      </c>
      <c r="B265" s="117" t="s">
        <v>5218</v>
      </c>
      <c r="C265" s="117">
        <v>1</v>
      </c>
      <c r="D265" s="117">
        <v>1</v>
      </c>
      <c r="E265" s="117">
        <v>0</v>
      </c>
      <c r="F265" s="117">
        <v>1</v>
      </c>
      <c r="G265" s="116" t="s">
        <v>6393</v>
      </c>
    </row>
    <row r="266" spans="1:7" ht="68.25" customHeight="1" x14ac:dyDescent="0.25">
      <c r="A266" s="116" t="s">
        <v>5117</v>
      </c>
      <c r="B266" s="117" t="s">
        <v>5218</v>
      </c>
      <c r="C266" s="117">
        <v>1</v>
      </c>
      <c r="D266" s="117">
        <v>1</v>
      </c>
      <c r="E266" s="117">
        <v>0</v>
      </c>
      <c r="F266" s="117">
        <v>1</v>
      </c>
      <c r="G266" s="116" t="s">
        <v>6393</v>
      </c>
    </row>
    <row r="267" spans="1:7" ht="23.25" customHeight="1" x14ac:dyDescent="0.25">
      <c r="A267" s="116" t="s">
        <v>5124</v>
      </c>
      <c r="B267" s="117" t="s">
        <v>5218</v>
      </c>
      <c r="C267" s="117">
        <v>1</v>
      </c>
      <c r="D267" s="117">
        <v>1</v>
      </c>
      <c r="E267" s="117">
        <v>0</v>
      </c>
      <c r="F267" s="117">
        <v>1</v>
      </c>
      <c r="G267" s="116" t="s">
        <v>6393</v>
      </c>
    </row>
    <row r="268" spans="1:7" ht="34.5" customHeight="1" x14ac:dyDescent="0.25">
      <c r="A268" s="116" t="s">
        <v>5131</v>
      </c>
      <c r="B268" s="117" t="s">
        <v>5218</v>
      </c>
      <c r="C268" s="117">
        <v>1</v>
      </c>
      <c r="D268" s="117">
        <v>1</v>
      </c>
      <c r="E268" s="117">
        <v>0</v>
      </c>
      <c r="F268" s="117">
        <v>1</v>
      </c>
      <c r="G268" s="116" t="s">
        <v>6393</v>
      </c>
    </row>
    <row r="269" spans="1:7" ht="23.25" customHeight="1" x14ac:dyDescent="0.25">
      <c r="A269" s="116" t="s">
        <v>6397</v>
      </c>
      <c r="B269" s="117" t="s">
        <v>5218</v>
      </c>
      <c r="C269" s="117">
        <v>1</v>
      </c>
      <c r="D269" s="117">
        <v>1</v>
      </c>
      <c r="E269" s="117">
        <v>0</v>
      </c>
      <c r="F269" s="117">
        <v>1</v>
      </c>
      <c r="G269" s="116" t="s">
        <v>6393</v>
      </c>
    </row>
    <row r="270" spans="1:7" ht="34.5" customHeight="1" x14ac:dyDescent="0.25">
      <c r="A270" s="116" t="s">
        <v>5138</v>
      </c>
      <c r="B270" s="117" t="s">
        <v>5218</v>
      </c>
      <c r="C270" s="117">
        <v>1</v>
      </c>
      <c r="D270" s="117">
        <v>1</v>
      </c>
      <c r="E270" s="117">
        <v>0</v>
      </c>
      <c r="F270" s="117">
        <v>1</v>
      </c>
      <c r="G270" s="116" t="s">
        <v>6393</v>
      </c>
    </row>
    <row r="271" spans="1:7" ht="34.5" customHeight="1" x14ac:dyDescent="0.25">
      <c r="A271" s="116" t="s">
        <v>5154</v>
      </c>
      <c r="B271" s="117" t="s">
        <v>5218</v>
      </c>
      <c r="C271" s="117">
        <v>1</v>
      </c>
      <c r="D271" s="117">
        <v>1</v>
      </c>
      <c r="E271" s="117">
        <v>0</v>
      </c>
      <c r="F271" s="117">
        <v>1</v>
      </c>
      <c r="G271" s="116" t="s">
        <v>6393</v>
      </c>
    </row>
    <row r="272" spans="1:7" ht="57" customHeight="1" x14ac:dyDescent="0.25">
      <c r="A272" s="116" t="s">
        <v>6398</v>
      </c>
      <c r="B272" s="117" t="s">
        <v>5218</v>
      </c>
      <c r="C272" s="117">
        <v>1</v>
      </c>
      <c r="D272" s="117">
        <v>1</v>
      </c>
      <c r="E272" s="117">
        <v>0</v>
      </c>
      <c r="F272" s="117">
        <v>1</v>
      </c>
      <c r="G272" s="116" t="s">
        <v>6393</v>
      </c>
    </row>
    <row r="273" spans="1:7" ht="45.75" customHeight="1" x14ac:dyDescent="0.25">
      <c r="A273" s="116" t="s">
        <v>5163</v>
      </c>
      <c r="B273" s="117" t="s">
        <v>5218</v>
      </c>
      <c r="C273" s="117">
        <v>1</v>
      </c>
      <c r="D273" s="117">
        <v>1</v>
      </c>
      <c r="E273" s="117">
        <v>0</v>
      </c>
      <c r="F273" s="117">
        <v>1</v>
      </c>
      <c r="G273" s="116" t="s">
        <v>6393</v>
      </c>
    </row>
    <row r="274" spans="1:7" ht="45.75" customHeight="1" x14ac:dyDescent="0.25">
      <c r="A274" s="116" t="s">
        <v>5167</v>
      </c>
      <c r="B274" s="117" t="s">
        <v>5218</v>
      </c>
      <c r="C274" s="117">
        <v>1</v>
      </c>
      <c r="D274" s="117">
        <v>1</v>
      </c>
      <c r="E274" s="117">
        <v>0</v>
      </c>
      <c r="F274" s="117">
        <v>1</v>
      </c>
      <c r="G274" s="116" t="s">
        <v>6393</v>
      </c>
    </row>
    <row r="275" spans="1:7" ht="102" customHeight="1" x14ac:dyDescent="0.25">
      <c r="A275" s="116" t="s">
        <v>6399</v>
      </c>
      <c r="B275" s="117" t="s">
        <v>5218</v>
      </c>
      <c r="C275" s="117">
        <v>1</v>
      </c>
      <c r="D275" s="117">
        <v>1</v>
      </c>
      <c r="E275" s="117">
        <v>0</v>
      </c>
      <c r="F275" s="117">
        <v>1</v>
      </c>
      <c r="G275" s="116" t="s">
        <v>6393</v>
      </c>
    </row>
    <row r="276" spans="1:7" ht="34.5" customHeight="1" x14ac:dyDescent="0.25">
      <c r="A276" s="116" t="s">
        <v>5179</v>
      </c>
      <c r="B276" s="117" t="s">
        <v>5218</v>
      </c>
      <c r="C276" s="117">
        <v>1</v>
      </c>
      <c r="D276" s="117">
        <v>1</v>
      </c>
      <c r="E276" s="117">
        <v>0</v>
      </c>
      <c r="F276" s="117">
        <v>1</v>
      </c>
      <c r="G276" s="116" t="s">
        <v>6393</v>
      </c>
    </row>
    <row r="277" spans="1:7" ht="57" customHeight="1" x14ac:dyDescent="0.25">
      <c r="A277" s="116" t="s">
        <v>5182</v>
      </c>
      <c r="B277" s="117" t="s">
        <v>5218</v>
      </c>
      <c r="C277" s="117">
        <v>1</v>
      </c>
      <c r="D277" s="117">
        <v>1</v>
      </c>
      <c r="E277" s="117">
        <v>0</v>
      </c>
      <c r="F277" s="117">
        <v>1</v>
      </c>
      <c r="G277" s="116" t="s">
        <v>6393</v>
      </c>
    </row>
    <row r="278" spans="1:7" ht="45.75" customHeight="1" x14ac:dyDescent="0.25">
      <c r="A278" s="116" t="s">
        <v>5188</v>
      </c>
      <c r="B278" s="117" t="s">
        <v>5218</v>
      </c>
      <c r="C278" s="117">
        <v>1</v>
      </c>
      <c r="D278" s="117">
        <v>1</v>
      </c>
      <c r="E278" s="117">
        <v>0</v>
      </c>
      <c r="F278" s="117">
        <v>1</v>
      </c>
      <c r="G278" s="116" t="s">
        <v>6393</v>
      </c>
    </row>
    <row r="279" spans="1:7" ht="68.25" customHeight="1" x14ac:dyDescent="0.25">
      <c r="A279" s="116" t="s">
        <v>5192</v>
      </c>
      <c r="B279" s="117" t="s">
        <v>5218</v>
      </c>
      <c r="C279" s="117">
        <v>1</v>
      </c>
      <c r="D279" s="117">
        <v>1</v>
      </c>
      <c r="E279" s="117">
        <v>0</v>
      </c>
      <c r="F279" s="117">
        <v>1</v>
      </c>
      <c r="G279" s="116" t="s">
        <v>6393</v>
      </c>
    </row>
    <row r="280" spans="1:7" ht="23.25" customHeight="1" x14ac:dyDescent="0.25">
      <c r="A280" s="116" t="s">
        <v>5198</v>
      </c>
      <c r="B280" s="117" t="s">
        <v>5218</v>
      </c>
      <c r="C280" s="117">
        <v>1</v>
      </c>
      <c r="D280" s="117">
        <v>1</v>
      </c>
      <c r="E280" s="117">
        <v>0</v>
      </c>
      <c r="F280" s="117">
        <v>1</v>
      </c>
      <c r="G280" s="116" t="s">
        <v>6393</v>
      </c>
    </row>
    <row r="281" spans="1:7" ht="23.25" customHeight="1" x14ac:dyDescent="0.25">
      <c r="A281" s="116" t="s">
        <v>6400</v>
      </c>
      <c r="B281" s="117" t="s">
        <v>5218</v>
      </c>
      <c r="C281" s="117">
        <v>1</v>
      </c>
      <c r="D281" s="117">
        <v>1</v>
      </c>
      <c r="E281" s="117">
        <v>0</v>
      </c>
      <c r="F281" s="117">
        <v>1</v>
      </c>
      <c r="G281" s="116" t="s">
        <v>6393</v>
      </c>
    </row>
    <row r="282" spans="1:7" ht="34.5" customHeight="1" x14ac:dyDescent="0.25">
      <c r="A282" s="116" t="s">
        <v>5215</v>
      </c>
      <c r="B282" s="117" t="s">
        <v>5218</v>
      </c>
      <c r="C282" s="117">
        <v>1</v>
      </c>
      <c r="D282" s="117">
        <v>1</v>
      </c>
      <c r="E282" s="117">
        <v>0</v>
      </c>
      <c r="F282" s="117">
        <v>1</v>
      </c>
      <c r="G282" s="116" t="s">
        <v>6393</v>
      </c>
    </row>
    <row r="283" spans="1:7" ht="23.25" customHeight="1" x14ac:dyDescent="0.25">
      <c r="A283" s="116" t="s">
        <v>5225</v>
      </c>
      <c r="B283" s="117" t="s">
        <v>5218</v>
      </c>
      <c r="C283" s="117">
        <v>1</v>
      </c>
      <c r="D283" s="117">
        <v>1</v>
      </c>
      <c r="E283" s="117">
        <v>0</v>
      </c>
      <c r="F283" s="117">
        <v>1</v>
      </c>
      <c r="G283" s="116" t="s">
        <v>6393</v>
      </c>
    </row>
    <row r="284" spans="1:7" ht="23.25" customHeight="1" x14ac:dyDescent="0.25">
      <c r="A284" s="116" t="s">
        <v>5228</v>
      </c>
      <c r="B284" s="117" t="s">
        <v>5218</v>
      </c>
      <c r="C284" s="117">
        <v>1</v>
      </c>
      <c r="D284" s="117">
        <v>1</v>
      </c>
      <c r="E284" s="117">
        <v>0</v>
      </c>
      <c r="F284" s="117">
        <v>1</v>
      </c>
      <c r="G284" s="116" t="s">
        <v>6393</v>
      </c>
    </row>
    <row r="285" spans="1:7" ht="23.25" customHeight="1" x14ac:dyDescent="0.25">
      <c r="A285" s="116" t="s">
        <v>5231</v>
      </c>
      <c r="B285" s="117" t="s">
        <v>5218</v>
      </c>
      <c r="C285" s="117">
        <v>1</v>
      </c>
      <c r="D285" s="117">
        <v>1</v>
      </c>
      <c r="E285" s="117">
        <v>0</v>
      </c>
      <c r="F285" s="117">
        <v>1</v>
      </c>
      <c r="G285" s="116" t="s">
        <v>6393</v>
      </c>
    </row>
    <row r="286" spans="1:7" ht="15" customHeight="1" x14ac:dyDescent="0.25">
      <c r="A286" s="116" t="s">
        <v>5235</v>
      </c>
      <c r="B286" s="117" t="s">
        <v>5218</v>
      </c>
      <c r="C286" s="117">
        <v>1</v>
      </c>
      <c r="D286" s="117">
        <v>1</v>
      </c>
      <c r="E286" s="117">
        <v>0</v>
      </c>
      <c r="F286" s="117">
        <v>1</v>
      </c>
      <c r="G286" s="116" t="s">
        <v>6393</v>
      </c>
    </row>
    <row r="287" spans="1:7" ht="23.25" customHeight="1" x14ac:dyDescent="0.25">
      <c r="A287" s="116" t="s">
        <v>6401</v>
      </c>
      <c r="B287" s="117" t="s">
        <v>5218</v>
      </c>
      <c r="C287" s="117">
        <v>1</v>
      </c>
      <c r="D287" s="117">
        <v>1</v>
      </c>
      <c r="E287" s="117">
        <v>0</v>
      </c>
      <c r="F287" s="117">
        <v>1</v>
      </c>
      <c r="G287" s="116" t="s">
        <v>6393</v>
      </c>
    </row>
    <row r="288" spans="1:7" ht="15" customHeight="1" x14ac:dyDescent="0.25">
      <c r="A288" s="116" t="s">
        <v>5263</v>
      </c>
      <c r="B288" s="117" t="s">
        <v>5218</v>
      </c>
      <c r="C288" s="117">
        <v>1</v>
      </c>
      <c r="D288" s="117">
        <v>1</v>
      </c>
      <c r="E288" s="117">
        <v>0</v>
      </c>
      <c r="F288" s="117">
        <v>1</v>
      </c>
      <c r="G288" s="116" t="s">
        <v>6393</v>
      </c>
    </row>
    <row r="289" spans="1:7" ht="15" customHeight="1" x14ac:dyDescent="0.25">
      <c r="A289" s="116"/>
      <c r="B289" s="117"/>
      <c r="C289" s="117"/>
      <c r="D289" s="117"/>
      <c r="E289" s="117"/>
      <c r="F289" s="117"/>
      <c r="G289" s="116"/>
    </row>
    <row r="290" spans="1:7" ht="23.25" customHeight="1" x14ac:dyDescent="0.25">
      <c r="A290" s="118" t="s">
        <v>6402</v>
      </c>
      <c r="B290" s="117"/>
      <c r="C290" s="117"/>
      <c r="D290" s="117"/>
      <c r="E290" s="117"/>
      <c r="F290" s="117"/>
      <c r="G290" s="116"/>
    </row>
    <row r="291" spans="1:7" ht="15" customHeight="1" x14ac:dyDescent="0.25">
      <c r="A291" s="116" t="s">
        <v>5928</v>
      </c>
      <c r="B291" s="117" t="s">
        <v>78</v>
      </c>
      <c r="C291" s="117"/>
      <c r="D291" s="117">
        <v>2</v>
      </c>
      <c r="E291" s="117"/>
      <c r="F291" s="117">
        <v>1</v>
      </c>
      <c r="G291" s="116" t="s">
        <v>6403</v>
      </c>
    </row>
    <row r="292" spans="1:7" ht="23.25" customHeight="1" x14ac:dyDescent="0.25">
      <c r="A292" s="116" t="s">
        <v>5931</v>
      </c>
      <c r="B292" s="117" t="s">
        <v>78</v>
      </c>
      <c r="C292" s="117"/>
      <c r="D292" s="117">
        <v>2</v>
      </c>
      <c r="E292" s="117"/>
      <c r="F292" s="117">
        <v>1</v>
      </c>
      <c r="G292" s="116" t="s">
        <v>6403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42"/>
  <sheetViews>
    <sheetView zoomScaleNormal="100" workbookViewId="0">
      <pane ySplit="2" topLeftCell="A3" activePane="bottomLeft" state="frozen"/>
      <selection pane="bottomLeft" sqref="A1:E1"/>
    </sheetView>
  </sheetViews>
  <sheetFormatPr defaultColWidth="8.7109375" defaultRowHeight="15" x14ac:dyDescent="0.25"/>
  <cols>
    <col min="1" max="1" width="9" customWidth="1"/>
    <col min="2" max="2" width="20" customWidth="1"/>
    <col min="3" max="4" width="60" customWidth="1"/>
    <col min="5" max="5" width="52" customWidth="1"/>
  </cols>
  <sheetData>
    <row r="1" spans="1:5" x14ac:dyDescent="0.25">
      <c r="A1" s="157" t="s">
        <v>6404</v>
      </c>
      <c r="B1" s="157"/>
      <c r="C1" s="157"/>
      <c r="D1" s="157"/>
      <c r="E1" s="157"/>
    </row>
    <row r="2" spans="1:5" x14ac:dyDescent="0.25">
      <c r="A2" s="99" t="s">
        <v>6405</v>
      </c>
      <c r="B2" s="99" t="s">
        <v>6406</v>
      </c>
      <c r="C2" s="99" t="s">
        <v>6407</v>
      </c>
      <c r="D2" s="99" t="s">
        <v>6408</v>
      </c>
      <c r="E2" s="99" t="s">
        <v>6409</v>
      </c>
    </row>
    <row r="3" spans="1:5" ht="25.5" x14ac:dyDescent="0.25">
      <c r="A3" s="119">
        <v>3</v>
      </c>
      <c r="B3" s="119" t="s">
        <v>6410</v>
      </c>
      <c r="C3" s="119" t="s">
        <v>6102</v>
      </c>
      <c r="D3" s="119" t="s">
        <v>16</v>
      </c>
      <c r="E3" s="119" t="s">
        <v>6411</v>
      </c>
    </row>
    <row r="4" spans="1:5" ht="25.5" x14ac:dyDescent="0.25">
      <c r="A4" s="119">
        <v>3</v>
      </c>
      <c r="B4" s="119" t="s">
        <v>6412</v>
      </c>
      <c r="C4" s="119" t="s">
        <v>6101</v>
      </c>
      <c r="D4" s="119"/>
      <c r="E4" s="119" t="s">
        <v>6413</v>
      </c>
    </row>
    <row r="5" spans="1:5" ht="25.5" x14ac:dyDescent="0.25">
      <c r="A5" s="119">
        <v>4</v>
      </c>
      <c r="B5" s="119" t="s">
        <v>6410</v>
      </c>
      <c r="C5" s="119" t="s">
        <v>6102</v>
      </c>
      <c r="D5" s="119" t="s">
        <v>19</v>
      </c>
      <c r="E5" s="119" t="s">
        <v>6411</v>
      </c>
    </row>
    <row r="6" spans="1:5" ht="25.5" x14ac:dyDescent="0.25">
      <c r="A6" s="119">
        <v>4</v>
      </c>
      <c r="B6" s="119" t="s">
        <v>6412</v>
      </c>
      <c r="C6" s="119" t="s">
        <v>6103</v>
      </c>
      <c r="D6" s="119"/>
      <c r="E6" s="119" t="s">
        <v>6413</v>
      </c>
    </row>
    <row r="7" spans="1:5" ht="25.5" x14ac:dyDescent="0.25">
      <c r="A7" s="119">
        <v>5</v>
      </c>
      <c r="B7" s="119" t="s">
        <v>6410</v>
      </c>
      <c r="C7" s="119" t="s">
        <v>6106</v>
      </c>
      <c r="D7" s="119" t="s">
        <v>21</v>
      </c>
      <c r="E7" s="119" t="s">
        <v>6411</v>
      </c>
    </row>
    <row r="8" spans="1:5" ht="25.5" x14ac:dyDescent="0.25">
      <c r="A8" s="119">
        <v>5</v>
      </c>
      <c r="B8" s="119" t="s">
        <v>6412</v>
      </c>
      <c r="C8" s="119" t="s">
        <v>6104</v>
      </c>
      <c r="D8" s="119"/>
      <c r="E8" s="119" t="s">
        <v>6413</v>
      </c>
    </row>
    <row r="9" spans="1:5" ht="25.5" x14ac:dyDescent="0.25">
      <c r="A9" s="119">
        <v>6</v>
      </c>
      <c r="B9" s="119" t="s">
        <v>6410</v>
      </c>
      <c r="C9" s="119" t="s">
        <v>6108</v>
      </c>
      <c r="D9" s="119" t="s">
        <v>22</v>
      </c>
      <c r="E9" s="119" t="s">
        <v>6411</v>
      </c>
    </row>
    <row r="10" spans="1:5" ht="25.5" x14ac:dyDescent="0.25">
      <c r="A10" s="119">
        <v>6</v>
      </c>
      <c r="B10" s="119" t="s">
        <v>6412</v>
      </c>
      <c r="C10" s="119" t="s">
        <v>6107</v>
      </c>
      <c r="D10" s="119"/>
      <c r="E10" s="119" t="s">
        <v>6413</v>
      </c>
    </row>
    <row r="11" spans="1:5" ht="25.5" x14ac:dyDescent="0.25">
      <c r="A11" s="119">
        <v>7</v>
      </c>
      <c r="B11" s="119" t="s">
        <v>6410</v>
      </c>
      <c r="C11" s="119" t="s">
        <v>6108</v>
      </c>
      <c r="D11" s="119" t="s">
        <v>22</v>
      </c>
      <c r="E11" s="119" t="s">
        <v>6411</v>
      </c>
    </row>
    <row r="12" spans="1:5" ht="25.5" x14ac:dyDescent="0.25">
      <c r="A12" s="119">
        <v>7</v>
      </c>
      <c r="B12" s="119" t="s">
        <v>6412</v>
      </c>
      <c r="C12" s="119" t="s">
        <v>6107</v>
      </c>
      <c r="D12" s="119"/>
      <c r="E12" s="119" t="s">
        <v>6413</v>
      </c>
    </row>
    <row r="13" spans="1:5" ht="25.5" x14ac:dyDescent="0.25">
      <c r="A13" s="119">
        <v>8</v>
      </c>
      <c r="B13" s="119" t="s">
        <v>6410</v>
      </c>
      <c r="C13" s="119" t="s">
        <v>6108</v>
      </c>
      <c r="D13" s="119" t="s">
        <v>25</v>
      </c>
      <c r="E13" s="119" t="s">
        <v>6411</v>
      </c>
    </row>
    <row r="14" spans="1:5" ht="25.5" x14ac:dyDescent="0.25">
      <c r="A14" s="119">
        <v>8</v>
      </c>
      <c r="B14" s="119" t="s">
        <v>6412</v>
      </c>
      <c r="C14" s="119" t="s">
        <v>6109</v>
      </c>
      <c r="D14" s="119"/>
      <c r="E14" s="119" t="s">
        <v>6413</v>
      </c>
    </row>
    <row r="15" spans="1:5" ht="25.5" x14ac:dyDescent="0.25">
      <c r="A15" s="119">
        <v>9</v>
      </c>
      <c r="B15" s="119" t="s">
        <v>6410</v>
      </c>
      <c r="C15" s="119" t="s">
        <v>6112</v>
      </c>
      <c r="D15" s="119" t="s">
        <v>26</v>
      </c>
      <c r="E15" s="119" t="s">
        <v>6411</v>
      </c>
    </row>
    <row r="16" spans="1:5" ht="25.5" x14ac:dyDescent="0.25">
      <c r="A16" s="119">
        <v>9</v>
      </c>
      <c r="B16" s="119" t="s">
        <v>6412</v>
      </c>
      <c r="C16" s="119" t="s">
        <v>6110</v>
      </c>
      <c r="D16" s="119"/>
      <c r="E16" s="119" t="s">
        <v>6413</v>
      </c>
    </row>
    <row r="17" spans="1:5" ht="25.5" x14ac:dyDescent="0.25">
      <c r="A17" s="119">
        <v>10</v>
      </c>
      <c r="B17" s="119" t="s">
        <v>6410</v>
      </c>
      <c r="C17" s="119" t="s">
        <v>6112</v>
      </c>
      <c r="D17" s="119" t="s">
        <v>28</v>
      </c>
      <c r="E17" s="119" t="s">
        <v>6411</v>
      </c>
    </row>
    <row r="18" spans="1:5" ht="25.5" x14ac:dyDescent="0.25">
      <c r="A18" s="119">
        <v>10</v>
      </c>
      <c r="B18" s="119" t="s">
        <v>6412</v>
      </c>
      <c r="C18" s="119" t="s">
        <v>6113</v>
      </c>
      <c r="D18" s="119"/>
      <c r="E18" s="119" t="s">
        <v>6413</v>
      </c>
    </row>
    <row r="19" spans="1:5" ht="25.5" x14ac:dyDescent="0.25">
      <c r="A19" s="119">
        <v>11</v>
      </c>
      <c r="B19" s="119" t="s">
        <v>6410</v>
      </c>
      <c r="C19" s="119" t="s">
        <v>6112</v>
      </c>
      <c r="D19" s="119" t="s">
        <v>26</v>
      </c>
      <c r="E19" s="119" t="s">
        <v>6411</v>
      </c>
    </row>
    <row r="20" spans="1:5" ht="25.5" x14ac:dyDescent="0.25">
      <c r="A20" s="119">
        <v>11</v>
      </c>
      <c r="B20" s="119" t="s">
        <v>6412</v>
      </c>
      <c r="C20" s="119" t="s">
        <v>6110</v>
      </c>
      <c r="D20" s="119"/>
      <c r="E20" s="119" t="s">
        <v>6413</v>
      </c>
    </row>
    <row r="21" spans="1:5" ht="25.5" x14ac:dyDescent="0.25">
      <c r="A21" s="119">
        <v>12</v>
      </c>
      <c r="B21" s="119" t="s">
        <v>6410</v>
      </c>
      <c r="C21" s="119" t="s">
        <v>6112</v>
      </c>
      <c r="D21" s="119" t="s">
        <v>28</v>
      </c>
      <c r="E21" s="119" t="s">
        <v>6411</v>
      </c>
    </row>
    <row r="22" spans="1:5" ht="25.5" x14ac:dyDescent="0.25">
      <c r="A22" s="119">
        <v>12</v>
      </c>
      <c r="B22" s="119" t="s">
        <v>6412</v>
      </c>
      <c r="C22" s="119" t="s">
        <v>6113</v>
      </c>
      <c r="D22" s="119"/>
      <c r="E22" s="119" t="s">
        <v>6413</v>
      </c>
    </row>
    <row r="23" spans="1:5" ht="25.5" x14ac:dyDescent="0.25">
      <c r="A23" s="119">
        <v>13</v>
      </c>
      <c r="B23" s="119" t="s">
        <v>6410</v>
      </c>
      <c r="C23" s="119" t="s">
        <v>6112</v>
      </c>
      <c r="D23" s="119" t="s">
        <v>26</v>
      </c>
      <c r="E23" s="119" t="s">
        <v>6411</v>
      </c>
    </row>
    <row r="24" spans="1:5" ht="25.5" x14ac:dyDescent="0.25">
      <c r="A24" s="119">
        <v>13</v>
      </c>
      <c r="B24" s="119" t="s">
        <v>6412</v>
      </c>
      <c r="C24" s="119" t="s">
        <v>6110</v>
      </c>
      <c r="D24" s="119"/>
      <c r="E24" s="119" t="s">
        <v>6413</v>
      </c>
    </row>
    <row r="25" spans="1:5" ht="25.5" x14ac:dyDescent="0.25">
      <c r="A25" s="119">
        <v>14</v>
      </c>
      <c r="B25" s="119" t="s">
        <v>6410</v>
      </c>
      <c r="C25" s="119" t="s">
        <v>6112</v>
      </c>
      <c r="D25" s="119" t="s">
        <v>33</v>
      </c>
      <c r="E25" s="119" t="s">
        <v>6411</v>
      </c>
    </row>
    <row r="26" spans="1:5" ht="25.5" x14ac:dyDescent="0.25">
      <c r="A26" s="119">
        <v>14</v>
      </c>
      <c r="B26" s="119" t="s">
        <v>6412</v>
      </c>
      <c r="C26" s="119" t="s">
        <v>6114</v>
      </c>
      <c r="D26" s="119"/>
      <c r="E26" s="119" t="s">
        <v>6413</v>
      </c>
    </row>
    <row r="27" spans="1:5" ht="25.5" x14ac:dyDescent="0.25">
      <c r="A27" s="119">
        <v>15</v>
      </c>
      <c r="B27" s="119" t="s">
        <v>6410</v>
      </c>
      <c r="C27" s="119" t="s">
        <v>6116</v>
      </c>
      <c r="D27" s="119" t="s">
        <v>35</v>
      </c>
      <c r="E27" s="119" t="s">
        <v>6411</v>
      </c>
    </row>
    <row r="28" spans="1:5" ht="25.5" x14ac:dyDescent="0.25">
      <c r="A28" s="119">
        <v>15</v>
      </c>
      <c r="B28" s="119" t="s">
        <v>6412</v>
      </c>
      <c r="C28" s="119" t="s">
        <v>6115</v>
      </c>
      <c r="D28" s="119"/>
      <c r="E28" s="119" t="s">
        <v>6413</v>
      </c>
    </row>
    <row r="29" spans="1:5" ht="25.5" x14ac:dyDescent="0.25">
      <c r="A29" s="119">
        <v>16</v>
      </c>
      <c r="B29" s="119" t="s">
        <v>6410</v>
      </c>
      <c r="C29" s="119" t="s">
        <v>6118</v>
      </c>
      <c r="D29" s="119" t="s">
        <v>37</v>
      </c>
      <c r="E29" s="119" t="s">
        <v>6411</v>
      </c>
    </row>
    <row r="30" spans="1:5" ht="25.5" x14ac:dyDescent="0.25">
      <c r="A30" s="119">
        <v>16</v>
      </c>
      <c r="B30" s="119" t="s">
        <v>6412</v>
      </c>
      <c r="C30" s="119" t="s">
        <v>6117</v>
      </c>
      <c r="D30" s="119"/>
      <c r="E30" s="119" t="s">
        <v>6413</v>
      </c>
    </row>
    <row r="31" spans="1:5" ht="25.5" x14ac:dyDescent="0.25">
      <c r="A31" s="119">
        <v>17</v>
      </c>
      <c r="B31" s="119" t="s">
        <v>6410</v>
      </c>
      <c r="C31" s="119" t="s">
        <v>6120</v>
      </c>
      <c r="D31" s="119" t="s">
        <v>39</v>
      </c>
      <c r="E31" s="119" t="s">
        <v>6411</v>
      </c>
    </row>
    <row r="32" spans="1:5" ht="25.5" x14ac:dyDescent="0.25">
      <c r="A32" s="119">
        <v>17</v>
      </c>
      <c r="B32" s="119" t="s">
        <v>6412</v>
      </c>
      <c r="C32" s="119" t="s">
        <v>6119</v>
      </c>
      <c r="D32" s="119"/>
      <c r="E32" s="119" t="s">
        <v>6413</v>
      </c>
    </row>
    <row r="33" spans="1:5" ht="25.5" x14ac:dyDescent="0.25">
      <c r="A33" s="119">
        <v>384</v>
      </c>
      <c r="B33" s="119" t="s">
        <v>6410</v>
      </c>
      <c r="C33" s="119" t="s">
        <v>6127</v>
      </c>
      <c r="D33" s="119" t="s">
        <v>494</v>
      </c>
      <c r="E33" s="119" t="s">
        <v>6411</v>
      </c>
    </row>
    <row r="34" spans="1:5" ht="25.5" x14ac:dyDescent="0.25">
      <c r="A34" s="119">
        <v>384</v>
      </c>
      <c r="B34" s="119" t="s">
        <v>6412</v>
      </c>
      <c r="C34" s="119" t="s">
        <v>6125</v>
      </c>
      <c r="D34" s="119"/>
      <c r="E34" s="119" t="s">
        <v>6413</v>
      </c>
    </row>
    <row r="35" spans="1:5" ht="25.5" x14ac:dyDescent="0.25">
      <c r="A35" s="119">
        <v>385</v>
      </c>
      <c r="B35" s="119" t="s">
        <v>6410</v>
      </c>
      <c r="C35" s="119" t="s">
        <v>6127</v>
      </c>
      <c r="D35" s="119" t="s">
        <v>494</v>
      </c>
      <c r="E35" s="119" t="s">
        <v>6411</v>
      </c>
    </row>
    <row r="36" spans="1:5" ht="25.5" x14ac:dyDescent="0.25">
      <c r="A36" s="119">
        <v>385</v>
      </c>
      <c r="B36" s="119" t="s">
        <v>6412</v>
      </c>
      <c r="C36" s="119" t="s">
        <v>6125</v>
      </c>
      <c r="D36" s="119"/>
      <c r="E36" s="119" t="s">
        <v>6413</v>
      </c>
    </row>
    <row r="37" spans="1:5" ht="25.5" x14ac:dyDescent="0.25">
      <c r="A37" s="119">
        <v>386</v>
      </c>
      <c r="B37" s="119" t="s">
        <v>6410</v>
      </c>
      <c r="C37" s="119" t="s">
        <v>6127</v>
      </c>
      <c r="D37" s="119" t="s">
        <v>494</v>
      </c>
      <c r="E37" s="119" t="s">
        <v>6411</v>
      </c>
    </row>
    <row r="38" spans="1:5" ht="25.5" x14ac:dyDescent="0.25">
      <c r="A38" s="119">
        <v>386</v>
      </c>
      <c r="B38" s="119" t="s">
        <v>6412</v>
      </c>
      <c r="C38" s="119" t="s">
        <v>6125</v>
      </c>
      <c r="D38" s="119"/>
      <c r="E38" s="119" t="s">
        <v>6413</v>
      </c>
    </row>
    <row r="39" spans="1:5" ht="25.5" x14ac:dyDescent="0.25">
      <c r="A39" s="119">
        <v>387</v>
      </c>
      <c r="B39" s="119" t="s">
        <v>6410</v>
      </c>
      <c r="C39" s="119" t="s">
        <v>6127</v>
      </c>
      <c r="D39" s="119" t="s">
        <v>494</v>
      </c>
      <c r="E39" s="119" t="s">
        <v>6411</v>
      </c>
    </row>
    <row r="40" spans="1:5" ht="25.5" x14ac:dyDescent="0.25">
      <c r="A40" s="119">
        <v>387</v>
      </c>
      <c r="B40" s="119" t="s">
        <v>6412</v>
      </c>
      <c r="C40" s="119" t="s">
        <v>6125</v>
      </c>
      <c r="D40" s="119"/>
      <c r="E40" s="119" t="s">
        <v>6413</v>
      </c>
    </row>
    <row r="41" spans="1:5" ht="25.5" x14ac:dyDescent="0.25">
      <c r="A41" s="119">
        <v>388</v>
      </c>
      <c r="B41" s="119" t="s">
        <v>6410</v>
      </c>
      <c r="C41" s="119" t="s">
        <v>6127</v>
      </c>
      <c r="D41" s="119" t="s">
        <v>494</v>
      </c>
      <c r="E41" s="119" t="s">
        <v>6411</v>
      </c>
    </row>
    <row r="42" spans="1:5" ht="25.5" x14ac:dyDescent="0.25">
      <c r="A42" s="119">
        <v>388</v>
      </c>
      <c r="B42" s="119" t="s">
        <v>6412</v>
      </c>
      <c r="C42" s="119" t="s">
        <v>6125</v>
      </c>
      <c r="D42" s="119"/>
      <c r="E42" s="119" t="s">
        <v>6413</v>
      </c>
    </row>
    <row r="43" spans="1:5" ht="25.5" x14ac:dyDescent="0.25">
      <c r="A43" s="119">
        <v>389</v>
      </c>
      <c r="B43" s="119" t="s">
        <v>6410</v>
      </c>
      <c r="C43" s="119" t="s">
        <v>6127</v>
      </c>
      <c r="D43" s="119" t="s">
        <v>505</v>
      </c>
      <c r="E43" s="119" t="s">
        <v>6411</v>
      </c>
    </row>
    <row r="44" spans="1:5" ht="25.5" x14ac:dyDescent="0.25">
      <c r="A44" s="119">
        <v>389</v>
      </c>
      <c r="B44" s="119" t="s">
        <v>6412</v>
      </c>
      <c r="C44" s="119" t="s">
        <v>6131</v>
      </c>
      <c r="D44" s="119"/>
      <c r="E44" s="119" t="s">
        <v>6413</v>
      </c>
    </row>
    <row r="45" spans="1:5" ht="25.5" x14ac:dyDescent="0.25">
      <c r="A45" s="119">
        <v>390</v>
      </c>
      <c r="B45" s="119" t="s">
        <v>6410</v>
      </c>
      <c r="C45" s="119" t="s">
        <v>6127</v>
      </c>
      <c r="D45" s="119" t="s">
        <v>505</v>
      </c>
      <c r="E45" s="119" t="s">
        <v>6411</v>
      </c>
    </row>
    <row r="46" spans="1:5" ht="25.5" x14ac:dyDescent="0.25">
      <c r="A46" s="119">
        <v>390</v>
      </c>
      <c r="B46" s="119" t="s">
        <v>6412</v>
      </c>
      <c r="C46" s="119" t="s">
        <v>6131</v>
      </c>
      <c r="D46" s="119"/>
      <c r="E46" s="119" t="s">
        <v>6413</v>
      </c>
    </row>
    <row r="47" spans="1:5" ht="25.5" x14ac:dyDescent="0.25">
      <c r="A47" s="119">
        <v>391</v>
      </c>
      <c r="B47" s="119" t="s">
        <v>6410</v>
      </c>
      <c r="C47" s="119" t="s">
        <v>6127</v>
      </c>
      <c r="D47" s="119" t="s">
        <v>494</v>
      </c>
      <c r="E47" s="119" t="s">
        <v>6411</v>
      </c>
    </row>
    <row r="48" spans="1:5" ht="25.5" x14ac:dyDescent="0.25">
      <c r="A48" s="119">
        <v>391</v>
      </c>
      <c r="B48" s="119" t="s">
        <v>6412</v>
      </c>
      <c r="C48" s="119" t="s">
        <v>6125</v>
      </c>
      <c r="D48" s="119"/>
      <c r="E48" s="119" t="s">
        <v>6413</v>
      </c>
    </row>
    <row r="49" spans="1:5" ht="25.5" x14ac:dyDescent="0.25">
      <c r="A49" s="119">
        <v>392</v>
      </c>
      <c r="B49" s="119" t="s">
        <v>6410</v>
      </c>
      <c r="C49" s="119" t="s">
        <v>6127</v>
      </c>
      <c r="D49" s="119" t="s">
        <v>505</v>
      </c>
      <c r="E49" s="119" t="s">
        <v>6411</v>
      </c>
    </row>
    <row r="50" spans="1:5" ht="25.5" x14ac:dyDescent="0.25">
      <c r="A50" s="119">
        <v>392</v>
      </c>
      <c r="B50" s="119" t="s">
        <v>6412</v>
      </c>
      <c r="C50" s="119" t="s">
        <v>6131</v>
      </c>
      <c r="D50" s="119"/>
      <c r="E50" s="119" t="s">
        <v>6413</v>
      </c>
    </row>
    <row r="51" spans="1:5" ht="25.5" x14ac:dyDescent="0.25">
      <c r="A51" s="119">
        <v>393</v>
      </c>
      <c r="B51" s="119" t="s">
        <v>6410</v>
      </c>
      <c r="C51" s="119" t="s">
        <v>6127</v>
      </c>
      <c r="D51" s="119" t="s">
        <v>505</v>
      </c>
      <c r="E51" s="119" t="s">
        <v>6411</v>
      </c>
    </row>
    <row r="52" spans="1:5" ht="25.5" x14ac:dyDescent="0.25">
      <c r="A52" s="119">
        <v>393</v>
      </c>
      <c r="B52" s="119" t="s">
        <v>6412</v>
      </c>
      <c r="C52" s="119" t="s">
        <v>6131</v>
      </c>
      <c r="D52" s="119"/>
      <c r="E52" s="119" t="s">
        <v>6413</v>
      </c>
    </row>
    <row r="53" spans="1:5" ht="25.5" x14ac:dyDescent="0.25">
      <c r="A53" s="119">
        <v>394</v>
      </c>
      <c r="B53" s="119" t="s">
        <v>6410</v>
      </c>
      <c r="C53" s="119" t="s">
        <v>6127</v>
      </c>
      <c r="D53" s="119" t="s">
        <v>505</v>
      </c>
      <c r="E53" s="119" t="s">
        <v>6411</v>
      </c>
    </row>
    <row r="54" spans="1:5" ht="25.5" x14ac:dyDescent="0.25">
      <c r="A54" s="119">
        <v>394</v>
      </c>
      <c r="B54" s="119" t="s">
        <v>6412</v>
      </c>
      <c r="C54" s="119" t="s">
        <v>6131</v>
      </c>
      <c r="D54" s="119"/>
      <c r="E54" s="119" t="s">
        <v>6413</v>
      </c>
    </row>
    <row r="55" spans="1:5" ht="25.5" x14ac:dyDescent="0.25">
      <c r="A55" s="119">
        <v>395</v>
      </c>
      <c r="B55" s="119" t="s">
        <v>6410</v>
      </c>
      <c r="C55" s="119" t="s">
        <v>6127</v>
      </c>
      <c r="D55" s="119" t="s">
        <v>505</v>
      </c>
      <c r="E55" s="119" t="s">
        <v>6411</v>
      </c>
    </row>
    <row r="56" spans="1:5" ht="25.5" x14ac:dyDescent="0.25">
      <c r="A56" s="119">
        <v>395</v>
      </c>
      <c r="B56" s="119" t="s">
        <v>6412</v>
      </c>
      <c r="C56" s="119" t="s">
        <v>6131</v>
      </c>
      <c r="D56" s="119"/>
      <c r="E56" s="119" t="s">
        <v>6413</v>
      </c>
    </row>
    <row r="57" spans="1:5" ht="25.5" x14ac:dyDescent="0.25">
      <c r="A57" s="119">
        <v>396</v>
      </c>
      <c r="B57" s="119" t="s">
        <v>6410</v>
      </c>
      <c r="C57" s="119" t="s">
        <v>6127</v>
      </c>
      <c r="D57" s="119" t="s">
        <v>494</v>
      </c>
      <c r="E57" s="119" t="s">
        <v>6411</v>
      </c>
    </row>
    <row r="58" spans="1:5" ht="25.5" x14ac:dyDescent="0.25">
      <c r="A58" s="119">
        <v>396</v>
      </c>
      <c r="B58" s="119" t="s">
        <v>6412</v>
      </c>
      <c r="C58" s="119" t="s">
        <v>6125</v>
      </c>
      <c r="D58" s="119"/>
      <c r="E58" s="119" t="s">
        <v>6413</v>
      </c>
    </row>
    <row r="59" spans="1:5" ht="25.5" x14ac:dyDescent="0.25">
      <c r="A59" s="119">
        <v>397</v>
      </c>
      <c r="B59" s="119" t="s">
        <v>6410</v>
      </c>
      <c r="C59" s="119" t="s">
        <v>6127</v>
      </c>
      <c r="D59" s="119" t="s">
        <v>494</v>
      </c>
      <c r="E59" s="119" t="s">
        <v>6411</v>
      </c>
    </row>
    <row r="60" spans="1:5" ht="25.5" x14ac:dyDescent="0.25">
      <c r="A60" s="119">
        <v>397</v>
      </c>
      <c r="B60" s="119" t="s">
        <v>6412</v>
      </c>
      <c r="C60" s="119" t="s">
        <v>6125</v>
      </c>
      <c r="D60" s="119"/>
      <c r="E60" s="119" t="s">
        <v>6413</v>
      </c>
    </row>
    <row r="61" spans="1:5" ht="25.5" x14ac:dyDescent="0.25">
      <c r="A61" s="119">
        <v>398</v>
      </c>
      <c r="B61" s="119" t="s">
        <v>6410</v>
      </c>
      <c r="C61" s="119" t="s">
        <v>6127</v>
      </c>
      <c r="D61" s="119" t="s">
        <v>505</v>
      </c>
      <c r="E61" s="119" t="s">
        <v>6411</v>
      </c>
    </row>
    <row r="62" spans="1:5" ht="25.5" x14ac:dyDescent="0.25">
      <c r="A62" s="119">
        <v>398</v>
      </c>
      <c r="B62" s="119" t="s">
        <v>6412</v>
      </c>
      <c r="C62" s="119" t="s">
        <v>6131</v>
      </c>
      <c r="D62" s="119"/>
      <c r="E62" s="119" t="s">
        <v>6413</v>
      </c>
    </row>
    <row r="63" spans="1:5" ht="25.5" x14ac:dyDescent="0.25">
      <c r="A63" s="119">
        <v>399</v>
      </c>
      <c r="B63" s="119" t="s">
        <v>6410</v>
      </c>
      <c r="C63" s="119" t="s">
        <v>6127</v>
      </c>
      <c r="D63" s="119" t="s">
        <v>505</v>
      </c>
      <c r="E63" s="119" t="s">
        <v>6411</v>
      </c>
    </row>
    <row r="64" spans="1:5" ht="25.5" x14ac:dyDescent="0.25">
      <c r="A64" s="119">
        <v>399</v>
      </c>
      <c r="B64" s="119" t="s">
        <v>6412</v>
      </c>
      <c r="C64" s="119" t="s">
        <v>6131</v>
      </c>
      <c r="D64" s="119"/>
      <c r="E64" s="119" t="s">
        <v>6413</v>
      </c>
    </row>
    <row r="65" spans="1:5" ht="25.5" x14ac:dyDescent="0.25">
      <c r="A65" s="119">
        <v>400</v>
      </c>
      <c r="B65" s="119" t="s">
        <v>6410</v>
      </c>
      <c r="C65" s="119" t="s">
        <v>6127</v>
      </c>
      <c r="D65" s="119" t="s">
        <v>494</v>
      </c>
      <c r="E65" s="119" t="s">
        <v>6411</v>
      </c>
    </row>
    <row r="66" spans="1:5" ht="25.5" x14ac:dyDescent="0.25">
      <c r="A66" s="119">
        <v>400</v>
      </c>
      <c r="B66" s="119" t="s">
        <v>6412</v>
      </c>
      <c r="C66" s="119" t="s">
        <v>6125</v>
      </c>
      <c r="D66" s="119"/>
      <c r="E66" s="119" t="s">
        <v>6413</v>
      </c>
    </row>
    <row r="67" spans="1:5" ht="25.5" x14ac:dyDescent="0.25">
      <c r="A67" s="119">
        <v>401</v>
      </c>
      <c r="B67" s="119" t="s">
        <v>6410</v>
      </c>
      <c r="C67" s="119" t="s">
        <v>6127</v>
      </c>
      <c r="D67" s="119" t="s">
        <v>505</v>
      </c>
      <c r="E67" s="119" t="s">
        <v>6411</v>
      </c>
    </row>
    <row r="68" spans="1:5" ht="25.5" x14ac:dyDescent="0.25">
      <c r="A68" s="119">
        <v>401</v>
      </c>
      <c r="B68" s="119" t="s">
        <v>6412</v>
      </c>
      <c r="C68" s="119" t="s">
        <v>6131</v>
      </c>
      <c r="D68" s="119"/>
      <c r="E68" s="119" t="s">
        <v>6413</v>
      </c>
    </row>
    <row r="69" spans="1:5" ht="25.5" x14ac:dyDescent="0.25">
      <c r="A69" s="119">
        <v>402</v>
      </c>
      <c r="B69" s="119" t="s">
        <v>6410</v>
      </c>
      <c r="C69" s="119" t="s">
        <v>6127</v>
      </c>
      <c r="D69" s="119" t="s">
        <v>505</v>
      </c>
      <c r="E69" s="119" t="s">
        <v>6411</v>
      </c>
    </row>
    <row r="70" spans="1:5" ht="25.5" x14ac:dyDescent="0.25">
      <c r="A70" s="119">
        <v>402</v>
      </c>
      <c r="B70" s="119" t="s">
        <v>6412</v>
      </c>
      <c r="C70" s="119" t="s">
        <v>6131</v>
      </c>
      <c r="D70" s="119"/>
      <c r="E70" s="119" t="s">
        <v>6413</v>
      </c>
    </row>
    <row r="71" spans="1:5" ht="25.5" x14ac:dyDescent="0.25">
      <c r="A71" s="119">
        <v>403</v>
      </c>
      <c r="B71" s="119" t="s">
        <v>6410</v>
      </c>
      <c r="C71" s="119" t="s">
        <v>6127</v>
      </c>
      <c r="D71" s="119" t="s">
        <v>505</v>
      </c>
      <c r="E71" s="119" t="s">
        <v>6411</v>
      </c>
    </row>
    <row r="72" spans="1:5" ht="25.5" x14ac:dyDescent="0.25">
      <c r="A72" s="119">
        <v>403</v>
      </c>
      <c r="B72" s="119" t="s">
        <v>6412</v>
      </c>
      <c r="C72" s="119" t="s">
        <v>6131</v>
      </c>
      <c r="D72" s="119"/>
      <c r="E72" s="119" t="s">
        <v>6413</v>
      </c>
    </row>
    <row r="73" spans="1:5" ht="25.5" x14ac:dyDescent="0.25">
      <c r="A73" s="119">
        <v>404</v>
      </c>
      <c r="B73" s="119" t="s">
        <v>6410</v>
      </c>
      <c r="C73" s="119" t="s">
        <v>6127</v>
      </c>
      <c r="D73" s="119" t="s">
        <v>505</v>
      </c>
      <c r="E73" s="119" t="s">
        <v>6411</v>
      </c>
    </row>
    <row r="74" spans="1:5" ht="25.5" x14ac:dyDescent="0.25">
      <c r="A74" s="119">
        <v>404</v>
      </c>
      <c r="B74" s="119" t="s">
        <v>6412</v>
      </c>
      <c r="C74" s="119" t="s">
        <v>6131</v>
      </c>
      <c r="D74" s="119"/>
      <c r="E74" s="119" t="s">
        <v>6413</v>
      </c>
    </row>
    <row r="75" spans="1:5" ht="25.5" x14ac:dyDescent="0.25">
      <c r="A75" s="119">
        <v>405</v>
      </c>
      <c r="B75" s="119" t="s">
        <v>6410</v>
      </c>
      <c r="C75" s="119" t="s">
        <v>6127</v>
      </c>
      <c r="D75" s="119" t="s">
        <v>494</v>
      </c>
      <c r="E75" s="119" t="s">
        <v>6411</v>
      </c>
    </row>
    <row r="76" spans="1:5" ht="25.5" x14ac:dyDescent="0.25">
      <c r="A76" s="119">
        <v>405</v>
      </c>
      <c r="B76" s="119" t="s">
        <v>6412</v>
      </c>
      <c r="C76" s="119" t="s">
        <v>6125</v>
      </c>
      <c r="D76" s="119"/>
      <c r="E76" s="119" t="s">
        <v>6413</v>
      </c>
    </row>
    <row r="77" spans="1:5" ht="25.5" x14ac:dyDescent="0.25">
      <c r="A77" s="119">
        <v>406</v>
      </c>
      <c r="B77" s="119" t="s">
        <v>6410</v>
      </c>
      <c r="C77" s="119" t="s">
        <v>6127</v>
      </c>
      <c r="D77" s="119" t="s">
        <v>505</v>
      </c>
      <c r="E77" s="119" t="s">
        <v>6411</v>
      </c>
    </row>
    <row r="78" spans="1:5" ht="25.5" x14ac:dyDescent="0.25">
      <c r="A78" s="119">
        <v>406</v>
      </c>
      <c r="B78" s="119" t="s">
        <v>6412</v>
      </c>
      <c r="C78" s="119" t="s">
        <v>6131</v>
      </c>
      <c r="D78" s="119"/>
      <c r="E78" s="119" t="s">
        <v>6413</v>
      </c>
    </row>
    <row r="79" spans="1:5" ht="25.5" x14ac:dyDescent="0.25">
      <c r="A79" s="119">
        <v>407</v>
      </c>
      <c r="B79" s="119" t="s">
        <v>6410</v>
      </c>
      <c r="C79" s="119" t="s">
        <v>6127</v>
      </c>
      <c r="D79" s="119" t="s">
        <v>505</v>
      </c>
      <c r="E79" s="119" t="s">
        <v>6411</v>
      </c>
    </row>
    <row r="80" spans="1:5" ht="25.5" x14ac:dyDescent="0.25">
      <c r="A80" s="119">
        <v>407</v>
      </c>
      <c r="B80" s="119" t="s">
        <v>6412</v>
      </c>
      <c r="C80" s="119" t="s">
        <v>6131</v>
      </c>
      <c r="D80" s="119"/>
      <c r="E80" s="119" t="s">
        <v>6413</v>
      </c>
    </row>
    <row r="81" spans="1:5" ht="25.5" x14ac:dyDescent="0.25">
      <c r="A81" s="119">
        <v>408</v>
      </c>
      <c r="B81" s="119" t="s">
        <v>6410</v>
      </c>
      <c r="C81" s="119" t="s">
        <v>6127</v>
      </c>
      <c r="D81" s="119" t="s">
        <v>494</v>
      </c>
      <c r="E81" s="119" t="s">
        <v>6411</v>
      </c>
    </row>
    <row r="82" spans="1:5" ht="25.5" x14ac:dyDescent="0.25">
      <c r="A82" s="119">
        <v>408</v>
      </c>
      <c r="B82" s="119" t="s">
        <v>6412</v>
      </c>
      <c r="C82" s="119" t="s">
        <v>6125</v>
      </c>
      <c r="D82" s="119"/>
      <c r="E82" s="119" t="s">
        <v>6413</v>
      </c>
    </row>
    <row r="83" spans="1:5" ht="25.5" x14ac:dyDescent="0.25">
      <c r="A83" s="119">
        <v>423</v>
      </c>
      <c r="B83" s="119" t="s">
        <v>6410</v>
      </c>
      <c r="C83" s="119" t="s">
        <v>6127</v>
      </c>
      <c r="D83" s="119" t="s">
        <v>550</v>
      </c>
      <c r="E83" s="119" t="s">
        <v>6411</v>
      </c>
    </row>
    <row r="84" spans="1:5" ht="25.5" x14ac:dyDescent="0.25">
      <c r="A84" s="119">
        <v>423</v>
      </c>
      <c r="B84" s="119" t="s">
        <v>6412</v>
      </c>
      <c r="C84" s="119" t="s">
        <v>6132</v>
      </c>
      <c r="D84" s="119"/>
      <c r="E84" s="119" t="s">
        <v>6413</v>
      </c>
    </row>
    <row r="85" spans="1:5" ht="25.5" x14ac:dyDescent="0.25">
      <c r="A85" s="119">
        <v>424</v>
      </c>
      <c r="B85" s="119" t="s">
        <v>6410</v>
      </c>
      <c r="C85" s="119" t="s">
        <v>6127</v>
      </c>
      <c r="D85" s="119" t="s">
        <v>550</v>
      </c>
      <c r="E85" s="119" t="s">
        <v>6411</v>
      </c>
    </row>
    <row r="86" spans="1:5" ht="25.5" x14ac:dyDescent="0.25">
      <c r="A86" s="119">
        <v>424</v>
      </c>
      <c r="B86" s="119" t="s">
        <v>6412</v>
      </c>
      <c r="C86" s="119" t="s">
        <v>6132</v>
      </c>
      <c r="D86" s="119"/>
      <c r="E86" s="119" t="s">
        <v>6413</v>
      </c>
    </row>
    <row r="87" spans="1:5" ht="25.5" x14ac:dyDescent="0.25">
      <c r="A87" s="119">
        <v>425</v>
      </c>
      <c r="B87" s="119" t="s">
        <v>6410</v>
      </c>
      <c r="C87" s="119" t="s">
        <v>6127</v>
      </c>
      <c r="D87" s="119" t="s">
        <v>555</v>
      </c>
      <c r="E87" s="119" t="s">
        <v>6411</v>
      </c>
    </row>
    <row r="88" spans="1:5" ht="25.5" x14ac:dyDescent="0.25">
      <c r="A88" s="119">
        <v>425</v>
      </c>
      <c r="B88" s="119" t="s">
        <v>6412</v>
      </c>
      <c r="C88" s="119" t="s">
        <v>6133</v>
      </c>
      <c r="D88" s="119"/>
      <c r="E88" s="119" t="s">
        <v>6413</v>
      </c>
    </row>
    <row r="89" spans="1:5" ht="25.5" x14ac:dyDescent="0.25">
      <c r="A89" s="119">
        <v>426</v>
      </c>
      <c r="B89" s="119" t="s">
        <v>6410</v>
      </c>
      <c r="C89" s="119" t="s">
        <v>6127</v>
      </c>
      <c r="D89" s="119" t="s">
        <v>555</v>
      </c>
      <c r="E89" s="119" t="s">
        <v>6411</v>
      </c>
    </row>
    <row r="90" spans="1:5" ht="25.5" x14ac:dyDescent="0.25">
      <c r="A90" s="119">
        <v>426</v>
      </c>
      <c r="B90" s="119" t="s">
        <v>6412</v>
      </c>
      <c r="C90" s="119" t="s">
        <v>6133</v>
      </c>
      <c r="D90" s="119"/>
      <c r="E90" s="119" t="s">
        <v>6413</v>
      </c>
    </row>
    <row r="91" spans="1:5" ht="25.5" x14ac:dyDescent="0.25">
      <c r="A91" s="119">
        <v>427</v>
      </c>
      <c r="B91" s="119" t="s">
        <v>6410</v>
      </c>
      <c r="C91" s="119" t="s">
        <v>6127</v>
      </c>
      <c r="D91" s="119" t="s">
        <v>555</v>
      </c>
      <c r="E91" s="119" t="s">
        <v>6411</v>
      </c>
    </row>
    <row r="92" spans="1:5" ht="25.5" x14ac:dyDescent="0.25">
      <c r="A92" s="119">
        <v>427</v>
      </c>
      <c r="B92" s="119" t="s">
        <v>6412</v>
      </c>
      <c r="C92" s="119" t="s">
        <v>6133</v>
      </c>
      <c r="D92" s="119"/>
      <c r="E92" s="119" t="s">
        <v>6413</v>
      </c>
    </row>
    <row r="93" spans="1:5" ht="25.5" x14ac:dyDescent="0.25">
      <c r="A93" s="119">
        <v>428</v>
      </c>
      <c r="B93" s="119" t="s">
        <v>6410</v>
      </c>
      <c r="C93" s="119" t="s">
        <v>6127</v>
      </c>
      <c r="D93" s="119" t="s">
        <v>562</v>
      </c>
      <c r="E93" s="119" t="s">
        <v>6411</v>
      </c>
    </row>
    <row r="94" spans="1:5" ht="25.5" x14ac:dyDescent="0.25">
      <c r="A94" s="119">
        <v>428</v>
      </c>
      <c r="B94" s="119" t="s">
        <v>6412</v>
      </c>
      <c r="C94" s="119" t="s">
        <v>6134</v>
      </c>
      <c r="D94" s="119"/>
      <c r="E94" s="119" t="s">
        <v>6413</v>
      </c>
    </row>
    <row r="95" spans="1:5" ht="25.5" x14ac:dyDescent="0.25">
      <c r="A95" s="119">
        <v>429</v>
      </c>
      <c r="B95" s="119" t="s">
        <v>6410</v>
      </c>
      <c r="C95" s="119" t="s">
        <v>6127</v>
      </c>
      <c r="D95" s="119" t="s">
        <v>562</v>
      </c>
      <c r="E95" s="119" t="s">
        <v>6411</v>
      </c>
    </row>
    <row r="96" spans="1:5" ht="25.5" x14ac:dyDescent="0.25">
      <c r="A96" s="119">
        <v>429</v>
      </c>
      <c r="B96" s="119" t="s">
        <v>6412</v>
      </c>
      <c r="C96" s="119" t="s">
        <v>6134</v>
      </c>
      <c r="D96" s="119"/>
      <c r="E96" s="119" t="s">
        <v>6413</v>
      </c>
    </row>
    <row r="97" spans="1:5" ht="25.5" x14ac:dyDescent="0.25">
      <c r="A97" s="119">
        <v>430</v>
      </c>
      <c r="B97" s="119" t="s">
        <v>6410</v>
      </c>
      <c r="C97" s="119" t="s">
        <v>6127</v>
      </c>
      <c r="D97" s="119" t="s">
        <v>562</v>
      </c>
      <c r="E97" s="119" t="s">
        <v>6411</v>
      </c>
    </row>
    <row r="98" spans="1:5" ht="25.5" x14ac:dyDescent="0.25">
      <c r="A98" s="119">
        <v>430</v>
      </c>
      <c r="B98" s="119" t="s">
        <v>6412</v>
      </c>
      <c r="C98" s="119" t="s">
        <v>6134</v>
      </c>
      <c r="D98" s="119"/>
      <c r="E98" s="119" t="s">
        <v>6413</v>
      </c>
    </row>
    <row r="99" spans="1:5" ht="25.5" x14ac:dyDescent="0.25">
      <c r="A99" s="119">
        <v>431</v>
      </c>
      <c r="B99" s="119" t="s">
        <v>6410</v>
      </c>
      <c r="C99" s="119" t="s">
        <v>6127</v>
      </c>
      <c r="D99" s="119" t="s">
        <v>555</v>
      </c>
      <c r="E99" s="119" t="s">
        <v>6411</v>
      </c>
    </row>
    <row r="100" spans="1:5" ht="25.5" x14ac:dyDescent="0.25">
      <c r="A100" s="119">
        <v>431</v>
      </c>
      <c r="B100" s="119" t="s">
        <v>6412</v>
      </c>
      <c r="C100" s="119" t="s">
        <v>6133</v>
      </c>
      <c r="D100" s="119"/>
      <c r="E100" s="119" t="s">
        <v>6413</v>
      </c>
    </row>
    <row r="101" spans="1:5" ht="25.5" x14ac:dyDescent="0.25">
      <c r="A101" s="119">
        <v>439</v>
      </c>
      <c r="B101" s="119" t="s">
        <v>6410</v>
      </c>
      <c r="C101" s="119" t="s">
        <v>6127</v>
      </c>
      <c r="D101" s="119" t="s">
        <v>582</v>
      </c>
      <c r="E101" s="119" t="s">
        <v>6411</v>
      </c>
    </row>
    <row r="102" spans="1:5" ht="25.5" x14ac:dyDescent="0.25">
      <c r="A102" s="119">
        <v>439</v>
      </c>
      <c r="B102" s="119" t="s">
        <v>6412</v>
      </c>
      <c r="C102" s="119" t="s">
        <v>6135</v>
      </c>
      <c r="D102" s="119"/>
      <c r="E102" s="119" t="s">
        <v>6413</v>
      </c>
    </row>
    <row r="103" spans="1:5" ht="25.5" x14ac:dyDescent="0.25">
      <c r="A103" s="119">
        <v>558</v>
      </c>
      <c r="B103" s="119" t="s">
        <v>6410</v>
      </c>
      <c r="C103" s="119" t="s">
        <v>6127</v>
      </c>
      <c r="D103" s="119" t="s">
        <v>805</v>
      </c>
      <c r="E103" s="119" t="s">
        <v>6411</v>
      </c>
    </row>
    <row r="104" spans="1:5" ht="25.5" x14ac:dyDescent="0.25">
      <c r="A104" s="119">
        <v>558</v>
      </c>
      <c r="B104" s="119" t="s">
        <v>6412</v>
      </c>
      <c r="C104" s="119" t="s">
        <v>6136</v>
      </c>
      <c r="D104" s="119"/>
      <c r="E104" s="119" t="s">
        <v>6413</v>
      </c>
    </row>
    <row r="105" spans="1:5" ht="38.25" x14ac:dyDescent="0.25">
      <c r="A105" s="119">
        <v>1226</v>
      </c>
      <c r="B105" s="119" t="s">
        <v>6410</v>
      </c>
      <c r="C105" s="119" t="s">
        <v>6127</v>
      </c>
      <c r="D105" s="119" t="s">
        <v>1879</v>
      </c>
      <c r="E105" s="119" t="s">
        <v>6411</v>
      </c>
    </row>
    <row r="106" spans="1:5" ht="25.5" x14ac:dyDescent="0.25">
      <c r="A106" s="119">
        <v>1226</v>
      </c>
      <c r="B106" s="119" t="s">
        <v>6412</v>
      </c>
      <c r="C106" s="119" t="s">
        <v>6137</v>
      </c>
      <c r="D106" s="119"/>
      <c r="E106" s="119" t="s">
        <v>6413</v>
      </c>
    </row>
    <row r="107" spans="1:5" ht="38.25" x14ac:dyDescent="0.25">
      <c r="A107" s="119">
        <v>1227</v>
      </c>
      <c r="B107" s="119" t="s">
        <v>6410</v>
      </c>
      <c r="C107" s="119" t="s">
        <v>6127</v>
      </c>
      <c r="D107" s="119" t="s">
        <v>1881</v>
      </c>
      <c r="E107" s="119" t="s">
        <v>6411</v>
      </c>
    </row>
    <row r="108" spans="1:5" ht="25.5" x14ac:dyDescent="0.25">
      <c r="A108" s="119">
        <v>1227</v>
      </c>
      <c r="B108" s="119" t="s">
        <v>6412</v>
      </c>
      <c r="C108" s="119" t="s">
        <v>6138</v>
      </c>
      <c r="D108" s="119"/>
      <c r="E108" s="119" t="s">
        <v>6413</v>
      </c>
    </row>
    <row r="109" spans="1:5" ht="38.25" x14ac:dyDescent="0.25">
      <c r="A109" s="119">
        <v>1228</v>
      </c>
      <c r="B109" s="119" t="s">
        <v>6410</v>
      </c>
      <c r="C109" s="119" t="s">
        <v>6127</v>
      </c>
      <c r="D109" s="119" t="s">
        <v>1884</v>
      </c>
      <c r="E109" s="119" t="s">
        <v>6411</v>
      </c>
    </row>
    <row r="110" spans="1:5" ht="25.5" x14ac:dyDescent="0.25">
      <c r="A110" s="119">
        <v>1228</v>
      </c>
      <c r="B110" s="119" t="s">
        <v>6412</v>
      </c>
      <c r="C110" s="119" t="s">
        <v>6140</v>
      </c>
      <c r="D110" s="119"/>
      <c r="E110" s="119" t="s">
        <v>6413</v>
      </c>
    </row>
    <row r="111" spans="1:5" ht="38.25" x14ac:dyDescent="0.25">
      <c r="A111" s="119">
        <v>1229</v>
      </c>
      <c r="B111" s="119" t="s">
        <v>6410</v>
      </c>
      <c r="C111" s="119" t="s">
        <v>6127</v>
      </c>
      <c r="D111" s="119" t="s">
        <v>1884</v>
      </c>
      <c r="E111" s="119" t="s">
        <v>6411</v>
      </c>
    </row>
    <row r="112" spans="1:5" ht="25.5" x14ac:dyDescent="0.25">
      <c r="A112" s="119">
        <v>1229</v>
      </c>
      <c r="B112" s="119" t="s">
        <v>6412</v>
      </c>
      <c r="C112" s="119" t="s">
        <v>6140</v>
      </c>
      <c r="D112" s="119"/>
      <c r="E112" s="119" t="s">
        <v>6413</v>
      </c>
    </row>
    <row r="113" spans="1:5" ht="38.25" x14ac:dyDescent="0.25">
      <c r="A113" s="119">
        <v>1230</v>
      </c>
      <c r="B113" s="119" t="s">
        <v>6410</v>
      </c>
      <c r="C113" s="119" t="s">
        <v>6127</v>
      </c>
      <c r="D113" s="119" t="s">
        <v>1884</v>
      </c>
      <c r="E113" s="119" t="s">
        <v>6411</v>
      </c>
    </row>
    <row r="114" spans="1:5" ht="25.5" x14ac:dyDescent="0.25">
      <c r="A114" s="119">
        <v>1230</v>
      </c>
      <c r="B114" s="119" t="s">
        <v>6412</v>
      </c>
      <c r="C114" s="119" t="s">
        <v>6140</v>
      </c>
      <c r="D114" s="119"/>
      <c r="E114" s="119" t="s">
        <v>6413</v>
      </c>
    </row>
    <row r="115" spans="1:5" ht="51" x14ac:dyDescent="0.25">
      <c r="A115" s="119">
        <v>1231</v>
      </c>
      <c r="B115" s="119" t="s">
        <v>6410</v>
      </c>
      <c r="C115" s="119" t="s">
        <v>6141</v>
      </c>
      <c r="D115" s="119" t="s">
        <v>1889</v>
      </c>
      <c r="E115" s="119" t="s">
        <v>6411</v>
      </c>
    </row>
    <row r="116" spans="1:5" ht="25.5" x14ac:dyDescent="0.25">
      <c r="A116" s="119">
        <v>1231</v>
      </c>
      <c r="B116" s="119" t="s">
        <v>6412</v>
      </c>
      <c r="C116" s="119" t="s">
        <v>6140</v>
      </c>
      <c r="D116" s="119"/>
      <c r="E116" s="119" t="s">
        <v>6413</v>
      </c>
    </row>
    <row r="117" spans="1:5" ht="51" x14ac:dyDescent="0.25">
      <c r="A117" s="119">
        <v>1514</v>
      </c>
      <c r="B117" s="119" t="s">
        <v>6410</v>
      </c>
      <c r="C117" s="119" t="s">
        <v>6143</v>
      </c>
      <c r="D117" s="119" t="s">
        <v>2519</v>
      </c>
      <c r="E117" s="119" t="s">
        <v>6411</v>
      </c>
    </row>
    <row r="118" spans="1:5" ht="25.5" x14ac:dyDescent="0.25">
      <c r="A118" s="119">
        <v>1514</v>
      </c>
      <c r="B118" s="119" t="s">
        <v>6412</v>
      </c>
      <c r="C118" s="119" t="s">
        <v>6142</v>
      </c>
      <c r="D118" s="119"/>
      <c r="E118" s="119" t="s">
        <v>6413</v>
      </c>
    </row>
    <row r="119" spans="1:5" ht="51" x14ac:dyDescent="0.25">
      <c r="A119" s="119">
        <v>1515</v>
      </c>
      <c r="B119" s="119" t="s">
        <v>6410</v>
      </c>
      <c r="C119" s="119" t="s">
        <v>6145</v>
      </c>
      <c r="D119" s="119" t="s">
        <v>2520</v>
      </c>
      <c r="E119" s="119" t="s">
        <v>6411</v>
      </c>
    </row>
    <row r="120" spans="1:5" ht="25.5" x14ac:dyDescent="0.25">
      <c r="A120" s="119">
        <v>1515</v>
      </c>
      <c r="B120" s="119" t="s">
        <v>6412</v>
      </c>
      <c r="C120" s="119" t="s">
        <v>6144</v>
      </c>
      <c r="D120" s="119"/>
      <c r="E120" s="119" t="s">
        <v>6413</v>
      </c>
    </row>
    <row r="121" spans="1:5" ht="51" x14ac:dyDescent="0.25">
      <c r="A121" s="119">
        <v>1516</v>
      </c>
      <c r="B121" s="119" t="s">
        <v>6410</v>
      </c>
      <c r="C121" s="119" t="s">
        <v>6146</v>
      </c>
      <c r="D121" s="119" t="s">
        <v>2523</v>
      </c>
      <c r="E121" s="119" t="s">
        <v>6411</v>
      </c>
    </row>
    <row r="122" spans="1:5" ht="25.5" x14ac:dyDescent="0.25">
      <c r="A122" s="119">
        <v>1516</v>
      </c>
      <c r="B122" s="119" t="s">
        <v>6412</v>
      </c>
      <c r="C122" s="119" t="s">
        <v>6144</v>
      </c>
      <c r="D122" s="119"/>
      <c r="E122" s="119" t="s">
        <v>6413</v>
      </c>
    </row>
    <row r="123" spans="1:5" ht="51" x14ac:dyDescent="0.25">
      <c r="A123" s="119">
        <v>1894</v>
      </c>
      <c r="B123" s="119" t="s">
        <v>6410</v>
      </c>
      <c r="C123" s="119" t="s">
        <v>6148</v>
      </c>
      <c r="D123" s="119" t="s">
        <v>3433</v>
      </c>
      <c r="E123" s="119" t="s">
        <v>6411</v>
      </c>
    </row>
    <row r="124" spans="1:5" ht="25.5" x14ac:dyDescent="0.25">
      <c r="A124" s="119">
        <v>1894</v>
      </c>
      <c r="B124" s="119" t="s">
        <v>6412</v>
      </c>
      <c r="C124" s="119" t="s">
        <v>6147</v>
      </c>
      <c r="D124" s="119"/>
      <c r="E124" s="119" t="s">
        <v>6413</v>
      </c>
    </row>
    <row r="125" spans="1:5" ht="38.25" x14ac:dyDescent="0.25">
      <c r="A125" s="119">
        <v>1895</v>
      </c>
      <c r="B125" s="119" t="s">
        <v>6410</v>
      </c>
      <c r="C125" s="119" t="s">
        <v>6414</v>
      </c>
      <c r="D125" s="119" t="s">
        <v>3436</v>
      </c>
      <c r="E125" s="119" t="s">
        <v>6411</v>
      </c>
    </row>
    <row r="126" spans="1:5" ht="25.5" x14ac:dyDescent="0.25">
      <c r="A126" s="119">
        <v>1895</v>
      </c>
      <c r="B126" s="119" t="s">
        <v>6412</v>
      </c>
      <c r="C126" s="119" t="s">
        <v>6415</v>
      </c>
      <c r="D126" s="119"/>
      <c r="E126" s="119" t="s">
        <v>6413</v>
      </c>
    </row>
    <row r="127" spans="1:5" ht="38.25" x14ac:dyDescent="0.25">
      <c r="A127" s="119">
        <v>1896</v>
      </c>
      <c r="B127" s="119" t="s">
        <v>6410</v>
      </c>
      <c r="C127" s="119" t="s">
        <v>6416</v>
      </c>
      <c r="D127" s="119" t="s">
        <v>3439</v>
      </c>
      <c r="E127" s="119" t="s">
        <v>6411</v>
      </c>
    </row>
    <row r="128" spans="1:5" ht="25.5" x14ac:dyDescent="0.25">
      <c r="A128" s="119">
        <v>1896</v>
      </c>
      <c r="B128" s="119" t="s">
        <v>6412</v>
      </c>
      <c r="C128" s="119" t="s">
        <v>6415</v>
      </c>
      <c r="D128" s="119"/>
      <c r="E128" s="119" t="s">
        <v>6413</v>
      </c>
    </row>
    <row r="129" spans="1:5" ht="38.25" x14ac:dyDescent="0.25">
      <c r="A129" s="119">
        <v>1897</v>
      </c>
      <c r="B129" s="119" t="s">
        <v>6410</v>
      </c>
      <c r="C129" s="119" t="s">
        <v>6417</v>
      </c>
      <c r="D129" s="119" t="s">
        <v>3442</v>
      </c>
      <c r="E129" s="119" t="s">
        <v>6411</v>
      </c>
    </row>
    <row r="130" spans="1:5" ht="25.5" x14ac:dyDescent="0.25">
      <c r="A130" s="119">
        <v>1897</v>
      </c>
      <c r="B130" s="119" t="s">
        <v>6412</v>
      </c>
      <c r="C130" s="119" t="s">
        <v>6418</v>
      </c>
      <c r="D130" s="119"/>
      <c r="E130" s="119" t="s">
        <v>6413</v>
      </c>
    </row>
    <row r="131" spans="1:5" ht="38.25" x14ac:dyDescent="0.25">
      <c r="A131" s="119">
        <v>1898</v>
      </c>
      <c r="B131" s="119" t="s">
        <v>6410</v>
      </c>
      <c r="C131" s="119" t="s">
        <v>6419</v>
      </c>
      <c r="D131" s="119" t="s">
        <v>3444</v>
      </c>
      <c r="E131" s="119" t="s">
        <v>6411</v>
      </c>
    </row>
    <row r="132" spans="1:5" ht="25.5" x14ac:dyDescent="0.25">
      <c r="A132" s="119">
        <v>1898</v>
      </c>
      <c r="B132" s="119" t="s">
        <v>6412</v>
      </c>
      <c r="C132" s="119" t="s">
        <v>6418</v>
      </c>
      <c r="D132" s="119"/>
      <c r="E132" s="119" t="s">
        <v>6413</v>
      </c>
    </row>
    <row r="133" spans="1:5" ht="38.25" x14ac:dyDescent="0.25">
      <c r="A133" s="119">
        <v>1899</v>
      </c>
      <c r="B133" s="119" t="s">
        <v>6410</v>
      </c>
      <c r="C133" s="119" t="s">
        <v>6420</v>
      </c>
      <c r="D133" s="119" t="s">
        <v>3446</v>
      </c>
      <c r="E133" s="119" t="s">
        <v>6411</v>
      </c>
    </row>
    <row r="134" spans="1:5" ht="25.5" x14ac:dyDescent="0.25">
      <c r="A134" s="119">
        <v>1899</v>
      </c>
      <c r="B134" s="119" t="s">
        <v>6412</v>
      </c>
      <c r="C134" s="119" t="s">
        <v>6418</v>
      </c>
      <c r="D134" s="119"/>
      <c r="E134" s="119" t="s">
        <v>6413</v>
      </c>
    </row>
    <row r="135" spans="1:5" ht="25.5" x14ac:dyDescent="0.25">
      <c r="A135" s="119">
        <v>2487</v>
      </c>
      <c r="B135" s="119" t="s">
        <v>6410</v>
      </c>
      <c r="C135" s="119" t="s">
        <v>4217</v>
      </c>
      <c r="D135" s="119" t="s">
        <v>4208</v>
      </c>
      <c r="E135" s="119" t="s">
        <v>6411</v>
      </c>
    </row>
    <row r="136" spans="1:5" x14ac:dyDescent="0.25">
      <c r="A136" s="119">
        <v>2487</v>
      </c>
      <c r="B136" s="119" t="s">
        <v>6412</v>
      </c>
      <c r="C136" s="119" t="s">
        <v>6421</v>
      </c>
      <c r="D136" s="119"/>
      <c r="E136" s="119" t="s">
        <v>6413</v>
      </c>
    </row>
    <row r="137" spans="1:5" ht="25.5" x14ac:dyDescent="0.25">
      <c r="A137" s="119">
        <v>2488</v>
      </c>
      <c r="B137" s="119" t="s">
        <v>6410</v>
      </c>
      <c r="C137" s="119" t="s">
        <v>4217</v>
      </c>
      <c r="D137" s="119" t="s">
        <v>4211</v>
      </c>
      <c r="E137" s="119" t="s">
        <v>6411</v>
      </c>
    </row>
    <row r="138" spans="1:5" x14ac:dyDescent="0.25">
      <c r="A138" s="119">
        <v>2488</v>
      </c>
      <c r="B138" s="119" t="s">
        <v>6412</v>
      </c>
      <c r="C138" s="119" t="s">
        <v>6422</v>
      </c>
      <c r="D138" s="119"/>
      <c r="E138" s="119" t="s">
        <v>6413</v>
      </c>
    </row>
    <row r="139" spans="1:5" ht="38.25" x14ac:dyDescent="0.25">
      <c r="A139" s="119">
        <v>2489</v>
      </c>
      <c r="B139" s="119" t="s">
        <v>6410</v>
      </c>
      <c r="C139" s="119" t="s">
        <v>6423</v>
      </c>
      <c r="D139" s="119" t="s">
        <v>4213</v>
      </c>
      <c r="E139" s="119" t="s">
        <v>6411</v>
      </c>
    </row>
    <row r="140" spans="1:5" x14ac:dyDescent="0.25">
      <c r="A140" s="119">
        <v>2489</v>
      </c>
      <c r="B140" s="119" t="s">
        <v>6412</v>
      </c>
      <c r="C140" s="119" t="s">
        <v>6422</v>
      </c>
      <c r="D140" s="119"/>
      <c r="E140" s="119" t="s">
        <v>6413</v>
      </c>
    </row>
    <row r="141" spans="1:5" ht="51" x14ac:dyDescent="0.25">
      <c r="A141" s="119">
        <v>4090</v>
      </c>
      <c r="B141" s="119" t="s">
        <v>6410</v>
      </c>
      <c r="C141" s="119" t="s">
        <v>6424</v>
      </c>
      <c r="D141" s="119" t="s">
        <v>5587</v>
      </c>
      <c r="E141" s="119" t="s">
        <v>6411</v>
      </c>
    </row>
    <row r="142" spans="1:5" x14ac:dyDescent="0.25">
      <c r="A142" s="119">
        <v>4090</v>
      </c>
      <c r="B142" s="119" t="s">
        <v>6412</v>
      </c>
      <c r="C142" s="119" t="s">
        <v>6425</v>
      </c>
      <c r="D142" s="119"/>
      <c r="E142" s="119" t="s">
        <v>6413</v>
      </c>
    </row>
    <row r="143" spans="1:5" ht="51" x14ac:dyDescent="0.25">
      <c r="A143" s="119">
        <v>4091</v>
      </c>
      <c r="B143" s="119" t="s">
        <v>6410</v>
      </c>
      <c r="C143" s="119" t="s">
        <v>6426</v>
      </c>
      <c r="D143" s="119" t="s">
        <v>5589</v>
      </c>
      <c r="E143" s="119" t="s">
        <v>6411</v>
      </c>
    </row>
    <row r="144" spans="1:5" x14ac:dyDescent="0.25">
      <c r="A144" s="119">
        <v>4091</v>
      </c>
      <c r="B144" s="119" t="s">
        <v>6412</v>
      </c>
      <c r="C144" s="119" t="s">
        <v>6425</v>
      </c>
      <c r="D144" s="119"/>
      <c r="E144" s="119" t="s">
        <v>6413</v>
      </c>
    </row>
    <row r="145" spans="1:5" ht="25.5" x14ac:dyDescent="0.25">
      <c r="A145" s="119">
        <v>4092</v>
      </c>
      <c r="B145" s="119" t="s">
        <v>6410</v>
      </c>
      <c r="C145" s="119" t="s">
        <v>6427</v>
      </c>
      <c r="D145" s="119" t="s">
        <v>5592</v>
      </c>
      <c r="E145" s="119" t="s">
        <v>6411</v>
      </c>
    </row>
    <row r="146" spans="1:5" x14ac:dyDescent="0.25">
      <c r="A146" s="119">
        <v>4092</v>
      </c>
      <c r="B146" s="119" t="s">
        <v>6412</v>
      </c>
      <c r="C146" s="119" t="s">
        <v>6428</v>
      </c>
      <c r="D146" s="119"/>
      <c r="E146" s="119" t="s">
        <v>6413</v>
      </c>
    </row>
    <row r="147" spans="1:5" ht="38.25" x14ac:dyDescent="0.25">
      <c r="A147" s="119">
        <v>4096</v>
      </c>
      <c r="B147" s="119" t="s">
        <v>6410</v>
      </c>
      <c r="C147" s="119" t="s">
        <v>6151</v>
      </c>
      <c r="D147" s="119" t="s">
        <v>5597</v>
      </c>
      <c r="E147" s="119" t="s">
        <v>6411</v>
      </c>
    </row>
    <row r="148" spans="1:5" ht="25.5" x14ac:dyDescent="0.25">
      <c r="A148" s="119">
        <v>4096</v>
      </c>
      <c r="B148" s="119" t="s">
        <v>6412</v>
      </c>
      <c r="C148" s="119" t="s">
        <v>6150</v>
      </c>
      <c r="D148" s="119"/>
      <c r="E148" s="119" t="s">
        <v>6413</v>
      </c>
    </row>
    <row r="149" spans="1:5" ht="63.75" x14ac:dyDescent="0.25">
      <c r="A149" s="119">
        <v>4097</v>
      </c>
      <c r="B149" s="119" t="s">
        <v>6410</v>
      </c>
      <c r="C149" s="119" t="s">
        <v>6153</v>
      </c>
      <c r="D149" s="119" t="s">
        <v>5599</v>
      </c>
      <c r="E149" s="119" t="s">
        <v>6411</v>
      </c>
    </row>
    <row r="150" spans="1:5" ht="25.5" x14ac:dyDescent="0.25">
      <c r="A150" s="119">
        <v>4097</v>
      </c>
      <c r="B150" s="119" t="s">
        <v>6412</v>
      </c>
      <c r="C150" s="119" t="s">
        <v>6152</v>
      </c>
      <c r="D150" s="119"/>
      <c r="E150" s="119" t="s">
        <v>6413</v>
      </c>
    </row>
    <row r="151" spans="1:5" ht="76.5" x14ac:dyDescent="0.25">
      <c r="A151" s="119">
        <v>4098</v>
      </c>
      <c r="B151" s="119" t="s">
        <v>6410</v>
      </c>
      <c r="C151" s="119" t="s">
        <v>6155</v>
      </c>
      <c r="D151" s="119" t="s">
        <v>5602</v>
      </c>
      <c r="E151" s="119" t="s">
        <v>6411</v>
      </c>
    </row>
    <row r="152" spans="1:5" ht="25.5" x14ac:dyDescent="0.25">
      <c r="A152" s="119">
        <v>4098</v>
      </c>
      <c r="B152" s="119" t="s">
        <v>6412</v>
      </c>
      <c r="C152" s="119" t="s">
        <v>6154</v>
      </c>
      <c r="D152" s="119"/>
      <c r="E152" s="119" t="s">
        <v>6413</v>
      </c>
    </row>
    <row r="153" spans="1:5" ht="76.5" x14ac:dyDescent="0.25">
      <c r="A153" s="119">
        <v>4099</v>
      </c>
      <c r="B153" s="119" t="s">
        <v>6410</v>
      </c>
      <c r="C153" s="119" t="s">
        <v>6157</v>
      </c>
      <c r="D153" s="119" t="s">
        <v>5605</v>
      </c>
      <c r="E153" s="119" t="s">
        <v>6411</v>
      </c>
    </row>
    <row r="154" spans="1:5" ht="25.5" x14ac:dyDescent="0.25">
      <c r="A154" s="119">
        <v>4099</v>
      </c>
      <c r="B154" s="119" t="s">
        <v>6412</v>
      </c>
      <c r="C154" s="119" t="s">
        <v>6156</v>
      </c>
      <c r="D154" s="119"/>
      <c r="E154" s="119" t="s">
        <v>6413</v>
      </c>
    </row>
    <row r="155" spans="1:5" ht="89.25" x14ac:dyDescent="0.25">
      <c r="A155" s="119">
        <v>4100</v>
      </c>
      <c r="B155" s="119" t="s">
        <v>6410</v>
      </c>
      <c r="C155" s="119" t="s">
        <v>6159</v>
      </c>
      <c r="D155" s="119" t="s">
        <v>5608</v>
      </c>
      <c r="E155" s="119" t="s">
        <v>6411</v>
      </c>
    </row>
    <row r="156" spans="1:5" ht="25.5" x14ac:dyDescent="0.25">
      <c r="A156" s="119">
        <v>4100</v>
      </c>
      <c r="B156" s="119" t="s">
        <v>6412</v>
      </c>
      <c r="C156" s="119" t="s">
        <v>6158</v>
      </c>
      <c r="D156" s="119"/>
      <c r="E156" s="119" t="s">
        <v>6413</v>
      </c>
    </row>
    <row r="157" spans="1:5" ht="114.75" x14ac:dyDescent="0.25">
      <c r="A157" s="119">
        <v>4101</v>
      </c>
      <c r="B157" s="119" t="s">
        <v>6410</v>
      </c>
      <c r="C157" s="119" t="s">
        <v>6160</v>
      </c>
      <c r="D157" s="119" t="s">
        <v>5610</v>
      </c>
      <c r="E157" s="119" t="s">
        <v>6411</v>
      </c>
    </row>
    <row r="158" spans="1:5" ht="25.5" x14ac:dyDescent="0.25">
      <c r="A158" s="119">
        <v>4101</v>
      </c>
      <c r="B158" s="119" t="s">
        <v>6412</v>
      </c>
      <c r="C158" s="119" t="s">
        <v>6158</v>
      </c>
      <c r="D158" s="119"/>
      <c r="E158" s="119" t="s">
        <v>6413</v>
      </c>
    </row>
    <row r="159" spans="1:5" ht="63.75" x14ac:dyDescent="0.25">
      <c r="A159" s="119">
        <v>4102</v>
      </c>
      <c r="B159" s="119" t="s">
        <v>6410</v>
      </c>
      <c r="C159" s="119" t="s">
        <v>6162</v>
      </c>
      <c r="D159" s="119" t="s">
        <v>5614</v>
      </c>
      <c r="E159" s="119" t="s">
        <v>6411</v>
      </c>
    </row>
    <row r="160" spans="1:5" ht="25.5" x14ac:dyDescent="0.25">
      <c r="A160" s="119">
        <v>4102</v>
      </c>
      <c r="B160" s="119" t="s">
        <v>6412</v>
      </c>
      <c r="C160" s="119" t="s">
        <v>6161</v>
      </c>
      <c r="D160" s="119"/>
      <c r="E160" s="119" t="s">
        <v>6413</v>
      </c>
    </row>
    <row r="161" spans="1:5" ht="89.25" x14ac:dyDescent="0.25">
      <c r="A161" s="119">
        <v>4103</v>
      </c>
      <c r="B161" s="119" t="s">
        <v>6410</v>
      </c>
      <c r="C161" s="119" t="s">
        <v>6164</v>
      </c>
      <c r="D161" s="119" t="s">
        <v>5617</v>
      </c>
      <c r="E161" s="119" t="s">
        <v>6411</v>
      </c>
    </row>
    <row r="162" spans="1:5" ht="25.5" x14ac:dyDescent="0.25">
      <c r="A162" s="119">
        <v>4103</v>
      </c>
      <c r="B162" s="119" t="s">
        <v>6412</v>
      </c>
      <c r="C162" s="119" t="s">
        <v>6163</v>
      </c>
      <c r="D162" s="119"/>
      <c r="E162" s="119" t="s">
        <v>6413</v>
      </c>
    </row>
    <row r="163" spans="1:5" ht="76.5" x14ac:dyDescent="0.25">
      <c r="A163" s="119">
        <v>4104</v>
      </c>
      <c r="B163" s="119" t="s">
        <v>6410</v>
      </c>
      <c r="C163" s="119" t="s">
        <v>6166</v>
      </c>
      <c r="D163" s="119" t="s">
        <v>5620</v>
      </c>
      <c r="E163" s="119" t="s">
        <v>6411</v>
      </c>
    </row>
    <row r="164" spans="1:5" ht="25.5" x14ac:dyDescent="0.25">
      <c r="A164" s="119">
        <v>4104</v>
      </c>
      <c r="B164" s="119" t="s">
        <v>6412</v>
      </c>
      <c r="C164" s="119" t="s">
        <v>6165</v>
      </c>
      <c r="D164" s="119"/>
      <c r="E164" s="119" t="s">
        <v>6413</v>
      </c>
    </row>
    <row r="165" spans="1:5" ht="51" x14ac:dyDescent="0.25">
      <c r="A165" s="119">
        <v>4105</v>
      </c>
      <c r="B165" s="119" t="s">
        <v>6410</v>
      </c>
      <c r="C165" s="119" t="s">
        <v>6168</v>
      </c>
      <c r="D165" s="119" t="s">
        <v>5623</v>
      </c>
      <c r="E165" s="119" t="s">
        <v>6411</v>
      </c>
    </row>
    <row r="166" spans="1:5" ht="25.5" x14ac:dyDescent="0.25">
      <c r="A166" s="119">
        <v>4105</v>
      </c>
      <c r="B166" s="119" t="s">
        <v>6412</v>
      </c>
      <c r="C166" s="119" t="s">
        <v>6167</v>
      </c>
      <c r="D166" s="119"/>
      <c r="E166" s="119" t="s">
        <v>6413</v>
      </c>
    </row>
    <row r="167" spans="1:5" ht="89.25" x14ac:dyDescent="0.25">
      <c r="A167" s="119">
        <v>4106</v>
      </c>
      <c r="B167" s="119" t="s">
        <v>6410</v>
      </c>
      <c r="C167" s="119" t="s">
        <v>6170</v>
      </c>
      <c r="D167" s="119" t="s">
        <v>5627</v>
      </c>
      <c r="E167" s="119" t="s">
        <v>6411</v>
      </c>
    </row>
    <row r="168" spans="1:5" ht="25.5" x14ac:dyDescent="0.25">
      <c r="A168" s="119">
        <v>4106</v>
      </c>
      <c r="B168" s="119" t="s">
        <v>6412</v>
      </c>
      <c r="C168" s="119" t="s">
        <v>6169</v>
      </c>
      <c r="D168" s="119"/>
      <c r="E168" s="119" t="s">
        <v>6413</v>
      </c>
    </row>
    <row r="169" spans="1:5" ht="76.5" x14ac:dyDescent="0.25">
      <c r="A169" s="119">
        <v>4107</v>
      </c>
      <c r="B169" s="119" t="s">
        <v>6410</v>
      </c>
      <c r="C169" s="119" t="s">
        <v>6171</v>
      </c>
      <c r="D169" s="119" t="s">
        <v>5630</v>
      </c>
      <c r="E169" s="119" t="s">
        <v>6411</v>
      </c>
    </row>
    <row r="170" spans="1:5" ht="25.5" x14ac:dyDescent="0.25">
      <c r="A170" s="119">
        <v>4107</v>
      </c>
      <c r="B170" s="119" t="s">
        <v>6412</v>
      </c>
      <c r="C170" s="119" t="s">
        <v>6169</v>
      </c>
      <c r="D170" s="119"/>
      <c r="E170" s="119" t="s">
        <v>6413</v>
      </c>
    </row>
    <row r="171" spans="1:5" ht="38.25" x14ac:dyDescent="0.25">
      <c r="A171" s="119">
        <v>4108</v>
      </c>
      <c r="B171" s="119" t="s">
        <v>6410</v>
      </c>
      <c r="C171" s="119" t="s">
        <v>6173</v>
      </c>
      <c r="D171" s="119" t="s">
        <v>5633</v>
      </c>
      <c r="E171" s="119" t="s">
        <v>6411</v>
      </c>
    </row>
    <row r="172" spans="1:5" ht="25.5" x14ac:dyDescent="0.25">
      <c r="A172" s="119">
        <v>4108</v>
      </c>
      <c r="B172" s="119" t="s">
        <v>6412</v>
      </c>
      <c r="C172" s="119" t="s">
        <v>6172</v>
      </c>
      <c r="D172" s="119"/>
      <c r="E172" s="119" t="s">
        <v>6413</v>
      </c>
    </row>
    <row r="173" spans="1:5" ht="38.25" x14ac:dyDescent="0.25">
      <c r="A173" s="119">
        <v>4109</v>
      </c>
      <c r="B173" s="119" t="s">
        <v>6410</v>
      </c>
      <c r="C173" s="119" t="s">
        <v>6175</v>
      </c>
      <c r="D173" s="119" t="s">
        <v>5636</v>
      </c>
      <c r="E173" s="119" t="s">
        <v>6411</v>
      </c>
    </row>
    <row r="174" spans="1:5" ht="25.5" x14ac:dyDescent="0.25">
      <c r="A174" s="119">
        <v>4109</v>
      </c>
      <c r="B174" s="119" t="s">
        <v>6412</v>
      </c>
      <c r="C174" s="119" t="s">
        <v>6174</v>
      </c>
      <c r="D174" s="119"/>
      <c r="E174" s="119" t="s">
        <v>6413</v>
      </c>
    </row>
    <row r="175" spans="1:5" ht="38.25" x14ac:dyDescent="0.25">
      <c r="A175" s="119">
        <v>4110</v>
      </c>
      <c r="B175" s="119" t="s">
        <v>6410</v>
      </c>
      <c r="C175" s="119" t="s">
        <v>6177</v>
      </c>
      <c r="D175" s="119" t="s">
        <v>5639</v>
      </c>
      <c r="E175" s="119" t="s">
        <v>6411</v>
      </c>
    </row>
    <row r="176" spans="1:5" ht="25.5" x14ac:dyDescent="0.25">
      <c r="A176" s="119">
        <v>4110</v>
      </c>
      <c r="B176" s="119" t="s">
        <v>6412</v>
      </c>
      <c r="C176" s="119" t="s">
        <v>6176</v>
      </c>
      <c r="D176" s="119"/>
      <c r="E176" s="119" t="s">
        <v>6413</v>
      </c>
    </row>
    <row r="177" spans="1:5" ht="38.25" x14ac:dyDescent="0.25">
      <c r="A177" s="119">
        <v>4111</v>
      </c>
      <c r="B177" s="119" t="s">
        <v>6410</v>
      </c>
      <c r="C177" s="119" t="s">
        <v>6179</v>
      </c>
      <c r="D177" s="119" t="s">
        <v>5642</v>
      </c>
      <c r="E177" s="119" t="s">
        <v>6411</v>
      </c>
    </row>
    <row r="178" spans="1:5" ht="25.5" x14ac:dyDescent="0.25">
      <c r="A178" s="119">
        <v>4111</v>
      </c>
      <c r="B178" s="119" t="s">
        <v>6412</v>
      </c>
      <c r="C178" s="119" t="s">
        <v>6178</v>
      </c>
      <c r="D178" s="119"/>
      <c r="E178" s="119" t="s">
        <v>6413</v>
      </c>
    </row>
    <row r="179" spans="1:5" ht="38.25" x14ac:dyDescent="0.25">
      <c r="A179" s="119">
        <v>4112</v>
      </c>
      <c r="B179" s="119" t="s">
        <v>6410</v>
      </c>
      <c r="C179" s="119" t="s">
        <v>6151</v>
      </c>
      <c r="D179" s="119" t="s">
        <v>5645</v>
      </c>
      <c r="E179" s="119" t="s">
        <v>6411</v>
      </c>
    </row>
    <row r="180" spans="1:5" ht="25.5" x14ac:dyDescent="0.25">
      <c r="A180" s="119">
        <v>4112</v>
      </c>
      <c r="B180" s="119" t="s">
        <v>6412</v>
      </c>
      <c r="C180" s="119" t="s">
        <v>6180</v>
      </c>
      <c r="D180" s="119"/>
      <c r="E180" s="119" t="s">
        <v>6413</v>
      </c>
    </row>
    <row r="181" spans="1:5" ht="51" x14ac:dyDescent="0.25">
      <c r="A181" s="119">
        <v>4113</v>
      </c>
      <c r="B181" s="119" t="s">
        <v>6410</v>
      </c>
      <c r="C181" s="119" t="s">
        <v>6182</v>
      </c>
      <c r="D181" s="119" t="s">
        <v>5649</v>
      </c>
      <c r="E181" s="119" t="s">
        <v>6411</v>
      </c>
    </row>
    <row r="182" spans="1:5" ht="25.5" x14ac:dyDescent="0.25">
      <c r="A182" s="119">
        <v>4113</v>
      </c>
      <c r="B182" s="119" t="s">
        <v>6412</v>
      </c>
      <c r="C182" s="119" t="s">
        <v>6181</v>
      </c>
      <c r="D182" s="119"/>
      <c r="E182" s="119" t="s">
        <v>6413</v>
      </c>
    </row>
    <row r="183" spans="1:5" ht="51" x14ac:dyDescent="0.25">
      <c r="A183" s="119">
        <v>4114</v>
      </c>
      <c r="B183" s="119" t="s">
        <v>6410</v>
      </c>
      <c r="C183" s="119" t="s">
        <v>6183</v>
      </c>
      <c r="D183" s="119" t="s">
        <v>5652</v>
      </c>
      <c r="E183" s="119" t="s">
        <v>6411</v>
      </c>
    </row>
    <row r="184" spans="1:5" ht="25.5" x14ac:dyDescent="0.25">
      <c r="A184" s="119">
        <v>4114</v>
      </c>
      <c r="B184" s="119" t="s">
        <v>6412</v>
      </c>
      <c r="C184" s="119" t="s">
        <v>6181</v>
      </c>
      <c r="D184" s="119"/>
      <c r="E184" s="119" t="s">
        <v>6413</v>
      </c>
    </row>
    <row r="185" spans="1:5" ht="38.25" x14ac:dyDescent="0.25">
      <c r="A185" s="119">
        <v>4116</v>
      </c>
      <c r="B185" s="119" t="s">
        <v>6410</v>
      </c>
      <c r="C185" s="119" t="s">
        <v>6186</v>
      </c>
      <c r="D185" s="119" t="s">
        <v>5656</v>
      </c>
      <c r="E185" s="119" t="s">
        <v>6411</v>
      </c>
    </row>
    <row r="186" spans="1:5" ht="25.5" x14ac:dyDescent="0.25">
      <c r="A186" s="119">
        <v>4116</v>
      </c>
      <c r="B186" s="119" t="s">
        <v>6412</v>
      </c>
      <c r="C186" s="119" t="s">
        <v>6185</v>
      </c>
      <c r="D186" s="119"/>
      <c r="E186" s="119" t="s">
        <v>6413</v>
      </c>
    </row>
    <row r="187" spans="1:5" ht="25.5" x14ac:dyDescent="0.25">
      <c r="A187" s="119">
        <v>4117</v>
      </c>
      <c r="B187" s="119" t="s">
        <v>6410</v>
      </c>
      <c r="C187" s="119" t="s">
        <v>6187</v>
      </c>
      <c r="D187" s="119" t="s">
        <v>5658</v>
      </c>
      <c r="E187" s="119" t="s">
        <v>6411</v>
      </c>
    </row>
    <row r="188" spans="1:5" ht="25.5" x14ac:dyDescent="0.25">
      <c r="A188" s="119">
        <v>4117</v>
      </c>
      <c r="B188" s="119" t="s">
        <v>6412</v>
      </c>
      <c r="C188" s="119" t="s">
        <v>6185</v>
      </c>
      <c r="D188" s="119"/>
      <c r="E188" s="119" t="s">
        <v>6413</v>
      </c>
    </row>
    <row r="189" spans="1:5" ht="38.25" x14ac:dyDescent="0.25">
      <c r="A189" s="119">
        <v>4118</v>
      </c>
      <c r="B189" s="119" t="s">
        <v>6410</v>
      </c>
      <c r="C189" s="119" t="s">
        <v>6188</v>
      </c>
      <c r="D189" s="119" t="s">
        <v>5660</v>
      </c>
      <c r="E189" s="119" t="s">
        <v>6411</v>
      </c>
    </row>
    <row r="190" spans="1:5" ht="25.5" x14ac:dyDescent="0.25">
      <c r="A190" s="119">
        <v>4118</v>
      </c>
      <c r="B190" s="119" t="s">
        <v>6412</v>
      </c>
      <c r="C190" s="119" t="s">
        <v>6185</v>
      </c>
      <c r="D190" s="119"/>
      <c r="E190" s="119" t="s">
        <v>6413</v>
      </c>
    </row>
    <row r="191" spans="1:5" ht="38.25" x14ac:dyDescent="0.25">
      <c r="A191" s="119">
        <v>4119</v>
      </c>
      <c r="B191" s="119" t="s">
        <v>6410</v>
      </c>
      <c r="C191" s="119" t="s">
        <v>6189</v>
      </c>
      <c r="D191" s="119" t="s">
        <v>5662</v>
      </c>
      <c r="E191" s="119" t="s">
        <v>6411</v>
      </c>
    </row>
    <row r="192" spans="1:5" ht="25.5" x14ac:dyDescent="0.25">
      <c r="A192" s="119">
        <v>4119</v>
      </c>
      <c r="B192" s="119" t="s">
        <v>6412</v>
      </c>
      <c r="C192" s="119" t="s">
        <v>6185</v>
      </c>
      <c r="D192" s="119"/>
      <c r="E192" s="119" t="s">
        <v>6413</v>
      </c>
    </row>
    <row r="193" spans="1:5" ht="38.25" x14ac:dyDescent="0.25">
      <c r="A193" s="119">
        <v>4120</v>
      </c>
      <c r="B193" s="119" t="s">
        <v>6410</v>
      </c>
      <c r="C193" s="119" t="s">
        <v>6190</v>
      </c>
      <c r="D193" s="119" t="s">
        <v>5665</v>
      </c>
      <c r="E193" s="119" t="s">
        <v>6411</v>
      </c>
    </row>
    <row r="194" spans="1:5" ht="25.5" x14ac:dyDescent="0.25">
      <c r="A194" s="119">
        <v>4120</v>
      </c>
      <c r="B194" s="119" t="s">
        <v>6412</v>
      </c>
      <c r="C194" s="119" t="s">
        <v>6185</v>
      </c>
      <c r="D194" s="119"/>
      <c r="E194" s="119" t="s">
        <v>6413</v>
      </c>
    </row>
    <row r="195" spans="1:5" ht="38.25" x14ac:dyDescent="0.25">
      <c r="A195" s="119">
        <v>4121</v>
      </c>
      <c r="B195" s="119" t="s">
        <v>6410</v>
      </c>
      <c r="C195" s="119" t="s">
        <v>6192</v>
      </c>
      <c r="D195" s="119" t="s">
        <v>5668</v>
      </c>
      <c r="E195" s="119" t="s">
        <v>6411</v>
      </c>
    </row>
    <row r="196" spans="1:5" ht="25.5" x14ac:dyDescent="0.25">
      <c r="A196" s="119">
        <v>4121</v>
      </c>
      <c r="B196" s="119" t="s">
        <v>6412</v>
      </c>
      <c r="C196" s="119" t="s">
        <v>6191</v>
      </c>
      <c r="D196" s="119"/>
      <c r="E196" s="119" t="s">
        <v>6413</v>
      </c>
    </row>
    <row r="197" spans="1:5" ht="25.5" x14ac:dyDescent="0.25">
      <c r="A197" s="119">
        <v>4122</v>
      </c>
      <c r="B197" s="119" t="s">
        <v>6410</v>
      </c>
      <c r="C197" s="119" t="s">
        <v>6187</v>
      </c>
      <c r="D197" s="119" t="s">
        <v>5670</v>
      </c>
      <c r="E197" s="119" t="s">
        <v>6411</v>
      </c>
    </row>
    <row r="198" spans="1:5" ht="25.5" x14ac:dyDescent="0.25">
      <c r="A198" s="119">
        <v>4122</v>
      </c>
      <c r="B198" s="119" t="s">
        <v>6412</v>
      </c>
      <c r="C198" s="119" t="s">
        <v>6193</v>
      </c>
      <c r="D198" s="119"/>
      <c r="E198" s="119" t="s">
        <v>6413</v>
      </c>
    </row>
    <row r="199" spans="1:5" ht="25.5" x14ac:dyDescent="0.25">
      <c r="A199" s="119">
        <v>4123</v>
      </c>
      <c r="B199" s="119" t="s">
        <v>6410</v>
      </c>
      <c r="C199" s="119" t="s">
        <v>6187</v>
      </c>
      <c r="D199" s="119" t="s">
        <v>5673</v>
      </c>
      <c r="E199" s="119" t="s">
        <v>6411</v>
      </c>
    </row>
    <row r="200" spans="1:5" ht="25.5" x14ac:dyDescent="0.25">
      <c r="A200" s="119">
        <v>4123</v>
      </c>
      <c r="B200" s="119" t="s">
        <v>6412</v>
      </c>
      <c r="C200" s="119" t="s">
        <v>6194</v>
      </c>
      <c r="D200" s="119"/>
      <c r="E200" s="119" t="s">
        <v>6413</v>
      </c>
    </row>
    <row r="201" spans="1:5" ht="51" x14ac:dyDescent="0.25">
      <c r="A201" s="119">
        <v>4124</v>
      </c>
      <c r="B201" s="119" t="s">
        <v>6410</v>
      </c>
      <c r="C201" s="119" t="s">
        <v>6196</v>
      </c>
      <c r="D201" s="119" t="s">
        <v>5676</v>
      </c>
      <c r="E201" s="119" t="s">
        <v>6411</v>
      </c>
    </row>
    <row r="202" spans="1:5" ht="25.5" x14ac:dyDescent="0.25">
      <c r="A202" s="119">
        <v>4124</v>
      </c>
      <c r="B202" s="119" t="s">
        <v>6412</v>
      </c>
      <c r="C202" s="119" t="s">
        <v>6195</v>
      </c>
      <c r="D202" s="119"/>
      <c r="E202" s="119" t="s">
        <v>6413</v>
      </c>
    </row>
    <row r="203" spans="1:5" ht="51" x14ac:dyDescent="0.25">
      <c r="A203" s="119">
        <v>4126</v>
      </c>
      <c r="B203" s="119" t="s">
        <v>6410</v>
      </c>
      <c r="C203" s="119" t="s">
        <v>6199</v>
      </c>
      <c r="D203" s="119" t="s">
        <v>5680</v>
      </c>
      <c r="E203" s="119" t="s">
        <v>6411</v>
      </c>
    </row>
    <row r="204" spans="1:5" ht="25.5" x14ac:dyDescent="0.25">
      <c r="A204" s="119">
        <v>4126</v>
      </c>
      <c r="B204" s="119" t="s">
        <v>6412</v>
      </c>
      <c r="C204" s="119" t="s">
        <v>6198</v>
      </c>
      <c r="D204" s="119"/>
      <c r="E204" s="119" t="s">
        <v>6413</v>
      </c>
    </row>
    <row r="205" spans="1:5" ht="25.5" x14ac:dyDescent="0.25">
      <c r="A205" s="119">
        <v>4127</v>
      </c>
      <c r="B205" s="119" t="s">
        <v>6410</v>
      </c>
      <c r="C205" s="119" t="s">
        <v>6200</v>
      </c>
      <c r="D205" s="119" t="s">
        <v>5683</v>
      </c>
      <c r="E205" s="119" t="s">
        <v>6411</v>
      </c>
    </row>
    <row r="206" spans="1:5" ht="25.5" x14ac:dyDescent="0.25">
      <c r="A206" s="119">
        <v>4127</v>
      </c>
      <c r="B206" s="119" t="s">
        <v>6412</v>
      </c>
      <c r="C206" s="119" t="s">
        <v>6198</v>
      </c>
      <c r="D206" s="119"/>
      <c r="E206" s="119" t="s">
        <v>6413</v>
      </c>
    </row>
    <row r="207" spans="1:5" ht="25.5" x14ac:dyDescent="0.25">
      <c r="A207" s="119">
        <v>4128</v>
      </c>
      <c r="B207" s="119" t="s">
        <v>6410</v>
      </c>
      <c r="C207" s="119" t="s">
        <v>6200</v>
      </c>
      <c r="D207" s="119" t="s">
        <v>5683</v>
      </c>
      <c r="E207" s="119" t="s">
        <v>6411</v>
      </c>
    </row>
    <row r="208" spans="1:5" ht="25.5" x14ac:dyDescent="0.25">
      <c r="A208" s="119">
        <v>4128</v>
      </c>
      <c r="B208" s="119" t="s">
        <v>6412</v>
      </c>
      <c r="C208" s="119" t="s">
        <v>6198</v>
      </c>
      <c r="D208" s="119"/>
      <c r="E208" s="119" t="s">
        <v>6413</v>
      </c>
    </row>
    <row r="209" spans="1:5" ht="38.25" x14ac:dyDescent="0.25">
      <c r="A209" s="119">
        <v>4129</v>
      </c>
      <c r="B209" s="119" t="s">
        <v>6410</v>
      </c>
      <c r="C209" s="119" t="s">
        <v>6203</v>
      </c>
      <c r="D209" s="119" t="s">
        <v>5687</v>
      </c>
      <c r="E209" s="119" t="s">
        <v>6411</v>
      </c>
    </row>
    <row r="210" spans="1:5" ht="25.5" x14ac:dyDescent="0.25">
      <c r="A210" s="119">
        <v>4129</v>
      </c>
      <c r="B210" s="119" t="s">
        <v>6412</v>
      </c>
      <c r="C210" s="119" t="s">
        <v>6198</v>
      </c>
      <c r="D210" s="119"/>
      <c r="E210" s="119" t="s">
        <v>6413</v>
      </c>
    </row>
    <row r="211" spans="1:5" ht="25.5" x14ac:dyDescent="0.25">
      <c r="A211" s="119">
        <v>4130</v>
      </c>
      <c r="B211" s="119" t="s">
        <v>6410</v>
      </c>
      <c r="C211" s="119" t="s">
        <v>6200</v>
      </c>
      <c r="D211" s="119" t="s">
        <v>5683</v>
      </c>
      <c r="E211" s="119" t="s">
        <v>6411</v>
      </c>
    </row>
    <row r="212" spans="1:5" ht="25.5" x14ac:dyDescent="0.25">
      <c r="A212" s="119">
        <v>4130</v>
      </c>
      <c r="B212" s="119" t="s">
        <v>6412</v>
      </c>
      <c r="C212" s="119" t="s">
        <v>6198</v>
      </c>
      <c r="D212" s="119"/>
      <c r="E212" s="119" t="s">
        <v>6413</v>
      </c>
    </row>
    <row r="213" spans="1:5" ht="38.25" x14ac:dyDescent="0.25">
      <c r="A213" s="119">
        <v>4131</v>
      </c>
      <c r="B213" s="119" t="s">
        <v>6410</v>
      </c>
      <c r="C213" s="119" t="s">
        <v>6205</v>
      </c>
      <c r="D213" s="119" t="s">
        <v>5691</v>
      </c>
      <c r="E213" s="119" t="s">
        <v>6411</v>
      </c>
    </row>
    <row r="214" spans="1:5" ht="25.5" x14ac:dyDescent="0.25">
      <c r="A214" s="119">
        <v>4131</v>
      </c>
      <c r="B214" s="119" t="s">
        <v>6412</v>
      </c>
      <c r="C214" s="119" t="s">
        <v>6204</v>
      </c>
      <c r="D214" s="119"/>
      <c r="E214" s="119" t="s">
        <v>6413</v>
      </c>
    </row>
    <row r="215" spans="1:5" ht="25.5" x14ac:dyDescent="0.25">
      <c r="A215" s="119">
        <v>4132</v>
      </c>
      <c r="B215" s="119" t="s">
        <v>6410</v>
      </c>
      <c r="C215" s="119" t="s">
        <v>6200</v>
      </c>
      <c r="D215" s="119" t="s">
        <v>5693</v>
      </c>
      <c r="E215" s="119" t="s">
        <v>6411</v>
      </c>
    </row>
    <row r="216" spans="1:5" ht="25.5" x14ac:dyDescent="0.25">
      <c r="A216" s="119">
        <v>4132</v>
      </c>
      <c r="B216" s="119" t="s">
        <v>6412</v>
      </c>
      <c r="C216" s="119" t="s">
        <v>6204</v>
      </c>
      <c r="D216" s="119"/>
      <c r="E216" s="119" t="s">
        <v>6413</v>
      </c>
    </row>
    <row r="217" spans="1:5" ht="25.5" x14ac:dyDescent="0.25">
      <c r="A217" s="119">
        <v>4133</v>
      </c>
      <c r="B217" s="119" t="s">
        <v>6410</v>
      </c>
      <c r="C217" s="119" t="s">
        <v>6200</v>
      </c>
      <c r="D217" s="119" t="s">
        <v>5683</v>
      </c>
      <c r="E217" s="119" t="s">
        <v>6411</v>
      </c>
    </row>
    <row r="218" spans="1:5" ht="25.5" x14ac:dyDescent="0.25">
      <c r="A218" s="119">
        <v>4133</v>
      </c>
      <c r="B218" s="119" t="s">
        <v>6412</v>
      </c>
      <c r="C218" s="119" t="s">
        <v>6198</v>
      </c>
      <c r="D218" s="119"/>
      <c r="E218" s="119" t="s">
        <v>6413</v>
      </c>
    </row>
    <row r="219" spans="1:5" ht="38.25" x14ac:dyDescent="0.25">
      <c r="A219" s="119">
        <v>4134</v>
      </c>
      <c r="B219" s="119" t="s">
        <v>6410</v>
      </c>
      <c r="C219" s="119" t="s">
        <v>6206</v>
      </c>
      <c r="D219" s="119" t="s">
        <v>5700</v>
      </c>
      <c r="E219" s="119" t="s">
        <v>6411</v>
      </c>
    </row>
    <row r="220" spans="1:5" ht="25.5" x14ac:dyDescent="0.25">
      <c r="A220" s="119">
        <v>4134</v>
      </c>
      <c r="B220" s="119" t="s">
        <v>6412</v>
      </c>
      <c r="C220" s="119" t="s">
        <v>6198</v>
      </c>
      <c r="D220" s="119"/>
      <c r="E220" s="119" t="s">
        <v>6413</v>
      </c>
    </row>
    <row r="221" spans="1:5" ht="25.5" x14ac:dyDescent="0.25">
      <c r="A221" s="119">
        <v>4135</v>
      </c>
      <c r="B221" s="119" t="s">
        <v>6410</v>
      </c>
      <c r="C221" s="119" t="s">
        <v>6200</v>
      </c>
      <c r="D221" s="119" t="s">
        <v>5683</v>
      </c>
      <c r="E221" s="119" t="s">
        <v>6411</v>
      </c>
    </row>
    <row r="222" spans="1:5" ht="25.5" x14ac:dyDescent="0.25">
      <c r="A222" s="119">
        <v>4135</v>
      </c>
      <c r="B222" s="119" t="s">
        <v>6412</v>
      </c>
      <c r="C222" s="119" t="s">
        <v>6198</v>
      </c>
      <c r="D222" s="119"/>
      <c r="E222" s="119" t="s">
        <v>6413</v>
      </c>
    </row>
    <row r="223" spans="1:5" ht="63.75" x14ac:dyDescent="0.25">
      <c r="A223" s="119">
        <v>4136</v>
      </c>
      <c r="B223" s="119" t="s">
        <v>6410</v>
      </c>
      <c r="C223" s="119" t="s">
        <v>6208</v>
      </c>
      <c r="D223" s="119" t="s">
        <v>5703</v>
      </c>
      <c r="E223" s="119" t="s">
        <v>6411</v>
      </c>
    </row>
    <row r="224" spans="1:5" ht="25.5" x14ac:dyDescent="0.25">
      <c r="A224" s="119">
        <v>4136</v>
      </c>
      <c r="B224" s="119" t="s">
        <v>6412</v>
      </c>
      <c r="C224" s="119" t="s">
        <v>6207</v>
      </c>
      <c r="D224" s="119"/>
      <c r="E224" s="119" t="s">
        <v>6413</v>
      </c>
    </row>
    <row r="225" spans="1:5" ht="51" x14ac:dyDescent="0.25">
      <c r="A225" s="119">
        <v>4137</v>
      </c>
      <c r="B225" s="119" t="s">
        <v>6410</v>
      </c>
      <c r="C225" s="119" t="s">
        <v>6210</v>
      </c>
      <c r="D225" s="119" t="s">
        <v>5705</v>
      </c>
      <c r="E225" s="119" t="s">
        <v>6411</v>
      </c>
    </row>
    <row r="226" spans="1:5" ht="25.5" x14ac:dyDescent="0.25">
      <c r="A226" s="119">
        <v>4137</v>
      </c>
      <c r="B226" s="119" t="s">
        <v>6412</v>
      </c>
      <c r="C226" s="119" t="s">
        <v>6209</v>
      </c>
      <c r="D226" s="119"/>
      <c r="E226" s="119" t="s">
        <v>6413</v>
      </c>
    </row>
    <row r="227" spans="1:5" ht="38.25" x14ac:dyDescent="0.25">
      <c r="A227" s="119">
        <v>4138</v>
      </c>
      <c r="B227" s="119" t="s">
        <v>6410</v>
      </c>
      <c r="C227" s="119" t="s">
        <v>6211</v>
      </c>
      <c r="D227" s="119" t="s">
        <v>5707</v>
      </c>
      <c r="E227" s="119" t="s">
        <v>6411</v>
      </c>
    </row>
    <row r="228" spans="1:5" ht="25.5" x14ac:dyDescent="0.25">
      <c r="A228" s="119">
        <v>4138</v>
      </c>
      <c r="B228" s="119" t="s">
        <v>6412</v>
      </c>
      <c r="C228" s="119" t="s">
        <v>6209</v>
      </c>
      <c r="D228" s="119"/>
      <c r="E228" s="119" t="s">
        <v>6413</v>
      </c>
    </row>
    <row r="229" spans="1:5" ht="51" x14ac:dyDescent="0.25">
      <c r="A229" s="119">
        <v>4139</v>
      </c>
      <c r="B229" s="119" t="s">
        <v>6410</v>
      </c>
      <c r="C229" s="119" t="s">
        <v>6212</v>
      </c>
      <c r="D229" s="119" t="s">
        <v>5710</v>
      </c>
      <c r="E229" s="119" t="s">
        <v>6411</v>
      </c>
    </row>
    <row r="230" spans="1:5" ht="25.5" x14ac:dyDescent="0.25">
      <c r="A230" s="119">
        <v>4139</v>
      </c>
      <c r="B230" s="119" t="s">
        <v>6412</v>
      </c>
      <c r="C230" s="119" t="s">
        <v>6209</v>
      </c>
      <c r="D230" s="119"/>
      <c r="E230" s="119" t="s">
        <v>6413</v>
      </c>
    </row>
    <row r="231" spans="1:5" ht="51" x14ac:dyDescent="0.25">
      <c r="A231" s="119">
        <v>4140</v>
      </c>
      <c r="B231" s="119" t="s">
        <v>6410</v>
      </c>
      <c r="C231" s="119" t="s">
        <v>6213</v>
      </c>
      <c r="D231" s="119" t="s">
        <v>5712</v>
      </c>
      <c r="E231" s="119" t="s">
        <v>6411</v>
      </c>
    </row>
    <row r="232" spans="1:5" ht="25.5" x14ac:dyDescent="0.25">
      <c r="A232" s="119">
        <v>4140</v>
      </c>
      <c r="B232" s="119" t="s">
        <v>6412</v>
      </c>
      <c r="C232" s="119" t="s">
        <v>6209</v>
      </c>
      <c r="D232" s="119"/>
      <c r="E232" s="119" t="s">
        <v>6413</v>
      </c>
    </row>
    <row r="233" spans="1:5" ht="51" x14ac:dyDescent="0.25">
      <c r="A233" s="119">
        <v>4141</v>
      </c>
      <c r="B233" s="119" t="s">
        <v>6410</v>
      </c>
      <c r="C233" s="119" t="s">
        <v>6214</v>
      </c>
      <c r="D233" s="119" t="s">
        <v>5715</v>
      </c>
      <c r="E233" s="119" t="s">
        <v>6411</v>
      </c>
    </row>
    <row r="234" spans="1:5" ht="25.5" x14ac:dyDescent="0.25">
      <c r="A234" s="119">
        <v>4141</v>
      </c>
      <c r="B234" s="119" t="s">
        <v>6412</v>
      </c>
      <c r="C234" s="119" t="s">
        <v>6209</v>
      </c>
      <c r="D234" s="119"/>
      <c r="E234" s="119" t="s">
        <v>6413</v>
      </c>
    </row>
    <row r="235" spans="1:5" ht="25.5" x14ac:dyDescent="0.25">
      <c r="A235" s="119">
        <v>4142</v>
      </c>
      <c r="B235" s="119" t="s">
        <v>6410</v>
      </c>
      <c r="C235" s="119" t="s">
        <v>6200</v>
      </c>
      <c r="D235" s="119" t="s">
        <v>5718</v>
      </c>
      <c r="E235" s="119" t="s">
        <v>6411</v>
      </c>
    </row>
    <row r="236" spans="1:5" ht="25.5" x14ac:dyDescent="0.25">
      <c r="A236" s="119">
        <v>4142</v>
      </c>
      <c r="B236" s="119" t="s">
        <v>6412</v>
      </c>
      <c r="C236" s="119" t="s">
        <v>6209</v>
      </c>
      <c r="D236" s="119"/>
      <c r="E236" s="119" t="s">
        <v>6413</v>
      </c>
    </row>
    <row r="237" spans="1:5" ht="38.25" x14ac:dyDescent="0.25">
      <c r="A237" s="119">
        <v>4143</v>
      </c>
      <c r="B237" s="119" t="s">
        <v>6410</v>
      </c>
      <c r="C237" s="119" t="s">
        <v>6216</v>
      </c>
      <c r="D237" s="119" t="s">
        <v>5721</v>
      </c>
      <c r="E237" s="119" t="s">
        <v>6411</v>
      </c>
    </row>
    <row r="238" spans="1:5" ht="25.5" x14ac:dyDescent="0.25">
      <c r="A238" s="119">
        <v>4143</v>
      </c>
      <c r="B238" s="119" t="s">
        <v>6412</v>
      </c>
      <c r="C238" s="119" t="s">
        <v>6215</v>
      </c>
      <c r="D238" s="119"/>
      <c r="E238" s="119" t="s">
        <v>6413</v>
      </c>
    </row>
    <row r="239" spans="1:5" ht="51" x14ac:dyDescent="0.25">
      <c r="A239" s="119">
        <v>4144</v>
      </c>
      <c r="B239" s="119" t="s">
        <v>6410</v>
      </c>
      <c r="C239" s="119" t="s">
        <v>6217</v>
      </c>
      <c r="D239" s="119" t="s">
        <v>5724</v>
      </c>
      <c r="E239" s="119" t="s">
        <v>6411</v>
      </c>
    </row>
    <row r="240" spans="1:5" ht="25.5" x14ac:dyDescent="0.25">
      <c r="A240" s="119">
        <v>4144</v>
      </c>
      <c r="B240" s="119" t="s">
        <v>6412</v>
      </c>
      <c r="C240" s="119" t="s">
        <v>6215</v>
      </c>
      <c r="D240" s="119"/>
      <c r="E240" s="119" t="s">
        <v>6413</v>
      </c>
    </row>
    <row r="241" spans="1:5" ht="38.25" x14ac:dyDescent="0.25">
      <c r="A241" s="119">
        <v>4145</v>
      </c>
      <c r="B241" s="119" t="s">
        <v>6410</v>
      </c>
      <c r="C241" s="119" t="s">
        <v>6218</v>
      </c>
      <c r="D241" s="119" t="s">
        <v>5727</v>
      </c>
      <c r="E241" s="119" t="s">
        <v>6411</v>
      </c>
    </row>
    <row r="242" spans="1:5" ht="25.5" x14ac:dyDescent="0.25">
      <c r="A242" s="119">
        <v>4145</v>
      </c>
      <c r="B242" s="119" t="s">
        <v>6412</v>
      </c>
      <c r="C242" s="119" t="s">
        <v>6215</v>
      </c>
      <c r="D242" s="119"/>
      <c r="E242" s="119" t="s">
        <v>6413</v>
      </c>
    </row>
    <row r="243" spans="1:5" ht="38.25" x14ac:dyDescent="0.25">
      <c r="A243" s="119">
        <v>4146</v>
      </c>
      <c r="B243" s="119" t="s">
        <v>6410</v>
      </c>
      <c r="C243" s="119" t="s">
        <v>6219</v>
      </c>
      <c r="D243" s="119" t="s">
        <v>5730</v>
      </c>
      <c r="E243" s="119" t="s">
        <v>6411</v>
      </c>
    </row>
    <row r="244" spans="1:5" ht="25.5" x14ac:dyDescent="0.25">
      <c r="A244" s="119">
        <v>4146</v>
      </c>
      <c r="B244" s="119" t="s">
        <v>6412</v>
      </c>
      <c r="C244" s="119" t="s">
        <v>6209</v>
      </c>
      <c r="D244" s="119"/>
      <c r="E244" s="119" t="s">
        <v>6413</v>
      </c>
    </row>
    <row r="245" spans="1:5" ht="38.25" x14ac:dyDescent="0.25">
      <c r="A245" s="119">
        <v>4147</v>
      </c>
      <c r="B245" s="119" t="s">
        <v>6410</v>
      </c>
      <c r="C245" s="119" t="s">
        <v>6220</v>
      </c>
      <c r="D245" s="119" t="s">
        <v>5733</v>
      </c>
      <c r="E245" s="119" t="s">
        <v>6411</v>
      </c>
    </row>
    <row r="246" spans="1:5" ht="25.5" x14ac:dyDescent="0.25">
      <c r="A246" s="119">
        <v>4147</v>
      </c>
      <c r="B246" s="119" t="s">
        <v>6412</v>
      </c>
      <c r="C246" s="119" t="s">
        <v>6207</v>
      </c>
      <c r="D246" s="119"/>
      <c r="E246" s="119" t="s">
        <v>6413</v>
      </c>
    </row>
    <row r="247" spans="1:5" ht="25.5" x14ac:dyDescent="0.25">
      <c r="A247" s="119">
        <v>4148</v>
      </c>
      <c r="B247" s="119" t="s">
        <v>6410</v>
      </c>
      <c r="C247" s="119" t="s">
        <v>6200</v>
      </c>
      <c r="D247" s="119" t="s">
        <v>5718</v>
      </c>
      <c r="E247" s="119" t="s">
        <v>6411</v>
      </c>
    </row>
    <row r="248" spans="1:5" ht="25.5" x14ac:dyDescent="0.25">
      <c r="A248" s="119">
        <v>4148</v>
      </c>
      <c r="B248" s="119" t="s">
        <v>6412</v>
      </c>
      <c r="C248" s="119" t="s">
        <v>6209</v>
      </c>
      <c r="D248" s="119"/>
      <c r="E248" s="119" t="s">
        <v>6413</v>
      </c>
    </row>
    <row r="249" spans="1:5" ht="25.5" x14ac:dyDescent="0.25">
      <c r="A249" s="119">
        <v>4149</v>
      </c>
      <c r="B249" s="119" t="s">
        <v>6410</v>
      </c>
      <c r="C249" s="119" t="s">
        <v>6200</v>
      </c>
      <c r="D249" s="119" t="s">
        <v>5718</v>
      </c>
      <c r="E249" s="119" t="s">
        <v>6411</v>
      </c>
    </row>
    <row r="250" spans="1:5" ht="25.5" x14ac:dyDescent="0.25">
      <c r="A250" s="119">
        <v>4149</v>
      </c>
      <c r="B250" s="119" t="s">
        <v>6412</v>
      </c>
      <c r="C250" s="119" t="s">
        <v>6209</v>
      </c>
      <c r="D250" s="119"/>
      <c r="E250" s="119" t="s">
        <v>6413</v>
      </c>
    </row>
    <row r="251" spans="1:5" ht="25.5" x14ac:dyDescent="0.25">
      <c r="A251" s="119">
        <v>4150</v>
      </c>
      <c r="B251" s="119" t="s">
        <v>6410</v>
      </c>
      <c r="C251" s="119" t="s">
        <v>6200</v>
      </c>
      <c r="D251" s="119" t="s">
        <v>5718</v>
      </c>
      <c r="E251" s="119" t="s">
        <v>6411</v>
      </c>
    </row>
    <row r="252" spans="1:5" ht="25.5" x14ac:dyDescent="0.25">
      <c r="A252" s="119">
        <v>4150</v>
      </c>
      <c r="B252" s="119" t="s">
        <v>6412</v>
      </c>
      <c r="C252" s="119" t="s">
        <v>6209</v>
      </c>
      <c r="D252" s="119"/>
      <c r="E252" s="119" t="s">
        <v>6413</v>
      </c>
    </row>
    <row r="253" spans="1:5" ht="25.5" x14ac:dyDescent="0.25">
      <c r="A253" s="119">
        <v>4151</v>
      </c>
      <c r="B253" s="119" t="s">
        <v>6410</v>
      </c>
      <c r="C253" s="119" t="s">
        <v>6200</v>
      </c>
      <c r="D253" s="119" t="s">
        <v>5718</v>
      </c>
      <c r="E253" s="119" t="s">
        <v>6411</v>
      </c>
    </row>
    <row r="254" spans="1:5" ht="25.5" x14ac:dyDescent="0.25">
      <c r="A254" s="119">
        <v>4151</v>
      </c>
      <c r="B254" s="119" t="s">
        <v>6412</v>
      </c>
      <c r="C254" s="119" t="s">
        <v>6209</v>
      </c>
      <c r="D254" s="119"/>
      <c r="E254" s="119" t="s">
        <v>6413</v>
      </c>
    </row>
    <row r="255" spans="1:5" ht="51" x14ac:dyDescent="0.25">
      <c r="A255" s="119">
        <v>4152</v>
      </c>
      <c r="B255" s="119" t="s">
        <v>6410</v>
      </c>
      <c r="C255" s="119" t="s">
        <v>6221</v>
      </c>
      <c r="D255" s="119" t="s">
        <v>5740</v>
      </c>
      <c r="E255" s="119" t="s">
        <v>6411</v>
      </c>
    </row>
    <row r="256" spans="1:5" ht="25.5" x14ac:dyDescent="0.25">
      <c r="A256" s="119">
        <v>4152</v>
      </c>
      <c r="B256" s="119" t="s">
        <v>6412</v>
      </c>
      <c r="C256" s="119" t="s">
        <v>6209</v>
      </c>
      <c r="D256" s="119"/>
      <c r="E256" s="119" t="s">
        <v>6413</v>
      </c>
    </row>
    <row r="257" spans="1:5" ht="25.5" x14ac:dyDescent="0.25">
      <c r="A257" s="119">
        <v>4153</v>
      </c>
      <c r="B257" s="119" t="s">
        <v>6410</v>
      </c>
      <c r="C257" s="119" t="s">
        <v>6200</v>
      </c>
      <c r="D257" s="119" t="s">
        <v>5718</v>
      </c>
      <c r="E257" s="119" t="s">
        <v>6411</v>
      </c>
    </row>
    <row r="258" spans="1:5" ht="25.5" x14ac:dyDescent="0.25">
      <c r="A258" s="119">
        <v>4153</v>
      </c>
      <c r="B258" s="119" t="s">
        <v>6412</v>
      </c>
      <c r="C258" s="119" t="s">
        <v>6209</v>
      </c>
      <c r="D258" s="119"/>
      <c r="E258" s="119" t="s">
        <v>6413</v>
      </c>
    </row>
    <row r="259" spans="1:5" ht="38.25" x14ac:dyDescent="0.25">
      <c r="A259" s="119">
        <v>4154</v>
      </c>
      <c r="B259" s="119" t="s">
        <v>6410</v>
      </c>
      <c r="C259" s="119" t="s">
        <v>6222</v>
      </c>
      <c r="D259" s="119" t="s">
        <v>5745</v>
      </c>
      <c r="E259" s="119" t="s">
        <v>6411</v>
      </c>
    </row>
    <row r="260" spans="1:5" ht="25.5" x14ac:dyDescent="0.25">
      <c r="A260" s="119">
        <v>4154</v>
      </c>
      <c r="B260" s="119" t="s">
        <v>6412</v>
      </c>
      <c r="C260" s="119" t="s">
        <v>6209</v>
      </c>
      <c r="D260" s="119"/>
      <c r="E260" s="119" t="s">
        <v>6413</v>
      </c>
    </row>
    <row r="261" spans="1:5" ht="25.5" x14ac:dyDescent="0.25">
      <c r="A261" s="119">
        <v>4155</v>
      </c>
      <c r="B261" s="119" t="s">
        <v>6410</v>
      </c>
      <c r="C261" s="119" t="s">
        <v>6200</v>
      </c>
      <c r="D261" s="119" t="s">
        <v>5718</v>
      </c>
      <c r="E261" s="119" t="s">
        <v>6411</v>
      </c>
    </row>
    <row r="262" spans="1:5" ht="25.5" x14ac:dyDescent="0.25">
      <c r="A262" s="119">
        <v>4155</v>
      </c>
      <c r="B262" s="119" t="s">
        <v>6412</v>
      </c>
      <c r="C262" s="119" t="s">
        <v>6209</v>
      </c>
      <c r="D262" s="119"/>
      <c r="E262" s="119" t="s">
        <v>6413</v>
      </c>
    </row>
    <row r="263" spans="1:5" ht="25.5" x14ac:dyDescent="0.25">
      <c r="A263" s="119">
        <v>4156</v>
      </c>
      <c r="B263" s="119" t="s">
        <v>6410</v>
      </c>
      <c r="C263" s="119" t="s">
        <v>6200</v>
      </c>
      <c r="D263" s="119" t="s">
        <v>5749</v>
      </c>
      <c r="E263" s="119" t="s">
        <v>6411</v>
      </c>
    </row>
    <row r="264" spans="1:5" ht="25.5" x14ac:dyDescent="0.25">
      <c r="A264" s="119">
        <v>4156</v>
      </c>
      <c r="B264" s="119" t="s">
        <v>6412</v>
      </c>
      <c r="C264" s="119" t="s">
        <v>6207</v>
      </c>
      <c r="D264" s="119"/>
      <c r="E264" s="119" t="s">
        <v>6413</v>
      </c>
    </row>
    <row r="265" spans="1:5" ht="25.5" x14ac:dyDescent="0.25">
      <c r="A265" s="119">
        <v>4157</v>
      </c>
      <c r="B265" s="119" t="s">
        <v>6410</v>
      </c>
      <c r="C265" s="119" t="s">
        <v>6200</v>
      </c>
      <c r="D265" s="119" t="s">
        <v>5751</v>
      </c>
      <c r="E265" s="119" t="s">
        <v>6411</v>
      </c>
    </row>
    <row r="266" spans="1:5" x14ac:dyDescent="0.25">
      <c r="A266" s="119">
        <v>4157</v>
      </c>
      <c r="B266" s="119" t="s">
        <v>6412</v>
      </c>
      <c r="C266" s="119" t="s">
        <v>6223</v>
      </c>
      <c r="D266" s="119"/>
      <c r="E266" s="119" t="s">
        <v>6413</v>
      </c>
    </row>
    <row r="267" spans="1:5" ht="25.5" x14ac:dyDescent="0.25">
      <c r="A267" s="119">
        <v>4158</v>
      </c>
      <c r="B267" s="119" t="s">
        <v>6410</v>
      </c>
      <c r="C267" s="119" t="s">
        <v>6200</v>
      </c>
      <c r="D267" s="119" t="s">
        <v>5751</v>
      </c>
      <c r="E267" s="119" t="s">
        <v>6411</v>
      </c>
    </row>
    <row r="268" spans="1:5" x14ac:dyDescent="0.25">
      <c r="A268" s="119">
        <v>4158</v>
      </c>
      <c r="B268" s="119" t="s">
        <v>6412</v>
      </c>
      <c r="C268" s="119" t="s">
        <v>6223</v>
      </c>
      <c r="D268" s="119"/>
      <c r="E268" s="119" t="s">
        <v>6413</v>
      </c>
    </row>
    <row r="269" spans="1:5" ht="25.5" x14ac:dyDescent="0.25">
      <c r="A269" s="119">
        <v>4159</v>
      </c>
      <c r="B269" s="119" t="s">
        <v>6410</v>
      </c>
      <c r="C269" s="119" t="s">
        <v>6200</v>
      </c>
      <c r="D269" s="119" t="s">
        <v>5751</v>
      </c>
      <c r="E269" s="119" t="s">
        <v>6411</v>
      </c>
    </row>
    <row r="270" spans="1:5" x14ac:dyDescent="0.25">
      <c r="A270" s="119">
        <v>4159</v>
      </c>
      <c r="B270" s="119" t="s">
        <v>6412</v>
      </c>
      <c r="C270" s="119" t="s">
        <v>6223</v>
      </c>
      <c r="D270" s="119"/>
      <c r="E270" s="119" t="s">
        <v>6413</v>
      </c>
    </row>
    <row r="271" spans="1:5" ht="25.5" x14ac:dyDescent="0.25">
      <c r="A271" s="119">
        <v>4160</v>
      </c>
      <c r="B271" s="119" t="s">
        <v>6410</v>
      </c>
      <c r="C271" s="119" t="s">
        <v>6200</v>
      </c>
      <c r="D271" s="119" t="s">
        <v>5751</v>
      </c>
      <c r="E271" s="119" t="s">
        <v>6411</v>
      </c>
    </row>
    <row r="272" spans="1:5" x14ac:dyDescent="0.25">
      <c r="A272" s="119">
        <v>4160</v>
      </c>
      <c r="B272" s="119" t="s">
        <v>6412</v>
      </c>
      <c r="C272" s="119" t="s">
        <v>6223</v>
      </c>
      <c r="D272" s="119"/>
      <c r="E272" s="119" t="s">
        <v>6413</v>
      </c>
    </row>
    <row r="273" spans="1:5" ht="25.5" x14ac:dyDescent="0.25">
      <c r="A273" s="119">
        <v>4161</v>
      </c>
      <c r="B273" s="119" t="s">
        <v>6410</v>
      </c>
      <c r="C273" s="119" t="s">
        <v>6225</v>
      </c>
      <c r="D273" s="119" t="s">
        <v>5760</v>
      </c>
      <c r="E273" s="119" t="s">
        <v>6411</v>
      </c>
    </row>
    <row r="274" spans="1:5" x14ac:dyDescent="0.25">
      <c r="A274" s="119">
        <v>4161</v>
      </c>
      <c r="B274" s="119" t="s">
        <v>6412</v>
      </c>
      <c r="C274" s="119" t="s">
        <v>6224</v>
      </c>
      <c r="D274" s="119"/>
      <c r="E274" s="119" t="s">
        <v>6413</v>
      </c>
    </row>
    <row r="275" spans="1:5" ht="25.5" x14ac:dyDescent="0.25">
      <c r="A275" s="119">
        <v>4162</v>
      </c>
      <c r="B275" s="119" t="s">
        <v>6410</v>
      </c>
      <c r="C275" s="119" t="s">
        <v>6200</v>
      </c>
      <c r="D275" s="119" t="s">
        <v>5763</v>
      </c>
      <c r="E275" s="119" t="s">
        <v>6411</v>
      </c>
    </row>
    <row r="276" spans="1:5" x14ac:dyDescent="0.25">
      <c r="A276" s="119">
        <v>4162</v>
      </c>
      <c r="B276" s="119" t="s">
        <v>6412</v>
      </c>
      <c r="C276" s="119" t="s">
        <v>6224</v>
      </c>
      <c r="D276" s="119"/>
      <c r="E276" s="119" t="s">
        <v>6413</v>
      </c>
    </row>
    <row r="277" spans="1:5" ht="38.25" x14ac:dyDescent="0.25">
      <c r="A277" s="119">
        <v>4163</v>
      </c>
      <c r="B277" s="119" t="s">
        <v>6410</v>
      </c>
      <c r="C277" s="119" t="s">
        <v>6226</v>
      </c>
      <c r="D277" s="119" t="s">
        <v>5767</v>
      </c>
      <c r="E277" s="119" t="s">
        <v>6411</v>
      </c>
    </row>
    <row r="278" spans="1:5" x14ac:dyDescent="0.25">
      <c r="A278" s="119">
        <v>4163</v>
      </c>
      <c r="B278" s="119" t="s">
        <v>6412</v>
      </c>
      <c r="C278" s="119" t="s">
        <v>6224</v>
      </c>
      <c r="D278" s="119"/>
      <c r="E278" s="119" t="s">
        <v>6413</v>
      </c>
    </row>
    <row r="279" spans="1:5" ht="25.5" x14ac:dyDescent="0.25">
      <c r="A279" s="119">
        <v>4164</v>
      </c>
      <c r="B279" s="119" t="s">
        <v>6410</v>
      </c>
      <c r="C279" s="119" t="s">
        <v>6200</v>
      </c>
      <c r="D279" s="119" t="s">
        <v>5763</v>
      </c>
      <c r="E279" s="119" t="s">
        <v>6411</v>
      </c>
    </row>
    <row r="280" spans="1:5" x14ac:dyDescent="0.25">
      <c r="A280" s="119">
        <v>4164</v>
      </c>
      <c r="B280" s="119" t="s">
        <v>6412</v>
      </c>
      <c r="C280" s="119" t="s">
        <v>6224</v>
      </c>
      <c r="D280" s="119"/>
      <c r="E280" s="119" t="s">
        <v>6413</v>
      </c>
    </row>
    <row r="281" spans="1:5" ht="25.5" x14ac:dyDescent="0.25">
      <c r="A281" s="119">
        <v>4165</v>
      </c>
      <c r="B281" s="119" t="s">
        <v>6410</v>
      </c>
      <c r="C281" s="119" t="s">
        <v>6200</v>
      </c>
      <c r="D281" s="119" t="s">
        <v>5763</v>
      </c>
      <c r="E281" s="119" t="s">
        <v>6411</v>
      </c>
    </row>
    <row r="282" spans="1:5" x14ac:dyDescent="0.25">
      <c r="A282" s="119">
        <v>4165</v>
      </c>
      <c r="B282" s="119" t="s">
        <v>6412</v>
      </c>
      <c r="C282" s="119" t="s">
        <v>6224</v>
      </c>
      <c r="D282" s="119"/>
      <c r="E282" s="119" t="s">
        <v>6413</v>
      </c>
    </row>
    <row r="283" spans="1:5" ht="25.5" x14ac:dyDescent="0.25">
      <c r="A283" s="119">
        <v>4166</v>
      </c>
      <c r="B283" s="119" t="s">
        <v>6410</v>
      </c>
      <c r="C283" s="119" t="s">
        <v>6200</v>
      </c>
      <c r="D283" s="119" t="s">
        <v>5763</v>
      </c>
      <c r="E283" s="119" t="s">
        <v>6411</v>
      </c>
    </row>
    <row r="284" spans="1:5" x14ac:dyDescent="0.25">
      <c r="A284" s="119">
        <v>4166</v>
      </c>
      <c r="B284" s="119" t="s">
        <v>6412</v>
      </c>
      <c r="C284" s="119" t="s">
        <v>6224</v>
      </c>
      <c r="D284" s="119"/>
      <c r="E284" s="119" t="s">
        <v>6413</v>
      </c>
    </row>
    <row r="285" spans="1:5" ht="25.5" x14ac:dyDescent="0.25">
      <c r="A285" s="119">
        <v>4167</v>
      </c>
      <c r="B285" s="119" t="s">
        <v>6410</v>
      </c>
      <c r="C285" s="119" t="s">
        <v>6200</v>
      </c>
      <c r="D285" s="119" t="s">
        <v>5763</v>
      </c>
      <c r="E285" s="119" t="s">
        <v>6411</v>
      </c>
    </row>
    <row r="286" spans="1:5" x14ac:dyDescent="0.25">
      <c r="A286" s="119">
        <v>4167</v>
      </c>
      <c r="B286" s="119" t="s">
        <v>6412</v>
      </c>
      <c r="C286" s="119" t="s">
        <v>6224</v>
      </c>
      <c r="D286" s="119"/>
      <c r="E286" s="119" t="s">
        <v>6413</v>
      </c>
    </row>
    <row r="287" spans="1:5" ht="25.5" x14ac:dyDescent="0.25">
      <c r="A287" s="119">
        <v>4168</v>
      </c>
      <c r="B287" s="119" t="s">
        <v>6410</v>
      </c>
      <c r="C287" s="119" t="s">
        <v>6200</v>
      </c>
      <c r="D287" s="119" t="s">
        <v>5763</v>
      </c>
      <c r="E287" s="119" t="s">
        <v>6411</v>
      </c>
    </row>
    <row r="288" spans="1:5" x14ac:dyDescent="0.25">
      <c r="A288" s="119">
        <v>4168</v>
      </c>
      <c r="B288" s="119" t="s">
        <v>6412</v>
      </c>
      <c r="C288" s="119" t="s">
        <v>6224</v>
      </c>
      <c r="D288" s="119"/>
      <c r="E288" s="119" t="s">
        <v>6413</v>
      </c>
    </row>
    <row r="289" spans="1:5" ht="25.5" x14ac:dyDescent="0.25">
      <c r="A289" s="119">
        <v>4169</v>
      </c>
      <c r="B289" s="119" t="s">
        <v>6410</v>
      </c>
      <c r="C289" s="119" t="s">
        <v>6200</v>
      </c>
      <c r="D289" s="119" t="s">
        <v>5763</v>
      </c>
      <c r="E289" s="119" t="s">
        <v>6411</v>
      </c>
    </row>
    <row r="290" spans="1:5" x14ac:dyDescent="0.25">
      <c r="A290" s="119">
        <v>4169</v>
      </c>
      <c r="B290" s="119" t="s">
        <v>6412</v>
      </c>
      <c r="C290" s="119" t="s">
        <v>6224</v>
      </c>
      <c r="D290" s="119"/>
      <c r="E290" s="119" t="s">
        <v>6413</v>
      </c>
    </row>
    <row r="291" spans="1:5" ht="25.5" x14ac:dyDescent="0.25">
      <c r="A291" s="119">
        <v>4170</v>
      </c>
      <c r="B291" s="119" t="s">
        <v>6410</v>
      </c>
      <c r="C291" s="119" t="s">
        <v>6200</v>
      </c>
      <c r="D291" s="119" t="s">
        <v>5763</v>
      </c>
      <c r="E291" s="119" t="s">
        <v>6411</v>
      </c>
    </row>
    <row r="292" spans="1:5" x14ac:dyDescent="0.25">
      <c r="A292" s="119">
        <v>4170</v>
      </c>
      <c r="B292" s="119" t="s">
        <v>6412</v>
      </c>
      <c r="C292" s="119" t="s">
        <v>6224</v>
      </c>
      <c r="D292" s="119"/>
      <c r="E292" s="119" t="s">
        <v>6413</v>
      </c>
    </row>
    <row r="293" spans="1:5" ht="25.5" x14ac:dyDescent="0.25">
      <c r="A293" s="119">
        <v>4171</v>
      </c>
      <c r="B293" s="119" t="s">
        <v>6410</v>
      </c>
      <c r="C293" s="119" t="s">
        <v>6200</v>
      </c>
      <c r="D293" s="119" t="s">
        <v>5784</v>
      </c>
      <c r="E293" s="119" t="s">
        <v>6411</v>
      </c>
    </row>
    <row r="294" spans="1:5" x14ac:dyDescent="0.25">
      <c r="A294" s="119">
        <v>4171</v>
      </c>
      <c r="B294" s="119" t="s">
        <v>6412</v>
      </c>
      <c r="C294" s="119" t="s">
        <v>6227</v>
      </c>
      <c r="D294" s="119"/>
      <c r="E294" s="119" t="s">
        <v>6413</v>
      </c>
    </row>
    <row r="295" spans="1:5" ht="25.5" x14ac:dyDescent="0.25">
      <c r="A295" s="119">
        <v>4172</v>
      </c>
      <c r="B295" s="119" t="s">
        <v>6410</v>
      </c>
      <c r="C295" s="119" t="s">
        <v>6200</v>
      </c>
      <c r="D295" s="119" t="s">
        <v>5763</v>
      </c>
      <c r="E295" s="119" t="s">
        <v>6411</v>
      </c>
    </row>
    <row r="296" spans="1:5" x14ac:dyDescent="0.25">
      <c r="A296" s="119">
        <v>4172</v>
      </c>
      <c r="B296" s="119" t="s">
        <v>6412</v>
      </c>
      <c r="C296" s="119" t="s">
        <v>6224</v>
      </c>
      <c r="D296" s="119"/>
      <c r="E296" s="119" t="s">
        <v>6413</v>
      </c>
    </row>
    <row r="297" spans="1:5" ht="25.5" x14ac:dyDescent="0.25">
      <c r="A297" s="119">
        <v>4173</v>
      </c>
      <c r="B297" s="119" t="s">
        <v>6410</v>
      </c>
      <c r="C297" s="119" t="s">
        <v>6200</v>
      </c>
      <c r="D297" s="119" t="s">
        <v>5763</v>
      </c>
      <c r="E297" s="119" t="s">
        <v>6411</v>
      </c>
    </row>
    <row r="298" spans="1:5" x14ac:dyDescent="0.25">
      <c r="A298" s="119">
        <v>4173</v>
      </c>
      <c r="B298" s="119" t="s">
        <v>6412</v>
      </c>
      <c r="C298" s="119" t="s">
        <v>6224</v>
      </c>
      <c r="D298" s="119"/>
      <c r="E298" s="119" t="s">
        <v>6413</v>
      </c>
    </row>
    <row r="299" spans="1:5" ht="25.5" x14ac:dyDescent="0.25">
      <c r="A299" s="119">
        <v>4174</v>
      </c>
      <c r="B299" s="119" t="s">
        <v>6410</v>
      </c>
      <c r="C299" s="119" t="s">
        <v>6200</v>
      </c>
      <c r="D299" s="119" t="s">
        <v>5763</v>
      </c>
      <c r="E299" s="119" t="s">
        <v>6411</v>
      </c>
    </row>
    <row r="300" spans="1:5" x14ac:dyDescent="0.25">
      <c r="A300" s="119">
        <v>4174</v>
      </c>
      <c r="B300" s="119" t="s">
        <v>6412</v>
      </c>
      <c r="C300" s="119" t="s">
        <v>6224</v>
      </c>
      <c r="D300" s="119"/>
      <c r="E300" s="119" t="s">
        <v>6413</v>
      </c>
    </row>
    <row r="301" spans="1:5" ht="25.5" x14ac:dyDescent="0.25">
      <c r="A301" s="119">
        <v>4175</v>
      </c>
      <c r="B301" s="119" t="s">
        <v>6410</v>
      </c>
      <c r="C301" s="119" t="s">
        <v>6200</v>
      </c>
      <c r="D301" s="119" t="s">
        <v>5763</v>
      </c>
      <c r="E301" s="119" t="s">
        <v>6411</v>
      </c>
    </row>
    <row r="302" spans="1:5" x14ac:dyDescent="0.25">
      <c r="A302" s="119">
        <v>4175</v>
      </c>
      <c r="B302" s="119" t="s">
        <v>6412</v>
      </c>
      <c r="C302" s="119" t="s">
        <v>6224</v>
      </c>
      <c r="D302" s="119"/>
      <c r="E302" s="119" t="s">
        <v>6413</v>
      </c>
    </row>
    <row r="303" spans="1:5" ht="25.5" x14ac:dyDescent="0.25">
      <c r="A303" s="119">
        <v>4176</v>
      </c>
      <c r="B303" s="119" t="s">
        <v>6410</v>
      </c>
      <c r="C303" s="119" t="s">
        <v>6200</v>
      </c>
      <c r="D303" s="119" t="s">
        <v>5763</v>
      </c>
      <c r="E303" s="119" t="s">
        <v>6411</v>
      </c>
    </row>
    <row r="304" spans="1:5" x14ac:dyDescent="0.25">
      <c r="A304" s="119">
        <v>4176</v>
      </c>
      <c r="B304" s="119" t="s">
        <v>6412</v>
      </c>
      <c r="C304" s="119" t="s">
        <v>6224</v>
      </c>
      <c r="D304" s="119"/>
      <c r="E304" s="119" t="s">
        <v>6413</v>
      </c>
    </row>
    <row r="305" spans="1:5" ht="25.5" x14ac:dyDescent="0.25">
      <c r="A305" s="119">
        <v>4177</v>
      </c>
      <c r="B305" s="119" t="s">
        <v>6410</v>
      </c>
      <c r="C305" s="119" t="s">
        <v>6200</v>
      </c>
      <c r="D305" s="119" t="s">
        <v>5763</v>
      </c>
      <c r="E305" s="119" t="s">
        <v>6411</v>
      </c>
    </row>
    <row r="306" spans="1:5" x14ac:dyDescent="0.25">
      <c r="A306" s="119">
        <v>4177</v>
      </c>
      <c r="B306" s="119" t="s">
        <v>6412</v>
      </c>
      <c r="C306" s="119" t="s">
        <v>6224</v>
      </c>
      <c r="D306" s="119"/>
      <c r="E306" s="119" t="s">
        <v>6413</v>
      </c>
    </row>
    <row r="307" spans="1:5" ht="38.25" x14ac:dyDescent="0.25">
      <c r="A307" s="119">
        <v>4178</v>
      </c>
      <c r="B307" s="119" t="s">
        <v>6410</v>
      </c>
      <c r="C307" s="119" t="s">
        <v>6229</v>
      </c>
      <c r="D307" s="119" t="s">
        <v>5803</v>
      </c>
      <c r="E307" s="119" t="s">
        <v>6411</v>
      </c>
    </row>
    <row r="308" spans="1:5" ht="25.5" x14ac:dyDescent="0.25">
      <c r="A308" s="119">
        <v>4178</v>
      </c>
      <c r="B308" s="119" t="s">
        <v>6412</v>
      </c>
      <c r="C308" s="119" t="s">
        <v>6228</v>
      </c>
      <c r="D308" s="119"/>
      <c r="E308" s="119" t="s">
        <v>6413</v>
      </c>
    </row>
    <row r="309" spans="1:5" ht="38.25" x14ac:dyDescent="0.25">
      <c r="A309" s="119">
        <v>4179</v>
      </c>
      <c r="B309" s="119" t="s">
        <v>6410</v>
      </c>
      <c r="C309" s="119" t="s">
        <v>6230</v>
      </c>
      <c r="D309" s="119" t="s">
        <v>5806</v>
      </c>
      <c r="E309" s="119" t="s">
        <v>6411</v>
      </c>
    </row>
    <row r="310" spans="1:5" ht="25.5" x14ac:dyDescent="0.25">
      <c r="A310" s="119">
        <v>4179</v>
      </c>
      <c r="B310" s="119" t="s">
        <v>6412</v>
      </c>
      <c r="C310" s="119" t="s">
        <v>6228</v>
      </c>
      <c r="D310" s="119"/>
      <c r="E310" s="119" t="s">
        <v>6413</v>
      </c>
    </row>
    <row r="311" spans="1:5" ht="25.5" x14ac:dyDescent="0.25">
      <c r="A311" s="119">
        <v>4180</v>
      </c>
      <c r="B311" s="119" t="s">
        <v>6410</v>
      </c>
      <c r="C311" s="119" t="s">
        <v>6200</v>
      </c>
      <c r="D311" s="119" t="s">
        <v>5809</v>
      </c>
      <c r="E311" s="119" t="s">
        <v>6411</v>
      </c>
    </row>
    <row r="312" spans="1:5" ht="25.5" x14ac:dyDescent="0.25">
      <c r="A312" s="119">
        <v>4180</v>
      </c>
      <c r="B312" s="119" t="s">
        <v>6412</v>
      </c>
      <c r="C312" s="119" t="s">
        <v>6228</v>
      </c>
      <c r="D312" s="119"/>
      <c r="E312" s="119" t="s">
        <v>6413</v>
      </c>
    </row>
    <row r="313" spans="1:5" ht="38.25" x14ac:dyDescent="0.25">
      <c r="A313" s="119">
        <v>4181</v>
      </c>
      <c r="B313" s="119" t="s">
        <v>6410</v>
      </c>
      <c r="C313" s="119" t="s">
        <v>6231</v>
      </c>
      <c r="D313" s="119" t="s">
        <v>5812</v>
      </c>
      <c r="E313" s="119" t="s">
        <v>6411</v>
      </c>
    </row>
    <row r="314" spans="1:5" ht="25.5" x14ac:dyDescent="0.25">
      <c r="A314" s="119">
        <v>4181</v>
      </c>
      <c r="B314" s="119" t="s">
        <v>6412</v>
      </c>
      <c r="C314" s="119" t="s">
        <v>6228</v>
      </c>
      <c r="D314" s="119"/>
      <c r="E314" s="119" t="s">
        <v>6413</v>
      </c>
    </row>
    <row r="315" spans="1:5" ht="25.5" x14ac:dyDescent="0.25">
      <c r="A315" s="119">
        <v>4182</v>
      </c>
      <c r="B315" s="119" t="s">
        <v>6410</v>
      </c>
      <c r="C315" s="119" t="s">
        <v>6200</v>
      </c>
      <c r="D315" s="119" t="s">
        <v>5809</v>
      </c>
      <c r="E315" s="119" t="s">
        <v>6411</v>
      </c>
    </row>
    <row r="316" spans="1:5" ht="25.5" x14ac:dyDescent="0.25">
      <c r="A316" s="119">
        <v>4182</v>
      </c>
      <c r="B316" s="119" t="s">
        <v>6412</v>
      </c>
      <c r="C316" s="119" t="s">
        <v>6228</v>
      </c>
      <c r="D316" s="119"/>
      <c r="E316" s="119" t="s">
        <v>6413</v>
      </c>
    </row>
    <row r="317" spans="1:5" ht="25.5" x14ac:dyDescent="0.25">
      <c r="A317" s="119">
        <v>4183</v>
      </c>
      <c r="B317" s="119" t="s">
        <v>6410</v>
      </c>
      <c r="C317" s="119" t="s">
        <v>6200</v>
      </c>
      <c r="D317" s="119" t="s">
        <v>5809</v>
      </c>
      <c r="E317" s="119" t="s">
        <v>6411</v>
      </c>
    </row>
    <row r="318" spans="1:5" ht="25.5" x14ac:dyDescent="0.25">
      <c r="A318" s="119">
        <v>4183</v>
      </c>
      <c r="B318" s="119" t="s">
        <v>6412</v>
      </c>
      <c r="C318" s="119" t="s">
        <v>6228</v>
      </c>
      <c r="D318" s="119"/>
      <c r="E318" s="119" t="s">
        <v>6413</v>
      </c>
    </row>
    <row r="319" spans="1:5" ht="25.5" x14ac:dyDescent="0.25">
      <c r="A319" s="119">
        <v>4184</v>
      </c>
      <c r="B319" s="119" t="s">
        <v>6410</v>
      </c>
      <c r="C319" s="119" t="s">
        <v>6233</v>
      </c>
      <c r="D319" s="119" t="s">
        <v>5819</v>
      </c>
      <c r="E319" s="119" t="s">
        <v>6411</v>
      </c>
    </row>
    <row r="320" spans="1:5" ht="25.5" x14ac:dyDescent="0.25">
      <c r="A320" s="119">
        <v>4184</v>
      </c>
      <c r="B320" s="119" t="s">
        <v>6412</v>
      </c>
      <c r="C320" s="119" t="s">
        <v>6228</v>
      </c>
      <c r="D320" s="119"/>
      <c r="E320" s="119" t="s">
        <v>6413</v>
      </c>
    </row>
    <row r="321" spans="1:5" ht="25.5" x14ac:dyDescent="0.25">
      <c r="A321" s="119">
        <v>4185</v>
      </c>
      <c r="B321" s="119" t="s">
        <v>6410</v>
      </c>
      <c r="C321" s="119" t="s">
        <v>6235</v>
      </c>
      <c r="D321" s="119" t="s">
        <v>5822</v>
      </c>
      <c r="E321" s="119" t="s">
        <v>6411</v>
      </c>
    </row>
    <row r="322" spans="1:5" ht="25.5" x14ac:dyDescent="0.25">
      <c r="A322" s="119">
        <v>4185</v>
      </c>
      <c r="B322" s="119" t="s">
        <v>6412</v>
      </c>
      <c r="C322" s="119" t="s">
        <v>6228</v>
      </c>
      <c r="D322" s="119"/>
      <c r="E322" s="119" t="s">
        <v>6413</v>
      </c>
    </row>
    <row r="323" spans="1:5" ht="25.5" x14ac:dyDescent="0.25">
      <c r="A323" s="119">
        <v>4186</v>
      </c>
      <c r="B323" s="119" t="s">
        <v>6410</v>
      </c>
      <c r="C323" s="119" t="s">
        <v>6200</v>
      </c>
      <c r="D323" s="119" t="s">
        <v>5809</v>
      </c>
      <c r="E323" s="119" t="s">
        <v>6411</v>
      </c>
    </row>
    <row r="324" spans="1:5" ht="25.5" x14ac:dyDescent="0.25">
      <c r="A324" s="119">
        <v>4186</v>
      </c>
      <c r="B324" s="119" t="s">
        <v>6412</v>
      </c>
      <c r="C324" s="119" t="s">
        <v>6228</v>
      </c>
      <c r="D324" s="119"/>
      <c r="E324" s="119" t="s">
        <v>6413</v>
      </c>
    </row>
    <row r="325" spans="1:5" ht="25.5" x14ac:dyDescent="0.25">
      <c r="A325" s="119">
        <v>4187</v>
      </c>
      <c r="B325" s="119" t="s">
        <v>6410</v>
      </c>
      <c r="C325" s="119" t="s">
        <v>6238</v>
      </c>
      <c r="D325" s="119" t="s">
        <v>5827</v>
      </c>
      <c r="E325" s="119" t="s">
        <v>6411</v>
      </c>
    </row>
    <row r="326" spans="1:5" ht="25.5" x14ac:dyDescent="0.25">
      <c r="A326" s="119">
        <v>4187</v>
      </c>
      <c r="B326" s="119" t="s">
        <v>6412</v>
      </c>
      <c r="C326" s="119" t="s">
        <v>6228</v>
      </c>
      <c r="D326" s="119"/>
      <c r="E326" s="119" t="s">
        <v>6413</v>
      </c>
    </row>
    <row r="327" spans="1:5" ht="25.5" x14ac:dyDescent="0.25">
      <c r="A327" s="119">
        <v>4188</v>
      </c>
      <c r="B327" s="119" t="s">
        <v>6410</v>
      </c>
      <c r="C327" s="119" t="s">
        <v>6200</v>
      </c>
      <c r="D327" s="119" t="s">
        <v>5809</v>
      </c>
      <c r="E327" s="119" t="s">
        <v>6411</v>
      </c>
    </row>
    <row r="328" spans="1:5" ht="25.5" x14ac:dyDescent="0.25">
      <c r="A328" s="119">
        <v>4188</v>
      </c>
      <c r="B328" s="119" t="s">
        <v>6412</v>
      </c>
      <c r="C328" s="119" t="s">
        <v>6228</v>
      </c>
      <c r="D328" s="119"/>
      <c r="E328" s="119" t="s">
        <v>6413</v>
      </c>
    </row>
    <row r="329" spans="1:5" ht="25.5" x14ac:dyDescent="0.25">
      <c r="A329" s="119">
        <v>4189</v>
      </c>
      <c r="B329" s="119" t="s">
        <v>6410</v>
      </c>
      <c r="C329" s="119" t="s">
        <v>6200</v>
      </c>
      <c r="D329" s="119" t="s">
        <v>5809</v>
      </c>
      <c r="E329" s="119" t="s">
        <v>6411</v>
      </c>
    </row>
    <row r="330" spans="1:5" ht="25.5" x14ac:dyDescent="0.25">
      <c r="A330" s="119">
        <v>4189</v>
      </c>
      <c r="B330" s="119" t="s">
        <v>6412</v>
      </c>
      <c r="C330" s="119" t="s">
        <v>6228</v>
      </c>
      <c r="D330" s="119"/>
      <c r="E330" s="119" t="s">
        <v>6413</v>
      </c>
    </row>
    <row r="331" spans="1:5" ht="25.5" x14ac:dyDescent="0.25">
      <c r="A331" s="119">
        <v>4190</v>
      </c>
      <c r="B331" s="119" t="s">
        <v>6410</v>
      </c>
      <c r="C331" s="119" t="s">
        <v>6200</v>
      </c>
      <c r="D331" s="119" t="s">
        <v>5809</v>
      </c>
      <c r="E331" s="119" t="s">
        <v>6411</v>
      </c>
    </row>
    <row r="332" spans="1:5" ht="25.5" x14ac:dyDescent="0.25">
      <c r="A332" s="119">
        <v>4190</v>
      </c>
      <c r="B332" s="119" t="s">
        <v>6412</v>
      </c>
      <c r="C332" s="119" t="s">
        <v>6228</v>
      </c>
      <c r="D332" s="119"/>
      <c r="E332" s="119" t="s">
        <v>6413</v>
      </c>
    </row>
    <row r="333" spans="1:5" ht="25.5" x14ac:dyDescent="0.25">
      <c r="A333" s="119">
        <v>4191</v>
      </c>
      <c r="B333" s="119" t="s">
        <v>6410</v>
      </c>
      <c r="C333" s="119" t="s">
        <v>6200</v>
      </c>
      <c r="D333" s="119" t="s">
        <v>5809</v>
      </c>
      <c r="E333" s="119" t="s">
        <v>6411</v>
      </c>
    </row>
    <row r="334" spans="1:5" ht="25.5" x14ac:dyDescent="0.25">
      <c r="A334" s="119">
        <v>4191</v>
      </c>
      <c r="B334" s="119" t="s">
        <v>6412</v>
      </c>
      <c r="C334" s="119" t="s">
        <v>6228</v>
      </c>
      <c r="D334" s="119"/>
      <c r="E334" s="119" t="s">
        <v>6413</v>
      </c>
    </row>
    <row r="335" spans="1:5" ht="25.5" x14ac:dyDescent="0.25">
      <c r="A335" s="119">
        <v>4192</v>
      </c>
      <c r="B335" s="119" t="s">
        <v>6410</v>
      </c>
      <c r="C335" s="119" t="s">
        <v>6200</v>
      </c>
      <c r="D335" s="119" t="s">
        <v>5809</v>
      </c>
      <c r="E335" s="119" t="s">
        <v>6411</v>
      </c>
    </row>
    <row r="336" spans="1:5" ht="25.5" x14ac:dyDescent="0.25">
      <c r="A336" s="119">
        <v>4192</v>
      </c>
      <c r="B336" s="119" t="s">
        <v>6412</v>
      </c>
      <c r="C336" s="119" t="s">
        <v>6228</v>
      </c>
      <c r="D336" s="119"/>
      <c r="E336" s="119" t="s">
        <v>6413</v>
      </c>
    </row>
    <row r="337" spans="1:5" ht="25.5" x14ac:dyDescent="0.25">
      <c r="A337" s="119">
        <v>4193</v>
      </c>
      <c r="B337" s="119" t="s">
        <v>6410</v>
      </c>
      <c r="C337" s="119" t="s">
        <v>6200</v>
      </c>
      <c r="D337" s="119" t="s">
        <v>5809</v>
      </c>
      <c r="E337" s="119" t="s">
        <v>6411</v>
      </c>
    </row>
    <row r="338" spans="1:5" ht="25.5" x14ac:dyDescent="0.25">
      <c r="A338" s="119">
        <v>4193</v>
      </c>
      <c r="B338" s="119" t="s">
        <v>6412</v>
      </c>
      <c r="C338" s="119" t="s">
        <v>6228</v>
      </c>
      <c r="D338" s="119"/>
      <c r="E338" s="119" t="s">
        <v>6413</v>
      </c>
    </row>
    <row r="339" spans="1:5" ht="51" x14ac:dyDescent="0.25">
      <c r="A339" s="119">
        <v>4194</v>
      </c>
      <c r="B339" s="119" t="s">
        <v>6410</v>
      </c>
      <c r="C339" s="119" t="s">
        <v>6244</v>
      </c>
      <c r="D339" s="119" t="s">
        <v>5842</v>
      </c>
      <c r="E339" s="119" t="s">
        <v>6411</v>
      </c>
    </row>
    <row r="340" spans="1:5" x14ac:dyDescent="0.25">
      <c r="A340" s="119">
        <v>4194</v>
      </c>
      <c r="B340" s="119" t="s">
        <v>6412</v>
      </c>
      <c r="C340" s="119" t="s">
        <v>6243</v>
      </c>
      <c r="D340" s="119"/>
      <c r="E340" s="119" t="s">
        <v>6413</v>
      </c>
    </row>
    <row r="341" spans="1:5" ht="38.25" x14ac:dyDescent="0.25">
      <c r="A341" s="119">
        <v>4195</v>
      </c>
      <c r="B341" s="119" t="s">
        <v>6410</v>
      </c>
      <c r="C341" s="119" t="s">
        <v>6245</v>
      </c>
      <c r="D341" s="119" t="s">
        <v>5845</v>
      </c>
      <c r="E341" s="119" t="s">
        <v>6411</v>
      </c>
    </row>
    <row r="342" spans="1:5" x14ac:dyDescent="0.25">
      <c r="A342" s="119">
        <v>4195</v>
      </c>
      <c r="B342" s="119" t="s">
        <v>6412</v>
      </c>
      <c r="C342" s="119" t="s">
        <v>6243</v>
      </c>
      <c r="D342" s="119"/>
      <c r="E342" s="119" t="s">
        <v>6413</v>
      </c>
    </row>
    <row r="343" spans="1:5" ht="38.25" x14ac:dyDescent="0.25">
      <c r="A343" s="119">
        <v>4196</v>
      </c>
      <c r="B343" s="119" t="s">
        <v>6410</v>
      </c>
      <c r="C343" s="119" t="s">
        <v>6246</v>
      </c>
      <c r="D343" s="119" t="s">
        <v>5847</v>
      </c>
      <c r="E343" s="119" t="s">
        <v>6411</v>
      </c>
    </row>
    <row r="344" spans="1:5" x14ac:dyDescent="0.25">
      <c r="A344" s="119">
        <v>4196</v>
      </c>
      <c r="B344" s="119" t="s">
        <v>6412</v>
      </c>
      <c r="C344" s="119" t="s">
        <v>6243</v>
      </c>
      <c r="D344" s="119"/>
      <c r="E344" s="119" t="s">
        <v>6413</v>
      </c>
    </row>
    <row r="345" spans="1:5" ht="25.5" x14ac:dyDescent="0.25">
      <c r="A345" s="119">
        <v>4197</v>
      </c>
      <c r="B345" s="119" t="s">
        <v>6410</v>
      </c>
      <c r="C345" s="119" t="s">
        <v>6200</v>
      </c>
      <c r="D345" s="119" t="s">
        <v>5850</v>
      </c>
      <c r="E345" s="119" t="s">
        <v>6411</v>
      </c>
    </row>
    <row r="346" spans="1:5" x14ac:dyDescent="0.25">
      <c r="A346" s="119">
        <v>4197</v>
      </c>
      <c r="B346" s="119" t="s">
        <v>6412</v>
      </c>
      <c r="C346" s="119" t="s">
        <v>6243</v>
      </c>
      <c r="D346" s="119"/>
      <c r="E346" s="119" t="s">
        <v>6413</v>
      </c>
    </row>
    <row r="347" spans="1:5" ht="25.5" x14ac:dyDescent="0.25">
      <c r="A347" s="119">
        <v>4198</v>
      </c>
      <c r="B347" s="119" t="s">
        <v>6410</v>
      </c>
      <c r="C347" s="119" t="s">
        <v>6200</v>
      </c>
      <c r="D347" s="119" t="s">
        <v>5850</v>
      </c>
      <c r="E347" s="119" t="s">
        <v>6411</v>
      </c>
    </row>
    <row r="348" spans="1:5" x14ac:dyDescent="0.25">
      <c r="A348" s="119">
        <v>4198</v>
      </c>
      <c r="B348" s="119" t="s">
        <v>6412</v>
      </c>
      <c r="C348" s="119" t="s">
        <v>6243</v>
      </c>
      <c r="D348" s="119"/>
      <c r="E348" s="119" t="s">
        <v>6413</v>
      </c>
    </row>
    <row r="349" spans="1:5" ht="25.5" x14ac:dyDescent="0.25">
      <c r="A349" s="119">
        <v>4199</v>
      </c>
      <c r="B349" s="119" t="s">
        <v>6410</v>
      </c>
      <c r="C349" s="119" t="s">
        <v>6200</v>
      </c>
      <c r="D349" s="119" t="s">
        <v>5855</v>
      </c>
      <c r="E349" s="119" t="s">
        <v>6411</v>
      </c>
    </row>
    <row r="350" spans="1:5" x14ac:dyDescent="0.25">
      <c r="A350" s="119">
        <v>4199</v>
      </c>
      <c r="B350" s="119" t="s">
        <v>6412</v>
      </c>
      <c r="C350" s="119" t="s">
        <v>6248</v>
      </c>
      <c r="D350" s="119"/>
      <c r="E350" s="119" t="s">
        <v>6413</v>
      </c>
    </row>
    <row r="351" spans="1:5" ht="25.5" x14ac:dyDescent="0.25">
      <c r="A351" s="119">
        <v>4200</v>
      </c>
      <c r="B351" s="119" t="s">
        <v>6410</v>
      </c>
      <c r="C351" s="119" t="s">
        <v>6200</v>
      </c>
      <c r="D351" s="119" t="s">
        <v>5855</v>
      </c>
      <c r="E351" s="119" t="s">
        <v>6411</v>
      </c>
    </row>
    <row r="352" spans="1:5" x14ac:dyDescent="0.25">
      <c r="A352" s="119">
        <v>4200</v>
      </c>
      <c r="B352" s="119" t="s">
        <v>6412</v>
      </c>
      <c r="C352" s="119" t="s">
        <v>6248</v>
      </c>
      <c r="D352" s="119"/>
      <c r="E352" s="119" t="s">
        <v>6413</v>
      </c>
    </row>
    <row r="353" spans="1:5" ht="25.5" x14ac:dyDescent="0.25">
      <c r="A353" s="119">
        <v>4201</v>
      </c>
      <c r="B353" s="119" t="s">
        <v>6410</v>
      </c>
      <c r="C353" s="119" t="s">
        <v>6200</v>
      </c>
      <c r="D353" s="119" t="s">
        <v>5855</v>
      </c>
      <c r="E353" s="119" t="s">
        <v>6411</v>
      </c>
    </row>
    <row r="354" spans="1:5" x14ac:dyDescent="0.25">
      <c r="A354" s="119">
        <v>4201</v>
      </c>
      <c r="B354" s="119" t="s">
        <v>6412</v>
      </c>
      <c r="C354" s="119" t="s">
        <v>6248</v>
      </c>
      <c r="D354" s="119"/>
      <c r="E354" s="119" t="s">
        <v>6413</v>
      </c>
    </row>
    <row r="355" spans="1:5" ht="38.25" x14ac:dyDescent="0.25">
      <c r="A355" s="119">
        <v>4202</v>
      </c>
      <c r="B355" s="119" t="s">
        <v>6410</v>
      </c>
      <c r="C355" s="119" t="s">
        <v>6249</v>
      </c>
      <c r="D355" s="119" t="s">
        <v>5862</v>
      </c>
      <c r="E355" s="119" t="s">
        <v>6411</v>
      </c>
    </row>
    <row r="356" spans="1:5" x14ac:dyDescent="0.25">
      <c r="A356" s="119">
        <v>4202</v>
      </c>
      <c r="B356" s="119" t="s">
        <v>6412</v>
      </c>
      <c r="C356" s="119" t="s">
        <v>6248</v>
      </c>
      <c r="D356" s="119"/>
      <c r="E356" s="119" t="s">
        <v>6413</v>
      </c>
    </row>
    <row r="357" spans="1:5" ht="38.25" x14ac:dyDescent="0.25">
      <c r="A357" s="119">
        <v>4203</v>
      </c>
      <c r="B357" s="119" t="s">
        <v>6410</v>
      </c>
      <c r="C357" s="119" t="s">
        <v>6250</v>
      </c>
      <c r="D357" s="119" t="s">
        <v>5865</v>
      </c>
      <c r="E357" s="119" t="s">
        <v>6411</v>
      </c>
    </row>
    <row r="358" spans="1:5" x14ac:dyDescent="0.25">
      <c r="A358" s="119">
        <v>4203</v>
      </c>
      <c r="B358" s="119" t="s">
        <v>6412</v>
      </c>
      <c r="C358" s="119" t="s">
        <v>6248</v>
      </c>
      <c r="D358" s="119"/>
      <c r="E358" s="119" t="s">
        <v>6413</v>
      </c>
    </row>
    <row r="359" spans="1:5" ht="38.25" x14ac:dyDescent="0.25">
      <c r="A359" s="119">
        <v>4204</v>
      </c>
      <c r="B359" s="119" t="s">
        <v>6410</v>
      </c>
      <c r="C359" s="119" t="s">
        <v>6251</v>
      </c>
      <c r="D359" s="119" t="s">
        <v>5868</v>
      </c>
      <c r="E359" s="119" t="s">
        <v>6411</v>
      </c>
    </row>
    <row r="360" spans="1:5" x14ac:dyDescent="0.25">
      <c r="A360" s="119">
        <v>4204</v>
      </c>
      <c r="B360" s="119" t="s">
        <v>6412</v>
      </c>
      <c r="C360" s="119" t="s">
        <v>6248</v>
      </c>
      <c r="D360" s="119"/>
      <c r="E360" s="119" t="s">
        <v>6413</v>
      </c>
    </row>
    <row r="361" spans="1:5" ht="25.5" x14ac:dyDescent="0.25">
      <c r="A361" s="119">
        <v>4205</v>
      </c>
      <c r="B361" s="119" t="s">
        <v>6410</v>
      </c>
      <c r="C361" s="119" t="s">
        <v>6200</v>
      </c>
      <c r="D361" s="119" t="s">
        <v>5855</v>
      </c>
      <c r="E361" s="119" t="s">
        <v>6411</v>
      </c>
    </row>
    <row r="362" spans="1:5" x14ac:dyDescent="0.25">
      <c r="A362" s="119">
        <v>4205</v>
      </c>
      <c r="B362" s="119" t="s">
        <v>6412</v>
      </c>
      <c r="C362" s="119" t="s">
        <v>6248</v>
      </c>
      <c r="D362" s="119"/>
      <c r="E362" s="119" t="s">
        <v>6413</v>
      </c>
    </row>
    <row r="363" spans="1:5" ht="25.5" x14ac:dyDescent="0.25">
      <c r="A363" s="119">
        <v>4206</v>
      </c>
      <c r="B363" s="119" t="s">
        <v>6410</v>
      </c>
      <c r="C363" s="119" t="s">
        <v>6200</v>
      </c>
      <c r="D363" s="119" t="s">
        <v>5855</v>
      </c>
      <c r="E363" s="119" t="s">
        <v>6411</v>
      </c>
    </row>
    <row r="364" spans="1:5" x14ac:dyDescent="0.25">
      <c r="A364" s="119">
        <v>4206</v>
      </c>
      <c r="B364" s="119" t="s">
        <v>6412</v>
      </c>
      <c r="C364" s="119" t="s">
        <v>6248</v>
      </c>
      <c r="D364" s="119"/>
      <c r="E364" s="119" t="s">
        <v>6413</v>
      </c>
    </row>
    <row r="365" spans="1:5" ht="38.25" x14ac:dyDescent="0.25">
      <c r="A365" s="119">
        <v>4207</v>
      </c>
      <c r="B365" s="119" t="s">
        <v>6410</v>
      </c>
      <c r="C365" s="119" t="s">
        <v>6252</v>
      </c>
      <c r="D365" s="119" t="s">
        <v>5875</v>
      </c>
      <c r="E365" s="119" t="s">
        <v>6411</v>
      </c>
    </row>
    <row r="366" spans="1:5" x14ac:dyDescent="0.25">
      <c r="A366" s="119">
        <v>4207</v>
      </c>
      <c r="B366" s="119" t="s">
        <v>6412</v>
      </c>
      <c r="C366" s="119" t="s">
        <v>6248</v>
      </c>
      <c r="D366" s="119"/>
      <c r="E366" s="119" t="s">
        <v>6413</v>
      </c>
    </row>
    <row r="367" spans="1:5" ht="38.25" x14ac:dyDescent="0.25">
      <c r="A367" s="119">
        <v>4208</v>
      </c>
      <c r="B367" s="119" t="s">
        <v>6410</v>
      </c>
      <c r="C367" s="119" t="s">
        <v>6253</v>
      </c>
      <c r="D367" s="119" t="s">
        <v>5878</v>
      </c>
      <c r="E367" s="119" t="s">
        <v>6411</v>
      </c>
    </row>
    <row r="368" spans="1:5" x14ac:dyDescent="0.25">
      <c r="A368" s="119">
        <v>4208</v>
      </c>
      <c r="B368" s="119" t="s">
        <v>6412</v>
      </c>
      <c r="C368" s="119" t="s">
        <v>6248</v>
      </c>
      <c r="D368" s="119"/>
      <c r="E368" s="119" t="s">
        <v>6413</v>
      </c>
    </row>
    <row r="369" spans="1:5" ht="38.25" x14ac:dyDescent="0.25">
      <c r="A369" s="119">
        <v>4209</v>
      </c>
      <c r="B369" s="119" t="s">
        <v>6410</v>
      </c>
      <c r="C369" s="119" t="s">
        <v>6255</v>
      </c>
      <c r="D369" s="119" t="s">
        <v>5881</v>
      </c>
      <c r="E369" s="119" t="s">
        <v>6411</v>
      </c>
    </row>
    <row r="370" spans="1:5" x14ac:dyDescent="0.25">
      <c r="A370" s="119">
        <v>4209</v>
      </c>
      <c r="B370" s="119" t="s">
        <v>6412</v>
      </c>
      <c r="C370" s="119" t="s">
        <v>6254</v>
      </c>
      <c r="D370" s="119"/>
      <c r="E370" s="119" t="s">
        <v>6413</v>
      </c>
    </row>
    <row r="371" spans="1:5" ht="25.5" x14ac:dyDescent="0.25">
      <c r="A371" s="119">
        <v>4210</v>
      </c>
      <c r="B371" s="119" t="s">
        <v>6410</v>
      </c>
      <c r="C371" s="119" t="s">
        <v>6256</v>
      </c>
      <c r="D371" s="119" t="s">
        <v>5884</v>
      </c>
      <c r="E371" s="119" t="s">
        <v>6411</v>
      </c>
    </row>
    <row r="372" spans="1:5" x14ac:dyDescent="0.25">
      <c r="A372" s="119">
        <v>4210</v>
      </c>
      <c r="B372" s="119" t="s">
        <v>6412</v>
      </c>
      <c r="C372" s="119" t="s">
        <v>6254</v>
      </c>
      <c r="D372" s="119"/>
      <c r="E372" s="119" t="s">
        <v>6413</v>
      </c>
    </row>
    <row r="373" spans="1:5" ht="38.25" x14ac:dyDescent="0.25">
      <c r="A373" s="119">
        <v>4211</v>
      </c>
      <c r="B373" s="119" t="s">
        <v>6410</v>
      </c>
      <c r="C373" s="119" t="s">
        <v>6257</v>
      </c>
      <c r="D373" s="119" t="s">
        <v>5887</v>
      </c>
      <c r="E373" s="119" t="s">
        <v>6411</v>
      </c>
    </row>
    <row r="374" spans="1:5" x14ac:dyDescent="0.25">
      <c r="A374" s="119">
        <v>4211</v>
      </c>
      <c r="B374" s="119" t="s">
        <v>6412</v>
      </c>
      <c r="C374" s="119" t="s">
        <v>6254</v>
      </c>
      <c r="D374" s="119"/>
      <c r="E374" s="119" t="s">
        <v>6413</v>
      </c>
    </row>
    <row r="375" spans="1:5" ht="25.5" x14ac:dyDescent="0.25">
      <c r="A375" s="119">
        <v>4212</v>
      </c>
      <c r="B375" s="119" t="s">
        <v>6410</v>
      </c>
      <c r="C375" s="119" t="s">
        <v>6200</v>
      </c>
      <c r="D375" s="119" t="s">
        <v>5890</v>
      </c>
      <c r="E375" s="119" t="s">
        <v>6411</v>
      </c>
    </row>
    <row r="376" spans="1:5" x14ac:dyDescent="0.25">
      <c r="A376" s="119">
        <v>4212</v>
      </c>
      <c r="B376" s="119" t="s">
        <v>6412</v>
      </c>
      <c r="C376" s="119" t="s">
        <v>6254</v>
      </c>
      <c r="D376" s="119"/>
      <c r="E376" s="119" t="s">
        <v>6413</v>
      </c>
    </row>
    <row r="377" spans="1:5" ht="38.25" x14ac:dyDescent="0.25">
      <c r="A377" s="119">
        <v>4213</v>
      </c>
      <c r="B377" s="119" t="s">
        <v>6410</v>
      </c>
      <c r="C377" s="119" t="s">
        <v>6258</v>
      </c>
      <c r="D377" s="119" t="s">
        <v>5893</v>
      </c>
      <c r="E377" s="119" t="s">
        <v>6411</v>
      </c>
    </row>
    <row r="378" spans="1:5" x14ac:dyDescent="0.25">
      <c r="A378" s="119">
        <v>4213</v>
      </c>
      <c r="B378" s="119" t="s">
        <v>6412</v>
      </c>
      <c r="C378" s="119" t="s">
        <v>6254</v>
      </c>
      <c r="D378" s="119"/>
      <c r="E378" s="119" t="s">
        <v>6413</v>
      </c>
    </row>
    <row r="379" spans="1:5" ht="25.5" x14ac:dyDescent="0.25">
      <c r="A379" s="119">
        <v>4214</v>
      </c>
      <c r="B379" s="119" t="s">
        <v>6410</v>
      </c>
      <c r="C379" s="119" t="s">
        <v>6200</v>
      </c>
      <c r="D379" s="119" t="s">
        <v>5890</v>
      </c>
      <c r="E379" s="119" t="s">
        <v>6411</v>
      </c>
    </row>
    <row r="380" spans="1:5" x14ac:dyDescent="0.25">
      <c r="A380" s="119">
        <v>4214</v>
      </c>
      <c r="B380" s="119" t="s">
        <v>6412</v>
      </c>
      <c r="C380" s="119" t="s">
        <v>6254</v>
      </c>
      <c r="D380" s="119"/>
      <c r="E380" s="119" t="s">
        <v>6413</v>
      </c>
    </row>
    <row r="381" spans="1:5" ht="25.5" x14ac:dyDescent="0.25">
      <c r="A381" s="119">
        <v>4215</v>
      </c>
      <c r="B381" s="119" t="s">
        <v>6410</v>
      </c>
      <c r="C381" s="119" t="s">
        <v>6200</v>
      </c>
      <c r="D381" s="119" t="s">
        <v>5890</v>
      </c>
      <c r="E381" s="119" t="s">
        <v>6411</v>
      </c>
    </row>
    <row r="382" spans="1:5" x14ac:dyDescent="0.25">
      <c r="A382" s="119">
        <v>4215</v>
      </c>
      <c r="B382" s="119" t="s">
        <v>6412</v>
      </c>
      <c r="C382" s="119" t="s">
        <v>6254</v>
      </c>
      <c r="D382" s="119"/>
      <c r="E382" s="119" t="s">
        <v>6413</v>
      </c>
    </row>
    <row r="383" spans="1:5" ht="25.5" x14ac:dyDescent="0.25">
      <c r="A383" s="119">
        <v>4216</v>
      </c>
      <c r="B383" s="119" t="s">
        <v>6410</v>
      </c>
      <c r="C383" s="119" t="s">
        <v>6200</v>
      </c>
      <c r="D383" s="119" t="s">
        <v>5890</v>
      </c>
      <c r="E383" s="119" t="s">
        <v>6411</v>
      </c>
    </row>
    <row r="384" spans="1:5" x14ac:dyDescent="0.25">
      <c r="A384" s="119">
        <v>4216</v>
      </c>
      <c r="B384" s="119" t="s">
        <v>6412</v>
      </c>
      <c r="C384" s="119" t="s">
        <v>6254</v>
      </c>
      <c r="D384" s="119"/>
      <c r="E384" s="119" t="s">
        <v>6413</v>
      </c>
    </row>
    <row r="385" spans="1:5" ht="25.5" x14ac:dyDescent="0.25">
      <c r="A385" s="119">
        <v>4217</v>
      </c>
      <c r="B385" s="119" t="s">
        <v>6410</v>
      </c>
      <c r="C385" s="119" t="s">
        <v>6200</v>
      </c>
      <c r="D385" s="119" t="s">
        <v>5902</v>
      </c>
      <c r="E385" s="119" t="s">
        <v>6411</v>
      </c>
    </row>
    <row r="386" spans="1:5" ht="25.5" x14ac:dyDescent="0.25">
      <c r="A386" s="119">
        <v>4217</v>
      </c>
      <c r="B386" s="119" t="s">
        <v>6412</v>
      </c>
      <c r="C386" s="119" t="s">
        <v>6259</v>
      </c>
      <c r="D386" s="119"/>
      <c r="E386" s="119" t="s">
        <v>6413</v>
      </c>
    </row>
    <row r="387" spans="1:5" ht="38.25" x14ac:dyDescent="0.25">
      <c r="A387" s="119">
        <v>4218</v>
      </c>
      <c r="B387" s="119" t="s">
        <v>6410</v>
      </c>
      <c r="C387" s="119" t="s">
        <v>6260</v>
      </c>
      <c r="D387" s="119" t="s">
        <v>5904</v>
      </c>
      <c r="E387" s="119" t="s">
        <v>6411</v>
      </c>
    </row>
    <row r="388" spans="1:5" ht="25.5" x14ac:dyDescent="0.25">
      <c r="A388" s="119">
        <v>4218</v>
      </c>
      <c r="B388" s="119" t="s">
        <v>6412</v>
      </c>
      <c r="C388" s="119" t="s">
        <v>6259</v>
      </c>
      <c r="D388" s="119"/>
      <c r="E388" s="119" t="s">
        <v>6413</v>
      </c>
    </row>
    <row r="389" spans="1:5" ht="25.5" x14ac:dyDescent="0.25">
      <c r="A389" s="119">
        <v>4219</v>
      </c>
      <c r="B389" s="119" t="s">
        <v>6410</v>
      </c>
      <c r="C389" s="119" t="s">
        <v>6200</v>
      </c>
      <c r="D389" s="119" t="s">
        <v>5902</v>
      </c>
      <c r="E389" s="119" t="s">
        <v>6411</v>
      </c>
    </row>
    <row r="390" spans="1:5" ht="25.5" x14ac:dyDescent="0.25">
      <c r="A390" s="119">
        <v>4219</v>
      </c>
      <c r="B390" s="119" t="s">
        <v>6412</v>
      </c>
      <c r="C390" s="119" t="s">
        <v>6259</v>
      </c>
      <c r="D390" s="119"/>
      <c r="E390" s="119" t="s">
        <v>6413</v>
      </c>
    </row>
    <row r="391" spans="1:5" ht="38.25" x14ac:dyDescent="0.25">
      <c r="A391" s="119">
        <v>4220</v>
      </c>
      <c r="B391" s="119" t="s">
        <v>6410</v>
      </c>
      <c r="C391" s="119" t="s">
        <v>6260</v>
      </c>
      <c r="D391" s="119" t="s">
        <v>5904</v>
      </c>
      <c r="E391" s="119" t="s">
        <v>6411</v>
      </c>
    </row>
    <row r="392" spans="1:5" ht="25.5" x14ac:dyDescent="0.25">
      <c r="A392" s="119">
        <v>4220</v>
      </c>
      <c r="B392" s="119" t="s">
        <v>6412</v>
      </c>
      <c r="C392" s="119" t="s">
        <v>6259</v>
      </c>
      <c r="D392" s="119"/>
      <c r="E392" s="119" t="s">
        <v>6413</v>
      </c>
    </row>
    <row r="393" spans="1:5" ht="38.25" x14ac:dyDescent="0.25">
      <c r="A393" s="119">
        <v>4221</v>
      </c>
      <c r="B393" s="119" t="s">
        <v>6410</v>
      </c>
      <c r="C393" s="119" t="s">
        <v>6261</v>
      </c>
      <c r="D393" s="119" t="s">
        <v>5911</v>
      </c>
      <c r="E393" s="119" t="s">
        <v>6411</v>
      </c>
    </row>
    <row r="394" spans="1:5" ht="25.5" x14ac:dyDescent="0.25">
      <c r="A394" s="119">
        <v>4221</v>
      </c>
      <c r="B394" s="119" t="s">
        <v>6412</v>
      </c>
      <c r="C394" s="119" t="s">
        <v>6259</v>
      </c>
      <c r="D394" s="119"/>
      <c r="E394" s="119" t="s">
        <v>6413</v>
      </c>
    </row>
    <row r="395" spans="1:5" ht="38.25" x14ac:dyDescent="0.25">
      <c r="A395" s="119">
        <v>4222</v>
      </c>
      <c r="B395" s="119" t="s">
        <v>6410</v>
      </c>
      <c r="C395" s="119" t="s">
        <v>6262</v>
      </c>
      <c r="D395" s="119" t="s">
        <v>5913</v>
      </c>
      <c r="E395" s="119" t="s">
        <v>6411</v>
      </c>
    </row>
    <row r="396" spans="1:5" ht="25.5" x14ac:dyDescent="0.25">
      <c r="A396" s="119">
        <v>4222</v>
      </c>
      <c r="B396" s="119" t="s">
        <v>6412</v>
      </c>
      <c r="C396" s="119" t="s">
        <v>6259</v>
      </c>
      <c r="D396" s="119"/>
      <c r="E396" s="119" t="s">
        <v>6413</v>
      </c>
    </row>
    <row r="397" spans="1:5" ht="25.5" x14ac:dyDescent="0.25">
      <c r="A397" s="119">
        <v>4223</v>
      </c>
      <c r="B397" s="119" t="s">
        <v>6410</v>
      </c>
      <c r="C397" s="119" t="s">
        <v>6200</v>
      </c>
      <c r="D397" s="119" t="s">
        <v>5902</v>
      </c>
      <c r="E397" s="119" t="s">
        <v>6411</v>
      </c>
    </row>
    <row r="398" spans="1:5" ht="25.5" x14ac:dyDescent="0.25">
      <c r="A398" s="119">
        <v>4223</v>
      </c>
      <c r="B398" s="119" t="s">
        <v>6412</v>
      </c>
      <c r="C398" s="119" t="s">
        <v>6259</v>
      </c>
      <c r="D398" s="119"/>
      <c r="E398" s="119" t="s">
        <v>6413</v>
      </c>
    </row>
    <row r="399" spans="1:5" ht="25.5" x14ac:dyDescent="0.25">
      <c r="A399" s="119">
        <v>4224</v>
      </c>
      <c r="B399" s="119" t="s">
        <v>6410</v>
      </c>
      <c r="C399" s="119" t="s">
        <v>6200</v>
      </c>
      <c r="D399" s="119" t="s">
        <v>5902</v>
      </c>
      <c r="E399" s="119" t="s">
        <v>6411</v>
      </c>
    </row>
    <row r="400" spans="1:5" ht="25.5" x14ac:dyDescent="0.25">
      <c r="A400" s="119">
        <v>4224</v>
      </c>
      <c r="B400" s="119" t="s">
        <v>6412</v>
      </c>
      <c r="C400" s="119" t="s">
        <v>6259</v>
      </c>
      <c r="D400" s="119"/>
      <c r="E400" s="119" t="s">
        <v>6413</v>
      </c>
    </row>
    <row r="401" spans="1:5" ht="25.5" x14ac:dyDescent="0.25">
      <c r="A401" s="119">
        <v>4225</v>
      </c>
      <c r="B401" s="119" t="s">
        <v>6410</v>
      </c>
      <c r="C401" s="119" t="s">
        <v>6200</v>
      </c>
      <c r="D401" s="119" t="s">
        <v>5920</v>
      </c>
      <c r="E401" s="119" t="s">
        <v>6411</v>
      </c>
    </row>
    <row r="402" spans="1:5" ht="25.5" x14ac:dyDescent="0.25">
      <c r="A402" s="119">
        <v>4225</v>
      </c>
      <c r="B402" s="119" t="s">
        <v>6412</v>
      </c>
      <c r="C402" s="119" t="s">
        <v>6263</v>
      </c>
      <c r="D402" s="119"/>
      <c r="E402" s="119" t="s">
        <v>6413</v>
      </c>
    </row>
    <row r="403" spans="1:5" ht="25.5" x14ac:dyDescent="0.25">
      <c r="A403" s="119">
        <v>4226</v>
      </c>
      <c r="B403" s="119" t="s">
        <v>6410</v>
      </c>
      <c r="C403" s="119" t="s">
        <v>6200</v>
      </c>
      <c r="D403" s="119" t="s">
        <v>5923</v>
      </c>
      <c r="E403" s="119" t="s">
        <v>6411</v>
      </c>
    </row>
    <row r="404" spans="1:5" ht="25.5" x14ac:dyDescent="0.25">
      <c r="A404" s="119">
        <v>4226</v>
      </c>
      <c r="B404" s="119" t="s">
        <v>6412</v>
      </c>
      <c r="C404" s="119" t="s">
        <v>6264</v>
      </c>
      <c r="D404" s="119"/>
      <c r="E404" s="119" t="s">
        <v>6413</v>
      </c>
    </row>
    <row r="405" spans="1:5" ht="25.5" x14ac:dyDescent="0.25">
      <c r="A405" s="119">
        <v>4227</v>
      </c>
      <c r="B405" s="119" t="s">
        <v>6410</v>
      </c>
      <c r="C405" s="119" t="s">
        <v>6200</v>
      </c>
      <c r="D405" s="119" t="s">
        <v>5890</v>
      </c>
      <c r="E405" s="119" t="s">
        <v>6411</v>
      </c>
    </row>
    <row r="406" spans="1:5" x14ac:dyDescent="0.25">
      <c r="A406" s="119">
        <v>4227</v>
      </c>
      <c r="B406" s="119" t="s">
        <v>6412</v>
      </c>
      <c r="C406" s="119" t="s">
        <v>6254</v>
      </c>
      <c r="D406" s="119"/>
      <c r="E406" s="119" t="s">
        <v>6413</v>
      </c>
    </row>
    <row r="407" spans="1:5" ht="38.25" x14ac:dyDescent="0.25">
      <c r="A407" s="119">
        <v>4229</v>
      </c>
      <c r="B407" s="119" t="s">
        <v>6410</v>
      </c>
      <c r="C407" s="119" t="s">
        <v>6268</v>
      </c>
      <c r="D407" s="119" t="s">
        <v>5929</v>
      </c>
      <c r="E407" s="119" t="s">
        <v>6411</v>
      </c>
    </row>
    <row r="408" spans="1:5" x14ac:dyDescent="0.25">
      <c r="A408" s="119">
        <v>4229</v>
      </c>
      <c r="B408" s="119" t="s">
        <v>6412</v>
      </c>
      <c r="C408" s="119" t="s">
        <v>6267</v>
      </c>
      <c r="D408" s="119"/>
      <c r="E408" s="119" t="s">
        <v>6413</v>
      </c>
    </row>
    <row r="409" spans="1:5" ht="38.25" x14ac:dyDescent="0.25">
      <c r="A409" s="119">
        <v>4230</v>
      </c>
      <c r="B409" s="119" t="s">
        <v>6410</v>
      </c>
      <c r="C409" s="119" t="s">
        <v>6268</v>
      </c>
      <c r="D409" s="119" t="s">
        <v>5932</v>
      </c>
      <c r="E409" s="119" t="s">
        <v>6411</v>
      </c>
    </row>
    <row r="410" spans="1:5" x14ac:dyDescent="0.25">
      <c r="A410" s="119">
        <v>4230</v>
      </c>
      <c r="B410" s="119" t="s">
        <v>6412</v>
      </c>
      <c r="C410" s="119" t="s">
        <v>6269</v>
      </c>
      <c r="D410" s="119"/>
      <c r="E410" s="119" t="s">
        <v>6413</v>
      </c>
    </row>
    <row r="411" spans="1:5" ht="51" x14ac:dyDescent="0.25">
      <c r="A411" s="119">
        <v>4231</v>
      </c>
      <c r="B411" s="119" t="s">
        <v>6410</v>
      </c>
      <c r="C411" s="119" t="s">
        <v>6271</v>
      </c>
      <c r="D411" s="119" t="s">
        <v>5935</v>
      </c>
      <c r="E411" s="119" t="s">
        <v>6411</v>
      </c>
    </row>
    <row r="412" spans="1:5" x14ac:dyDescent="0.25">
      <c r="A412" s="119">
        <v>4231</v>
      </c>
      <c r="B412" s="119" t="s">
        <v>6412</v>
      </c>
      <c r="C412" s="119" t="s">
        <v>6270</v>
      </c>
      <c r="D412" s="119"/>
      <c r="E412" s="119" t="s">
        <v>6413</v>
      </c>
    </row>
    <row r="413" spans="1:5" ht="25.5" x14ac:dyDescent="0.25">
      <c r="A413" s="119">
        <v>4233</v>
      </c>
      <c r="B413" s="119" t="s">
        <v>6410</v>
      </c>
      <c r="C413" s="119" t="s">
        <v>6274</v>
      </c>
      <c r="D413" s="119" t="s">
        <v>5938</v>
      </c>
      <c r="E413" s="119" t="s">
        <v>6411</v>
      </c>
    </row>
    <row r="414" spans="1:5" ht="25.5" x14ac:dyDescent="0.25">
      <c r="A414" s="119">
        <v>4233</v>
      </c>
      <c r="B414" s="119" t="s">
        <v>6412</v>
      </c>
      <c r="C414" s="119" t="s">
        <v>6273</v>
      </c>
      <c r="D414" s="119"/>
      <c r="E414" s="119" t="s">
        <v>6413</v>
      </c>
    </row>
    <row r="415" spans="1:5" ht="25.5" x14ac:dyDescent="0.25">
      <c r="A415" s="119">
        <v>4234</v>
      </c>
      <c r="B415" s="119" t="s">
        <v>6410</v>
      </c>
      <c r="C415" s="119" t="s">
        <v>6274</v>
      </c>
      <c r="D415" s="119" t="s">
        <v>5938</v>
      </c>
      <c r="E415" s="119" t="s">
        <v>6411</v>
      </c>
    </row>
    <row r="416" spans="1:5" ht="25.5" x14ac:dyDescent="0.25">
      <c r="A416" s="119">
        <v>4234</v>
      </c>
      <c r="B416" s="119" t="s">
        <v>6412</v>
      </c>
      <c r="C416" s="119" t="s">
        <v>6273</v>
      </c>
      <c r="D416" s="119"/>
      <c r="E416" s="119" t="s">
        <v>6413</v>
      </c>
    </row>
    <row r="417" spans="1:5" ht="25.5" x14ac:dyDescent="0.25">
      <c r="A417" s="119">
        <v>4235</v>
      </c>
      <c r="B417" s="119" t="s">
        <v>6410</v>
      </c>
      <c r="C417" s="119" t="s">
        <v>6274</v>
      </c>
      <c r="D417" s="119" t="s">
        <v>5941</v>
      </c>
      <c r="E417" s="119" t="s">
        <v>6411</v>
      </c>
    </row>
    <row r="418" spans="1:5" ht="25.5" x14ac:dyDescent="0.25">
      <c r="A418" s="119">
        <v>4235</v>
      </c>
      <c r="B418" s="119" t="s">
        <v>6412</v>
      </c>
      <c r="C418" s="119" t="s">
        <v>6276</v>
      </c>
      <c r="D418" s="119"/>
      <c r="E418" s="119" t="s">
        <v>6413</v>
      </c>
    </row>
    <row r="419" spans="1:5" ht="25.5" x14ac:dyDescent="0.25">
      <c r="A419" s="119">
        <v>4236</v>
      </c>
      <c r="B419" s="119" t="s">
        <v>6410</v>
      </c>
      <c r="C419" s="119" t="s">
        <v>6274</v>
      </c>
      <c r="D419" s="119" t="s">
        <v>5941</v>
      </c>
      <c r="E419" s="119" t="s">
        <v>6411</v>
      </c>
    </row>
    <row r="420" spans="1:5" ht="25.5" x14ac:dyDescent="0.25">
      <c r="A420" s="119">
        <v>4236</v>
      </c>
      <c r="B420" s="119" t="s">
        <v>6412</v>
      </c>
      <c r="C420" s="119" t="s">
        <v>6277</v>
      </c>
      <c r="D420" s="119"/>
      <c r="E420" s="119" t="s">
        <v>6413</v>
      </c>
    </row>
    <row r="421" spans="1:5" ht="38.25" x14ac:dyDescent="0.25">
      <c r="A421" s="119">
        <v>4238</v>
      </c>
      <c r="B421" s="119" t="s">
        <v>6410</v>
      </c>
      <c r="C421" s="119" t="s">
        <v>6280</v>
      </c>
      <c r="D421" s="119" t="s">
        <v>5945</v>
      </c>
      <c r="E421" s="119" t="s">
        <v>6411</v>
      </c>
    </row>
    <row r="422" spans="1:5" ht="25.5" x14ac:dyDescent="0.25">
      <c r="A422" s="119">
        <v>4238</v>
      </c>
      <c r="B422" s="119" t="s">
        <v>6412</v>
      </c>
      <c r="C422" s="119" t="s">
        <v>6279</v>
      </c>
      <c r="D422" s="119"/>
      <c r="E422" s="119" t="s">
        <v>6413</v>
      </c>
    </row>
    <row r="423" spans="1:5" ht="51" x14ac:dyDescent="0.25">
      <c r="A423" s="119">
        <v>4239</v>
      </c>
      <c r="B423" s="119" t="s">
        <v>6410</v>
      </c>
      <c r="C423" s="119" t="s">
        <v>6282</v>
      </c>
      <c r="D423" s="119" t="s">
        <v>5949</v>
      </c>
      <c r="E423" s="119" t="s">
        <v>6411</v>
      </c>
    </row>
    <row r="424" spans="1:5" ht="25.5" x14ac:dyDescent="0.25">
      <c r="A424" s="119">
        <v>4239</v>
      </c>
      <c r="B424" s="119" t="s">
        <v>6412</v>
      </c>
      <c r="C424" s="119" t="s">
        <v>6281</v>
      </c>
      <c r="D424" s="119"/>
      <c r="E424" s="119" t="s">
        <v>6413</v>
      </c>
    </row>
    <row r="425" spans="1:5" ht="38.25" x14ac:dyDescent="0.25">
      <c r="A425" s="119">
        <v>4240</v>
      </c>
      <c r="B425" s="119" t="s">
        <v>6410</v>
      </c>
      <c r="C425" s="119" t="s">
        <v>6284</v>
      </c>
      <c r="D425" s="119" t="s">
        <v>5951</v>
      </c>
      <c r="E425" s="119" t="s">
        <v>6411</v>
      </c>
    </row>
    <row r="426" spans="1:5" ht="25.5" x14ac:dyDescent="0.25">
      <c r="A426" s="119">
        <v>4240</v>
      </c>
      <c r="B426" s="119" t="s">
        <v>6412</v>
      </c>
      <c r="C426" s="119" t="s">
        <v>6283</v>
      </c>
      <c r="D426" s="119"/>
      <c r="E426" s="119" t="s">
        <v>6413</v>
      </c>
    </row>
    <row r="427" spans="1:5" ht="51" x14ac:dyDescent="0.25">
      <c r="A427" s="119">
        <v>4241</v>
      </c>
      <c r="B427" s="119" t="s">
        <v>6410</v>
      </c>
      <c r="C427" s="119" t="s">
        <v>6286</v>
      </c>
      <c r="D427" s="119" t="s">
        <v>5953</v>
      </c>
      <c r="E427" s="119" t="s">
        <v>6411</v>
      </c>
    </row>
    <row r="428" spans="1:5" ht="25.5" x14ac:dyDescent="0.25">
      <c r="A428" s="119">
        <v>4241</v>
      </c>
      <c r="B428" s="119" t="s">
        <v>6412</v>
      </c>
      <c r="C428" s="119" t="s">
        <v>6285</v>
      </c>
      <c r="D428" s="119"/>
      <c r="E428" s="119" t="s">
        <v>6413</v>
      </c>
    </row>
    <row r="429" spans="1:5" ht="51" x14ac:dyDescent="0.25">
      <c r="A429" s="119">
        <v>4242</v>
      </c>
      <c r="B429" s="119" t="s">
        <v>6410</v>
      </c>
      <c r="C429" s="119" t="s">
        <v>6288</v>
      </c>
      <c r="D429" s="119" t="s">
        <v>5954</v>
      </c>
      <c r="E429" s="119" t="s">
        <v>6411</v>
      </c>
    </row>
    <row r="430" spans="1:5" ht="25.5" x14ac:dyDescent="0.25">
      <c r="A430" s="119">
        <v>4242</v>
      </c>
      <c r="B430" s="119" t="s">
        <v>6412</v>
      </c>
      <c r="C430" s="119" t="s">
        <v>6287</v>
      </c>
      <c r="D430" s="119"/>
      <c r="E430" s="119" t="s">
        <v>6413</v>
      </c>
    </row>
    <row r="431" spans="1:5" ht="51" x14ac:dyDescent="0.25">
      <c r="A431" s="119">
        <v>4243</v>
      </c>
      <c r="B431" s="119" t="s">
        <v>6410</v>
      </c>
      <c r="C431" s="119" t="s">
        <v>6289</v>
      </c>
      <c r="D431" s="119" t="s">
        <v>5956</v>
      </c>
      <c r="E431" s="119" t="s">
        <v>6411</v>
      </c>
    </row>
    <row r="432" spans="1:5" ht="25.5" x14ac:dyDescent="0.25">
      <c r="A432" s="119">
        <v>4243</v>
      </c>
      <c r="B432" s="119" t="s">
        <v>6412</v>
      </c>
      <c r="C432" s="119" t="s">
        <v>6285</v>
      </c>
      <c r="D432" s="119"/>
      <c r="E432" s="119" t="s">
        <v>6413</v>
      </c>
    </row>
    <row r="433" spans="1:5" ht="51" x14ac:dyDescent="0.25">
      <c r="A433" s="119">
        <v>4244</v>
      </c>
      <c r="B433" s="119" t="s">
        <v>6410</v>
      </c>
      <c r="C433" s="119" t="s">
        <v>6290</v>
      </c>
      <c r="D433" s="119" t="s">
        <v>5959</v>
      </c>
      <c r="E433" s="119" t="s">
        <v>6411</v>
      </c>
    </row>
    <row r="434" spans="1:5" ht="25.5" x14ac:dyDescent="0.25">
      <c r="A434" s="119">
        <v>4244</v>
      </c>
      <c r="B434" s="119" t="s">
        <v>6412</v>
      </c>
      <c r="C434" s="119" t="s">
        <v>6285</v>
      </c>
      <c r="D434" s="119"/>
      <c r="E434" s="119" t="s">
        <v>6413</v>
      </c>
    </row>
    <row r="435" spans="1:5" ht="51" x14ac:dyDescent="0.25">
      <c r="A435" s="119">
        <v>4245</v>
      </c>
      <c r="B435" s="119" t="s">
        <v>6410</v>
      </c>
      <c r="C435" s="119" t="s">
        <v>6291</v>
      </c>
      <c r="D435" s="119" t="s">
        <v>5961</v>
      </c>
      <c r="E435" s="119" t="s">
        <v>6411</v>
      </c>
    </row>
    <row r="436" spans="1:5" ht="25.5" x14ac:dyDescent="0.25">
      <c r="A436" s="119">
        <v>4245</v>
      </c>
      <c r="B436" s="119" t="s">
        <v>6412</v>
      </c>
      <c r="C436" s="119" t="s">
        <v>6285</v>
      </c>
      <c r="D436" s="119"/>
      <c r="E436" s="119" t="s">
        <v>6413</v>
      </c>
    </row>
    <row r="437" spans="1:5" ht="38.25" x14ac:dyDescent="0.25">
      <c r="A437" s="119">
        <v>4246</v>
      </c>
      <c r="B437" s="119" t="s">
        <v>6410</v>
      </c>
      <c r="C437" s="119" t="s">
        <v>6293</v>
      </c>
      <c r="D437" s="119" t="s">
        <v>5963</v>
      </c>
      <c r="E437" s="119" t="s">
        <v>6411</v>
      </c>
    </row>
    <row r="438" spans="1:5" ht="25.5" x14ac:dyDescent="0.25">
      <c r="A438" s="119">
        <v>4246</v>
      </c>
      <c r="B438" s="119" t="s">
        <v>6412</v>
      </c>
      <c r="C438" s="119" t="s">
        <v>6285</v>
      </c>
      <c r="D438" s="119"/>
      <c r="E438" s="119" t="s">
        <v>6413</v>
      </c>
    </row>
    <row r="439" spans="1:5" ht="25.5" x14ac:dyDescent="0.25">
      <c r="A439" s="119">
        <v>4247</v>
      </c>
      <c r="B439" s="119" t="s">
        <v>6410</v>
      </c>
      <c r="C439" s="119" t="s">
        <v>6295</v>
      </c>
      <c r="D439" s="119" t="s">
        <v>5965</v>
      </c>
      <c r="E439" s="119" t="s">
        <v>6411</v>
      </c>
    </row>
    <row r="440" spans="1:5" ht="25.5" x14ac:dyDescent="0.25">
      <c r="A440" s="119">
        <v>4247</v>
      </c>
      <c r="B440" s="119" t="s">
        <v>6412</v>
      </c>
      <c r="C440" s="119" t="s">
        <v>6294</v>
      </c>
      <c r="D440" s="119"/>
      <c r="E440" s="119" t="s">
        <v>6413</v>
      </c>
    </row>
    <row r="441" spans="1:5" ht="25.5" x14ac:dyDescent="0.25">
      <c r="A441" s="119">
        <v>4248</v>
      </c>
      <c r="B441" s="119" t="s">
        <v>6410</v>
      </c>
      <c r="C441" s="119" t="s">
        <v>6295</v>
      </c>
      <c r="D441" s="119" t="s">
        <v>5965</v>
      </c>
      <c r="E441" s="119" t="s">
        <v>6411</v>
      </c>
    </row>
    <row r="442" spans="1:5" ht="25.5" x14ac:dyDescent="0.25">
      <c r="A442" s="119">
        <v>4248</v>
      </c>
      <c r="B442" s="119" t="s">
        <v>6412</v>
      </c>
      <c r="C442" s="119" t="s">
        <v>6294</v>
      </c>
      <c r="D442" s="119"/>
      <c r="E442" s="119" t="s">
        <v>6413</v>
      </c>
    </row>
    <row r="443" spans="1:5" ht="25.5" x14ac:dyDescent="0.25">
      <c r="A443" s="119">
        <v>4249</v>
      </c>
      <c r="B443" s="119" t="s">
        <v>6410</v>
      </c>
      <c r="C443" s="119" t="s">
        <v>6295</v>
      </c>
      <c r="D443" s="119" t="s">
        <v>5968</v>
      </c>
      <c r="E443" s="119" t="s">
        <v>6411</v>
      </c>
    </row>
    <row r="444" spans="1:5" ht="25.5" x14ac:dyDescent="0.25">
      <c r="A444" s="119">
        <v>4249</v>
      </c>
      <c r="B444" s="119" t="s">
        <v>6412</v>
      </c>
      <c r="C444" s="119" t="s">
        <v>6297</v>
      </c>
      <c r="D444" s="119"/>
      <c r="E444" s="119" t="s">
        <v>6413</v>
      </c>
    </row>
    <row r="445" spans="1:5" ht="25.5" x14ac:dyDescent="0.25">
      <c r="A445" s="119">
        <v>4250</v>
      </c>
      <c r="B445" s="119" t="s">
        <v>6410</v>
      </c>
      <c r="C445" s="119" t="s">
        <v>6295</v>
      </c>
      <c r="D445" s="119" t="s">
        <v>5969</v>
      </c>
      <c r="E445" s="119" t="s">
        <v>6411</v>
      </c>
    </row>
    <row r="446" spans="1:5" ht="25.5" x14ac:dyDescent="0.25">
      <c r="A446" s="119">
        <v>4250</v>
      </c>
      <c r="B446" s="119" t="s">
        <v>6412</v>
      </c>
      <c r="C446" s="119" t="s">
        <v>6298</v>
      </c>
      <c r="D446" s="119"/>
      <c r="E446" s="119" t="s">
        <v>6413</v>
      </c>
    </row>
    <row r="447" spans="1:5" ht="25.5" x14ac:dyDescent="0.25">
      <c r="A447" s="119">
        <v>4251</v>
      </c>
      <c r="B447" s="119" t="s">
        <v>6410</v>
      </c>
      <c r="C447" s="119" t="s">
        <v>6295</v>
      </c>
      <c r="D447" s="119" t="s">
        <v>5969</v>
      </c>
      <c r="E447" s="119" t="s">
        <v>6411</v>
      </c>
    </row>
    <row r="448" spans="1:5" ht="25.5" x14ac:dyDescent="0.25">
      <c r="A448" s="119">
        <v>4251</v>
      </c>
      <c r="B448" s="119" t="s">
        <v>6412</v>
      </c>
      <c r="C448" s="119" t="s">
        <v>6298</v>
      </c>
      <c r="D448" s="119"/>
      <c r="E448" s="119" t="s">
        <v>6413</v>
      </c>
    </row>
    <row r="449" spans="1:5" ht="38.25" x14ac:dyDescent="0.25">
      <c r="A449" s="119">
        <v>4252</v>
      </c>
      <c r="B449" s="119" t="s">
        <v>6410</v>
      </c>
      <c r="C449" s="119" t="s">
        <v>6299</v>
      </c>
      <c r="D449" s="119" t="s">
        <v>5974</v>
      </c>
      <c r="E449" s="119" t="s">
        <v>6411</v>
      </c>
    </row>
    <row r="450" spans="1:5" ht="25.5" x14ac:dyDescent="0.25">
      <c r="A450" s="119">
        <v>4252</v>
      </c>
      <c r="B450" s="119" t="s">
        <v>6412</v>
      </c>
      <c r="C450" s="119" t="s">
        <v>6298</v>
      </c>
      <c r="D450" s="119"/>
      <c r="E450" s="119" t="s">
        <v>6413</v>
      </c>
    </row>
    <row r="451" spans="1:5" ht="38.25" x14ac:dyDescent="0.25">
      <c r="A451" s="119">
        <v>4253</v>
      </c>
      <c r="B451" s="119" t="s">
        <v>6410</v>
      </c>
      <c r="C451" s="119" t="s">
        <v>6300</v>
      </c>
      <c r="D451" s="119" t="s">
        <v>5977</v>
      </c>
      <c r="E451" s="119" t="s">
        <v>6411</v>
      </c>
    </row>
    <row r="452" spans="1:5" ht="25.5" x14ac:dyDescent="0.25">
      <c r="A452" s="119">
        <v>4253</v>
      </c>
      <c r="B452" s="119" t="s">
        <v>6412</v>
      </c>
      <c r="C452" s="119" t="s">
        <v>6298</v>
      </c>
      <c r="D452" s="119"/>
      <c r="E452" s="119" t="s">
        <v>6413</v>
      </c>
    </row>
    <row r="453" spans="1:5" ht="25.5" x14ac:dyDescent="0.25">
      <c r="A453" s="119">
        <v>4254</v>
      </c>
      <c r="B453" s="119" t="s">
        <v>6410</v>
      </c>
      <c r="C453" s="119" t="s">
        <v>6295</v>
      </c>
      <c r="D453" s="119" t="s">
        <v>5980</v>
      </c>
      <c r="E453" s="119" t="s">
        <v>6411</v>
      </c>
    </row>
    <row r="454" spans="1:5" ht="25.5" x14ac:dyDescent="0.25">
      <c r="A454" s="119">
        <v>4254</v>
      </c>
      <c r="B454" s="119" t="s">
        <v>6412</v>
      </c>
      <c r="C454" s="119" t="s">
        <v>6301</v>
      </c>
      <c r="D454" s="119"/>
      <c r="E454" s="119" t="s">
        <v>6413</v>
      </c>
    </row>
    <row r="455" spans="1:5" ht="25.5" x14ac:dyDescent="0.25">
      <c r="A455" s="119">
        <v>4255</v>
      </c>
      <c r="B455" s="119" t="s">
        <v>6410</v>
      </c>
      <c r="C455" s="119" t="s">
        <v>6295</v>
      </c>
      <c r="D455" s="119" t="s">
        <v>5980</v>
      </c>
      <c r="E455" s="119" t="s">
        <v>6411</v>
      </c>
    </row>
    <row r="456" spans="1:5" ht="25.5" x14ac:dyDescent="0.25">
      <c r="A456" s="119">
        <v>4255</v>
      </c>
      <c r="B456" s="119" t="s">
        <v>6412</v>
      </c>
      <c r="C456" s="119" t="s">
        <v>6301</v>
      </c>
      <c r="D456" s="119"/>
      <c r="E456" s="119" t="s">
        <v>6413</v>
      </c>
    </row>
    <row r="457" spans="1:5" ht="25.5" x14ac:dyDescent="0.25">
      <c r="A457" s="119">
        <v>4256</v>
      </c>
      <c r="B457" s="119" t="s">
        <v>6410</v>
      </c>
      <c r="C457" s="119" t="s">
        <v>6295</v>
      </c>
      <c r="D457" s="119" t="s">
        <v>5980</v>
      </c>
      <c r="E457" s="119" t="s">
        <v>6411</v>
      </c>
    </row>
    <row r="458" spans="1:5" ht="25.5" x14ac:dyDescent="0.25">
      <c r="A458" s="119">
        <v>4256</v>
      </c>
      <c r="B458" s="119" t="s">
        <v>6412</v>
      </c>
      <c r="C458" s="119" t="s">
        <v>6301</v>
      </c>
      <c r="D458" s="119"/>
      <c r="E458" s="119" t="s">
        <v>6413</v>
      </c>
    </row>
    <row r="459" spans="1:5" ht="25.5" x14ac:dyDescent="0.25">
      <c r="A459" s="119">
        <v>4257</v>
      </c>
      <c r="B459" s="119" t="s">
        <v>6410</v>
      </c>
      <c r="C459" s="119" t="s">
        <v>6295</v>
      </c>
      <c r="D459" s="119" t="s">
        <v>5980</v>
      </c>
      <c r="E459" s="119" t="s">
        <v>6411</v>
      </c>
    </row>
    <row r="460" spans="1:5" ht="25.5" x14ac:dyDescent="0.25">
      <c r="A460" s="119">
        <v>4257</v>
      </c>
      <c r="B460" s="119" t="s">
        <v>6412</v>
      </c>
      <c r="C460" s="119" t="s">
        <v>6301</v>
      </c>
      <c r="D460" s="119"/>
      <c r="E460" s="119" t="s">
        <v>6413</v>
      </c>
    </row>
    <row r="461" spans="1:5" ht="25.5" x14ac:dyDescent="0.25">
      <c r="A461" s="119">
        <v>4258</v>
      </c>
      <c r="B461" s="119" t="s">
        <v>6410</v>
      </c>
      <c r="C461" s="119" t="s">
        <v>6295</v>
      </c>
      <c r="D461" s="119" t="s">
        <v>5987</v>
      </c>
      <c r="E461" s="119" t="s">
        <v>6411</v>
      </c>
    </row>
    <row r="462" spans="1:5" ht="25.5" x14ac:dyDescent="0.25">
      <c r="A462" s="119">
        <v>4258</v>
      </c>
      <c r="B462" s="119" t="s">
        <v>6412</v>
      </c>
      <c r="C462" s="119" t="s">
        <v>6302</v>
      </c>
      <c r="D462" s="119"/>
      <c r="E462" s="119" t="s">
        <v>6413</v>
      </c>
    </row>
    <row r="463" spans="1:5" ht="25.5" x14ac:dyDescent="0.25">
      <c r="A463" s="119">
        <v>4259</v>
      </c>
      <c r="B463" s="119" t="s">
        <v>6410</v>
      </c>
      <c r="C463" s="119" t="s">
        <v>6295</v>
      </c>
      <c r="D463" s="119" t="s">
        <v>5987</v>
      </c>
      <c r="E463" s="119" t="s">
        <v>6411</v>
      </c>
    </row>
    <row r="464" spans="1:5" ht="25.5" x14ac:dyDescent="0.25">
      <c r="A464" s="119">
        <v>4259</v>
      </c>
      <c r="B464" s="119" t="s">
        <v>6412</v>
      </c>
      <c r="C464" s="119" t="s">
        <v>6302</v>
      </c>
      <c r="D464" s="119"/>
      <c r="E464" s="119" t="s">
        <v>6413</v>
      </c>
    </row>
    <row r="465" spans="1:5" ht="25.5" x14ac:dyDescent="0.25">
      <c r="A465" s="119">
        <v>4261</v>
      </c>
      <c r="B465" s="119" t="s">
        <v>6410</v>
      </c>
      <c r="C465" s="119" t="s">
        <v>6305</v>
      </c>
      <c r="D465" s="119" t="s">
        <v>5992</v>
      </c>
      <c r="E465" s="119" t="s">
        <v>6411</v>
      </c>
    </row>
    <row r="466" spans="1:5" ht="25.5" x14ac:dyDescent="0.25">
      <c r="A466" s="119">
        <v>4261</v>
      </c>
      <c r="B466" s="119" t="s">
        <v>6412</v>
      </c>
      <c r="C466" s="119" t="s">
        <v>6304</v>
      </c>
      <c r="D466" s="119"/>
      <c r="E466" s="119" t="s">
        <v>6413</v>
      </c>
    </row>
    <row r="467" spans="1:5" ht="25.5" x14ac:dyDescent="0.25">
      <c r="A467" s="119">
        <v>4262</v>
      </c>
      <c r="B467" s="119" t="s">
        <v>6410</v>
      </c>
      <c r="C467" s="119" t="s">
        <v>6305</v>
      </c>
      <c r="D467" s="119" t="s">
        <v>5994</v>
      </c>
      <c r="E467" s="119" t="s">
        <v>6411</v>
      </c>
    </row>
    <row r="468" spans="1:5" ht="25.5" x14ac:dyDescent="0.25">
      <c r="A468" s="119">
        <v>4262</v>
      </c>
      <c r="B468" s="119" t="s">
        <v>6412</v>
      </c>
      <c r="C468" s="119" t="s">
        <v>6306</v>
      </c>
      <c r="D468" s="119"/>
      <c r="E468" s="119" t="s">
        <v>6413</v>
      </c>
    </row>
    <row r="469" spans="1:5" ht="25.5" x14ac:dyDescent="0.25">
      <c r="A469" s="119">
        <v>4263</v>
      </c>
      <c r="B469" s="119" t="s">
        <v>6410</v>
      </c>
      <c r="C469" s="119" t="s">
        <v>6305</v>
      </c>
      <c r="D469" s="119" t="s">
        <v>5994</v>
      </c>
      <c r="E469" s="119" t="s">
        <v>6411</v>
      </c>
    </row>
    <row r="470" spans="1:5" ht="25.5" x14ac:dyDescent="0.25">
      <c r="A470" s="119">
        <v>4263</v>
      </c>
      <c r="B470" s="119" t="s">
        <v>6412</v>
      </c>
      <c r="C470" s="119" t="s">
        <v>6306</v>
      </c>
      <c r="D470" s="119"/>
      <c r="E470" s="119" t="s">
        <v>6413</v>
      </c>
    </row>
    <row r="471" spans="1:5" ht="25.5" x14ac:dyDescent="0.25">
      <c r="A471" s="119">
        <v>4264</v>
      </c>
      <c r="B471" s="119" t="s">
        <v>6410</v>
      </c>
      <c r="C471" s="119" t="s">
        <v>6305</v>
      </c>
      <c r="D471" s="119" t="s">
        <v>5994</v>
      </c>
      <c r="E471" s="119" t="s">
        <v>6411</v>
      </c>
    </row>
    <row r="472" spans="1:5" ht="25.5" x14ac:dyDescent="0.25">
      <c r="A472" s="119">
        <v>4264</v>
      </c>
      <c r="B472" s="119" t="s">
        <v>6412</v>
      </c>
      <c r="C472" s="119" t="s">
        <v>6306</v>
      </c>
      <c r="D472" s="119"/>
      <c r="E472" s="119" t="s">
        <v>6413</v>
      </c>
    </row>
    <row r="473" spans="1:5" ht="25.5" x14ac:dyDescent="0.25">
      <c r="A473" s="119">
        <v>4265</v>
      </c>
      <c r="B473" s="119" t="s">
        <v>6410</v>
      </c>
      <c r="C473" s="119" t="s">
        <v>6305</v>
      </c>
      <c r="D473" s="119" t="s">
        <v>5994</v>
      </c>
      <c r="E473" s="119" t="s">
        <v>6411</v>
      </c>
    </row>
    <row r="474" spans="1:5" ht="25.5" x14ac:dyDescent="0.25">
      <c r="A474" s="119">
        <v>4265</v>
      </c>
      <c r="B474" s="119" t="s">
        <v>6412</v>
      </c>
      <c r="C474" s="119" t="s">
        <v>6306</v>
      </c>
      <c r="D474" s="119"/>
      <c r="E474" s="119" t="s">
        <v>6413</v>
      </c>
    </row>
    <row r="475" spans="1:5" ht="25.5" x14ac:dyDescent="0.25">
      <c r="A475" s="119">
        <v>4266</v>
      </c>
      <c r="B475" s="119" t="s">
        <v>6410</v>
      </c>
      <c r="C475" s="119" t="s">
        <v>6305</v>
      </c>
      <c r="D475" s="119" t="s">
        <v>5994</v>
      </c>
      <c r="E475" s="119" t="s">
        <v>6411</v>
      </c>
    </row>
    <row r="476" spans="1:5" ht="25.5" x14ac:dyDescent="0.25">
      <c r="A476" s="119">
        <v>4266</v>
      </c>
      <c r="B476" s="119" t="s">
        <v>6412</v>
      </c>
      <c r="C476" s="119" t="s">
        <v>6306</v>
      </c>
      <c r="D476" s="119"/>
      <c r="E476" s="119" t="s">
        <v>6413</v>
      </c>
    </row>
    <row r="477" spans="1:5" ht="25.5" x14ac:dyDescent="0.25">
      <c r="A477" s="119">
        <v>4267</v>
      </c>
      <c r="B477" s="119" t="s">
        <v>6410</v>
      </c>
      <c r="C477" s="119" t="s">
        <v>6305</v>
      </c>
      <c r="D477" s="119" t="s">
        <v>6000</v>
      </c>
      <c r="E477" s="119" t="s">
        <v>6411</v>
      </c>
    </row>
    <row r="478" spans="1:5" ht="25.5" x14ac:dyDescent="0.25">
      <c r="A478" s="119">
        <v>4267</v>
      </c>
      <c r="B478" s="119" t="s">
        <v>6412</v>
      </c>
      <c r="C478" s="119" t="s">
        <v>6307</v>
      </c>
      <c r="D478" s="119"/>
      <c r="E478" s="119" t="s">
        <v>6413</v>
      </c>
    </row>
    <row r="479" spans="1:5" ht="25.5" x14ac:dyDescent="0.25">
      <c r="A479" s="119">
        <v>4268</v>
      </c>
      <c r="B479" s="119" t="s">
        <v>6410</v>
      </c>
      <c r="C479" s="119" t="s">
        <v>6305</v>
      </c>
      <c r="D479" s="119" t="s">
        <v>6000</v>
      </c>
      <c r="E479" s="119" t="s">
        <v>6411</v>
      </c>
    </row>
    <row r="480" spans="1:5" ht="25.5" x14ac:dyDescent="0.25">
      <c r="A480" s="119">
        <v>4268</v>
      </c>
      <c r="B480" s="119" t="s">
        <v>6412</v>
      </c>
      <c r="C480" s="119" t="s">
        <v>6307</v>
      </c>
      <c r="D480" s="119"/>
      <c r="E480" s="119" t="s">
        <v>6413</v>
      </c>
    </row>
    <row r="481" spans="1:5" ht="25.5" x14ac:dyDescent="0.25">
      <c r="A481" s="119">
        <v>4269</v>
      </c>
      <c r="B481" s="119" t="s">
        <v>6410</v>
      </c>
      <c r="C481" s="119" t="s">
        <v>6305</v>
      </c>
      <c r="D481" s="119" t="s">
        <v>6000</v>
      </c>
      <c r="E481" s="119" t="s">
        <v>6411</v>
      </c>
    </row>
    <row r="482" spans="1:5" ht="25.5" x14ac:dyDescent="0.25">
      <c r="A482" s="119">
        <v>4269</v>
      </c>
      <c r="B482" s="119" t="s">
        <v>6412</v>
      </c>
      <c r="C482" s="119" t="s">
        <v>6307</v>
      </c>
      <c r="D482" s="119"/>
      <c r="E482" s="119" t="s">
        <v>6413</v>
      </c>
    </row>
    <row r="483" spans="1:5" ht="25.5" x14ac:dyDescent="0.25">
      <c r="A483" s="119">
        <v>4270</v>
      </c>
      <c r="B483" s="119" t="s">
        <v>6410</v>
      </c>
      <c r="C483" s="119" t="s">
        <v>6305</v>
      </c>
      <c r="D483" s="119" t="s">
        <v>6000</v>
      </c>
      <c r="E483" s="119" t="s">
        <v>6411</v>
      </c>
    </row>
    <row r="484" spans="1:5" ht="25.5" x14ac:dyDescent="0.25">
      <c r="A484" s="119">
        <v>4270</v>
      </c>
      <c r="B484" s="119" t="s">
        <v>6412</v>
      </c>
      <c r="C484" s="119" t="s">
        <v>6307</v>
      </c>
      <c r="D484" s="119"/>
      <c r="E484" s="119" t="s">
        <v>6413</v>
      </c>
    </row>
    <row r="485" spans="1:5" ht="25.5" x14ac:dyDescent="0.25">
      <c r="A485" s="119">
        <v>4271</v>
      </c>
      <c r="B485" s="119" t="s">
        <v>6410</v>
      </c>
      <c r="C485" s="119" t="s">
        <v>6305</v>
      </c>
      <c r="D485" s="119" t="s">
        <v>6000</v>
      </c>
      <c r="E485" s="119" t="s">
        <v>6411</v>
      </c>
    </row>
    <row r="486" spans="1:5" ht="25.5" x14ac:dyDescent="0.25">
      <c r="A486" s="119">
        <v>4271</v>
      </c>
      <c r="B486" s="119" t="s">
        <v>6412</v>
      </c>
      <c r="C486" s="119" t="s">
        <v>6307</v>
      </c>
      <c r="D486" s="119"/>
      <c r="E486" s="119" t="s">
        <v>6413</v>
      </c>
    </row>
    <row r="487" spans="1:5" ht="25.5" x14ac:dyDescent="0.25">
      <c r="A487" s="119">
        <v>4272</v>
      </c>
      <c r="B487" s="119" t="s">
        <v>6410</v>
      </c>
      <c r="C487" s="119" t="s">
        <v>6305</v>
      </c>
      <c r="D487" s="119" t="s">
        <v>6006</v>
      </c>
      <c r="E487" s="119" t="s">
        <v>6411</v>
      </c>
    </row>
    <row r="488" spans="1:5" ht="25.5" x14ac:dyDescent="0.25">
      <c r="A488" s="119">
        <v>4272</v>
      </c>
      <c r="B488" s="119" t="s">
        <v>6412</v>
      </c>
      <c r="C488" s="119" t="s">
        <v>6308</v>
      </c>
      <c r="D488" s="119"/>
      <c r="E488" s="119" t="s">
        <v>6413</v>
      </c>
    </row>
    <row r="489" spans="1:5" ht="25.5" x14ac:dyDescent="0.25">
      <c r="A489" s="119">
        <v>4273</v>
      </c>
      <c r="B489" s="119" t="s">
        <v>6410</v>
      </c>
      <c r="C489" s="119" t="s">
        <v>6305</v>
      </c>
      <c r="D489" s="119" t="s">
        <v>6008</v>
      </c>
      <c r="E489" s="119" t="s">
        <v>6411</v>
      </c>
    </row>
    <row r="490" spans="1:5" ht="25.5" x14ac:dyDescent="0.25">
      <c r="A490" s="119">
        <v>4273</v>
      </c>
      <c r="B490" s="119" t="s">
        <v>6412</v>
      </c>
      <c r="C490" s="119" t="s">
        <v>6309</v>
      </c>
      <c r="D490" s="119"/>
      <c r="E490" s="119" t="s">
        <v>6413</v>
      </c>
    </row>
    <row r="491" spans="1:5" ht="25.5" x14ac:dyDescent="0.25">
      <c r="A491" s="119">
        <v>4274</v>
      </c>
      <c r="B491" s="119" t="s">
        <v>6410</v>
      </c>
      <c r="C491" s="119" t="s">
        <v>6305</v>
      </c>
      <c r="D491" s="119" t="s">
        <v>6008</v>
      </c>
      <c r="E491" s="119" t="s">
        <v>6411</v>
      </c>
    </row>
    <row r="492" spans="1:5" ht="25.5" x14ac:dyDescent="0.25">
      <c r="A492" s="119">
        <v>4274</v>
      </c>
      <c r="B492" s="119" t="s">
        <v>6412</v>
      </c>
      <c r="C492" s="119" t="s">
        <v>6309</v>
      </c>
      <c r="D492" s="119"/>
      <c r="E492" s="119" t="s">
        <v>6413</v>
      </c>
    </row>
    <row r="493" spans="1:5" ht="25.5" x14ac:dyDescent="0.25">
      <c r="A493" s="119">
        <v>4275</v>
      </c>
      <c r="B493" s="119" t="s">
        <v>6410</v>
      </c>
      <c r="C493" s="119" t="s">
        <v>6305</v>
      </c>
      <c r="D493" s="119" t="s">
        <v>6008</v>
      </c>
      <c r="E493" s="119" t="s">
        <v>6411</v>
      </c>
    </row>
    <row r="494" spans="1:5" ht="25.5" x14ac:dyDescent="0.25">
      <c r="A494" s="119">
        <v>4275</v>
      </c>
      <c r="B494" s="119" t="s">
        <v>6412</v>
      </c>
      <c r="C494" s="119" t="s">
        <v>6309</v>
      </c>
      <c r="D494" s="119"/>
      <c r="E494" s="119" t="s">
        <v>6413</v>
      </c>
    </row>
    <row r="495" spans="1:5" ht="25.5" x14ac:dyDescent="0.25">
      <c r="A495" s="119">
        <v>4276</v>
      </c>
      <c r="B495" s="119" t="s">
        <v>6410</v>
      </c>
      <c r="C495" s="119" t="s">
        <v>6305</v>
      </c>
      <c r="D495" s="119" t="s">
        <v>6008</v>
      </c>
      <c r="E495" s="119" t="s">
        <v>6411</v>
      </c>
    </row>
    <row r="496" spans="1:5" ht="25.5" x14ac:dyDescent="0.25">
      <c r="A496" s="119">
        <v>4276</v>
      </c>
      <c r="B496" s="119" t="s">
        <v>6412</v>
      </c>
      <c r="C496" s="119" t="s">
        <v>6309</v>
      </c>
      <c r="D496" s="119"/>
      <c r="E496" s="119" t="s">
        <v>6413</v>
      </c>
    </row>
    <row r="497" spans="1:5" ht="25.5" x14ac:dyDescent="0.25">
      <c r="A497" s="119">
        <v>4277</v>
      </c>
      <c r="B497" s="119" t="s">
        <v>6410</v>
      </c>
      <c r="C497" s="119" t="s">
        <v>6305</v>
      </c>
      <c r="D497" s="119" t="s">
        <v>6008</v>
      </c>
      <c r="E497" s="119" t="s">
        <v>6411</v>
      </c>
    </row>
    <row r="498" spans="1:5" ht="25.5" x14ac:dyDescent="0.25">
      <c r="A498" s="119">
        <v>4277</v>
      </c>
      <c r="B498" s="119" t="s">
        <v>6412</v>
      </c>
      <c r="C498" s="119" t="s">
        <v>6309</v>
      </c>
      <c r="D498" s="119"/>
      <c r="E498" s="119" t="s">
        <v>6413</v>
      </c>
    </row>
    <row r="499" spans="1:5" ht="25.5" x14ac:dyDescent="0.25">
      <c r="A499" s="119">
        <v>4278</v>
      </c>
      <c r="B499" s="119" t="s">
        <v>6410</v>
      </c>
      <c r="C499" s="119" t="s">
        <v>6305</v>
      </c>
      <c r="D499" s="119" t="s">
        <v>6014</v>
      </c>
      <c r="E499" s="119" t="s">
        <v>6411</v>
      </c>
    </row>
    <row r="500" spans="1:5" ht="25.5" x14ac:dyDescent="0.25">
      <c r="A500" s="119">
        <v>4278</v>
      </c>
      <c r="B500" s="119" t="s">
        <v>6412</v>
      </c>
      <c r="C500" s="119" t="s">
        <v>6310</v>
      </c>
      <c r="D500" s="119"/>
      <c r="E500" s="119" t="s">
        <v>6413</v>
      </c>
    </row>
    <row r="501" spans="1:5" ht="25.5" x14ac:dyDescent="0.25">
      <c r="A501" s="119">
        <v>4279</v>
      </c>
      <c r="B501" s="119" t="s">
        <v>6410</v>
      </c>
      <c r="C501" s="119" t="s">
        <v>6305</v>
      </c>
      <c r="D501" s="119" t="s">
        <v>6016</v>
      </c>
      <c r="E501" s="119" t="s">
        <v>6411</v>
      </c>
    </row>
    <row r="502" spans="1:5" ht="25.5" x14ac:dyDescent="0.25">
      <c r="A502" s="119">
        <v>4279</v>
      </c>
      <c r="B502" s="119" t="s">
        <v>6412</v>
      </c>
      <c r="C502" s="119" t="s">
        <v>6311</v>
      </c>
      <c r="D502" s="119"/>
      <c r="E502" s="119" t="s">
        <v>6413</v>
      </c>
    </row>
    <row r="503" spans="1:5" ht="25.5" x14ac:dyDescent="0.25">
      <c r="A503" s="119">
        <v>4280</v>
      </c>
      <c r="B503" s="119" t="s">
        <v>6410</v>
      </c>
      <c r="C503" s="119" t="s">
        <v>6305</v>
      </c>
      <c r="D503" s="119" t="s">
        <v>6016</v>
      </c>
      <c r="E503" s="119" t="s">
        <v>6411</v>
      </c>
    </row>
    <row r="504" spans="1:5" ht="25.5" x14ac:dyDescent="0.25">
      <c r="A504" s="119">
        <v>4280</v>
      </c>
      <c r="B504" s="119" t="s">
        <v>6412</v>
      </c>
      <c r="C504" s="119" t="s">
        <v>6311</v>
      </c>
      <c r="D504" s="119"/>
      <c r="E504" s="119" t="s">
        <v>6413</v>
      </c>
    </row>
    <row r="505" spans="1:5" ht="25.5" x14ac:dyDescent="0.25">
      <c r="A505" s="119">
        <v>4281</v>
      </c>
      <c r="B505" s="119" t="s">
        <v>6410</v>
      </c>
      <c r="C505" s="119" t="s">
        <v>6305</v>
      </c>
      <c r="D505" s="119" t="s">
        <v>6016</v>
      </c>
      <c r="E505" s="119" t="s">
        <v>6411</v>
      </c>
    </row>
    <row r="506" spans="1:5" ht="25.5" x14ac:dyDescent="0.25">
      <c r="A506" s="119">
        <v>4281</v>
      </c>
      <c r="B506" s="119" t="s">
        <v>6412</v>
      </c>
      <c r="C506" s="119" t="s">
        <v>6311</v>
      </c>
      <c r="D506" s="119"/>
      <c r="E506" s="119" t="s">
        <v>6413</v>
      </c>
    </row>
    <row r="507" spans="1:5" ht="25.5" x14ac:dyDescent="0.25">
      <c r="A507" s="119">
        <v>4282</v>
      </c>
      <c r="B507" s="119" t="s">
        <v>6410</v>
      </c>
      <c r="C507" s="119" t="s">
        <v>6305</v>
      </c>
      <c r="D507" s="119" t="s">
        <v>6016</v>
      </c>
      <c r="E507" s="119" t="s">
        <v>6411</v>
      </c>
    </row>
    <row r="508" spans="1:5" ht="25.5" x14ac:dyDescent="0.25">
      <c r="A508" s="119">
        <v>4282</v>
      </c>
      <c r="B508" s="119" t="s">
        <v>6412</v>
      </c>
      <c r="C508" s="119" t="s">
        <v>6311</v>
      </c>
      <c r="D508" s="119"/>
      <c r="E508" s="119" t="s">
        <v>6413</v>
      </c>
    </row>
    <row r="509" spans="1:5" ht="25.5" x14ac:dyDescent="0.25">
      <c r="A509" s="119">
        <v>4283</v>
      </c>
      <c r="B509" s="119" t="s">
        <v>6410</v>
      </c>
      <c r="C509" s="119" t="s">
        <v>6305</v>
      </c>
      <c r="D509" s="119" t="s">
        <v>6016</v>
      </c>
      <c r="E509" s="119" t="s">
        <v>6411</v>
      </c>
    </row>
    <row r="510" spans="1:5" ht="25.5" x14ac:dyDescent="0.25">
      <c r="A510" s="119">
        <v>4283</v>
      </c>
      <c r="B510" s="119" t="s">
        <v>6412</v>
      </c>
      <c r="C510" s="119" t="s">
        <v>6311</v>
      </c>
      <c r="D510" s="119"/>
      <c r="E510" s="119" t="s">
        <v>6413</v>
      </c>
    </row>
    <row r="511" spans="1:5" ht="25.5" x14ac:dyDescent="0.25">
      <c r="A511" s="119">
        <v>4284</v>
      </c>
      <c r="B511" s="119" t="s">
        <v>6410</v>
      </c>
      <c r="C511" s="119" t="s">
        <v>6305</v>
      </c>
      <c r="D511" s="119" t="s">
        <v>6016</v>
      </c>
      <c r="E511" s="119" t="s">
        <v>6411</v>
      </c>
    </row>
    <row r="512" spans="1:5" ht="25.5" x14ac:dyDescent="0.25">
      <c r="A512" s="119">
        <v>4284</v>
      </c>
      <c r="B512" s="119" t="s">
        <v>6412</v>
      </c>
      <c r="C512" s="119" t="s">
        <v>6311</v>
      </c>
      <c r="D512" s="119"/>
      <c r="E512" s="119" t="s">
        <v>6413</v>
      </c>
    </row>
    <row r="513" spans="1:5" ht="25.5" x14ac:dyDescent="0.25">
      <c r="A513" s="119">
        <v>4285</v>
      </c>
      <c r="B513" s="119" t="s">
        <v>6410</v>
      </c>
      <c r="C513" s="119" t="s">
        <v>6305</v>
      </c>
      <c r="D513" s="119" t="s">
        <v>6016</v>
      </c>
      <c r="E513" s="119" t="s">
        <v>6411</v>
      </c>
    </row>
    <row r="514" spans="1:5" ht="25.5" x14ac:dyDescent="0.25">
      <c r="A514" s="119">
        <v>4285</v>
      </c>
      <c r="B514" s="119" t="s">
        <v>6412</v>
      </c>
      <c r="C514" s="119" t="s">
        <v>6311</v>
      </c>
      <c r="D514" s="119"/>
      <c r="E514" s="119" t="s">
        <v>6413</v>
      </c>
    </row>
    <row r="515" spans="1:5" ht="25.5" x14ac:dyDescent="0.25">
      <c r="A515" s="119">
        <v>4286</v>
      </c>
      <c r="B515" s="119" t="s">
        <v>6410</v>
      </c>
      <c r="C515" s="119" t="s">
        <v>6305</v>
      </c>
      <c r="D515" s="119" t="s">
        <v>6016</v>
      </c>
      <c r="E515" s="119" t="s">
        <v>6411</v>
      </c>
    </row>
    <row r="516" spans="1:5" ht="25.5" x14ac:dyDescent="0.25">
      <c r="A516" s="119">
        <v>4286</v>
      </c>
      <c r="B516" s="119" t="s">
        <v>6412</v>
      </c>
      <c r="C516" s="119" t="s">
        <v>6311</v>
      </c>
      <c r="D516" s="119"/>
      <c r="E516" s="119" t="s">
        <v>6413</v>
      </c>
    </row>
    <row r="517" spans="1:5" ht="25.5" x14ac:dyDescent="0.25">
      <c r="A517" s="119">
        <v>4287</v>
      </c>
      <c r="B517" s="119" t="s">
        <v>6410</v>
      </c>
      <c r="C517" s="119" t="s">
        <v>6305</v>
      </c>
      <c r="D517" s="119" t="s">
        <v>6016</v>
      </c>
      <c r="E517" s="119" t="s">
        <v>6411</v>
      </c>
    </row>
    <row r="518" spans="1:5" ht="25.5" x14ac:dyDescent="0.25">
      <c r="A518" s="119">
        <v>4287</v>
      </c>
      <c r="B518" s="119" t="s">
        <v>6412</v>
      </c>
      <c r="C518" s="119" t="s">
        <v>6311</v>
      </c>
      <c r="D518" s="119"/>
      <c r="E518" s="119" t="s">
        <v>6413</v>
      </c>
    </row>
    <row r="519" spans="1:5" ht="25.5" x14ac:dyDescent="0.25">
      <c r="A519" s="119">
        <v>4288</v>
      </c>
      <c r="B519" s="119" t="s">
        <v>6410</v>
      </c>
      <c r="C519" s="119" t="s">
        <v>6305</v>
      </c>
      <c r="D519" s="119" t="s">
        <v>6016</v>
      </c>
      <c r="E519" s="119" t="s">
        <v>6411</v>
      </c>
    </row>
    <row r="520" spans="1:5" ht="25.5" x14ac:dyDescent="0.25">
      <c r="A520" s="119">
        <v>4288</v>
      </c>
      <c r="B520" s="119" t="s">
        <v>6412</v>
      </c>
      <c r="C520" s="119" t="s">
        <v>6311</v>
      </c>
      <c r="D520" s="119"/>
      <c r="E520" s="119" t="s">
        <v>6413</v>
      </c>
    </row>
    <row r="521" spans="1:5" ht="25.5" x14ac:dyDescent="0.25">
      <c r="A521" s="119">
        <v>4289</v>
      </c>
      <c r="B521" s="119" t="s">
        <v>6410</v>
      </c>
      <c r="C521" s="119" t="s">
        <v>6305</v>
      </c>
      <c r="D521" s="119" t="s">
        <v>6016</v>
      </c>
      <c r="E521" s="119" t="s">
        <v>6411</v>
      </c>
    </row>
    <row r="522" spans="1:5" ht="25.5" x14ac:dyDescent="0.25">
      <c r="A522" s="119">
        <v>4289</v>
      </c>
      <c r="B522" s="119" t="s">
        <v>6412</v>
      </c>
      <c r="C522" s="119" t="s">
        <v>6311</v>
      </c>
      <c r="D522" s="119"/>
      <c r="E522" s="119" t="s">
        <v>6413</v>
      </c>
    </row>
    <row r="523" spans="1:5" ht="25.5" x14ac:dyDescent="0.25">
      <c r="A523" s="119">
        <v>4290</v>
      </c>
      <c r="B523" s="119" t="s">
        <v>6410</v>
      </c>
      <c r="C523" s="119" t="s">
        <v>6305</v>
      </c>
      <c r="D523" s="119" t="s">
        <v>6034</v>
      </c>
      <c r="E523" s="119" t="s">
        <v>6411</v>
      </c>
    </row>
    <row r="524" spans="1:5" ht="25.5" x14ac:dyDescent="0.25">
      <c r="A524" s="119">
        <v>4290</v>
      </c>
      <c r="B524" s="119" t="s">
        <v>6412</v>
      </c>
      <c r="C524" s="119" t="s">
        <v>6312</v>
      </c>
      <c r="D524" s="119"/>
      <c r="E524" s="119" t="s">
        <v>6413</v>
      </c>
    </row>
    <row r="525" spans="1:5" ht="25.5" x14ac:dyDescent="0.25">
      <c r="A525" s="119">
        <v>4291</v>
      </c>
      <c r="B525" s="119" t="s">
        <v>6410</v>
      </c>
      <c r="C525" s="119" t="s">
        <v>6305</v>
      </c>
      <c r="D525" s="119" t="s">
        <v>6034</v>
      </c>
      <c r="E525" s="119" t="s">
        <v>6411</v>
      </c>
    </row>
    <row r="526" spans="1:5" ht="25.5" x14ac:dyDescent="0.25">
      <c r="A526" s="119">
        <v>4291</v>
      </c>
      <c r="B526" s="119" t="s">
        <v>6412</v>
      </c>
      <c r="C526" s="119" t="s">
        <v>6312</v>
      </c>
      <c r="D526" s="119"/>
      <c r="E526" s="119" t="s">
        <v>6413</v>
      </c>
    </row>
    <row r="527" spans="1:5" ht="25.5" x14ac:dyDescent="0.25">
      <c r="A527" s="119">
        <v>4292</v>
      </c>
      <c r="B527" s="119" t="s">
        <v>6410</v>
      </c>
      <c r="C527" s="119" t="s">
        <v>6305</v>
      </c>
      <c r="D527" s="119" t="s">
        <v>6034</v>
      </c>
      <c r="E527" s="119" t="s">
        <v>6411</v>
      </c>
    </row>
    <row r="528" spans="1:5" ht="25.5" x14ac:dyDescent="0.25">
      <c r="A528" s="119">
        <v>4292</v>
      </c>
      <c r="B528" s="119" t="s">
        <v>6412</v>
      </c>
      <c r="C528" s="119" t="s">
        <v>6312</v>
      </c>
      <c r="D528" s="119"/>
      <c r="E528" s="119" t="s">
        <v>6413</v>
      </c>
    </row>
    <row r="529" spans="1:5" ht="25.5" x14ac:dyDescent="0.25">
      <c r="A529" s="119">
        <v>4295</v>
      </c>
      <c r="B529" s="119" t="s">
        <v>6410</v>
      </c>
      <c r="C529" s="119" t="s">
        <v>6315</v>
      </c>
      <c r="D529" s="119" t="s">
        <v>6040</v>
      </c>
      <c r="E529" s="119" t="s">
        <v>6411</v>
      </c>
    </row>
    <row r="530" spans="1:5" ht="25.5" x14ac:dyDescent="0.25">
      <c r="A530" s="119">
        <v>4295</v>
      </c>
      <c r="B530" s="119" t="s">
        <v>6412</v>
      </c>
      <c r="C530" s="119" t="s">
        <v>6314</v>
      </c>
      <c r="D530" s="119"/>
      <c r="E530" s="119" t="s">
        <v>6413</v>
      </c>
    </row>
    <row r="531" spans="1:5" ht="25.5" x14ac:dyDescent="0.25">
      <c r="A531" s="119">
        <v>4296</v>
      </c>
      <c r="B531" s="119" t="s">
        <v>6410</v>
      </c>
      <c r="C531" s="119" t="s">
        <v>6315</v>
      </c>
      <c r="D531" s="119" t="s">
        <v>6040</v>
      </c>
      <c r="E531" s="119" t="s">
        <v>6411</v>
      </c>
    </row>
    <row r="532" spans="1:5" ht="25.5" x14ac:dyDescent="0.25">
      <c r="A532" s="119">
        <v>4296</v>
      </c>
      <c r="B532" s="119" t="s">
        <v>6412</v>
      </c>
      <c r="C532" s="119" t="s">
        <v>6314</v>
      </c>
      <c r="D532" s="119"/>
      <c r="E532" s="119" t="s">
        <v>6413</v>
      </c>
    </row>
    <row r="533" spans="1:5" ht="25.5" x14ac:dyDescent="0.25">
      <c r="A533" s="119">
        <v>4297</v>
      </c>
      <c r="B533" s="119" t="s">
        <v>6410</v>
      </c>
      <c r="C533" s="119" t="s">
        <v>6315</v>
      </c>
      <c r="D533" s="119" t="s">
        <v>6040</v>
      </c>
      <c r="E533" s="119" t="s">
        <v>6411</v>
      </c>
    </row>
    <row r="534" spans="1:5" ht="25.5" x14ac:dyDescent="0.25">
      <c r="A534" s="119">
        <v>4297</v>
      </c>
      <c r="B534" s="119" t="s">
        <v>6412</v>
      </c>
      <c r="C534" s="119" t="s">
        <v>6314</v>
      </c>
      <c r="D534" s="119"/>
      <c r="E534" s="119" t="s">
        <v>6413</v>
      </c>
    </row>
    <row r="535" spans="1:5" ht="25.5" x14ac:dyDescent="0.25">
      <c r="A535" s="119">
        <v>4298</v>
      </c>
      <c r="B535" s="119" t="s">
        <v>6410</v>
      </c>
      <c r="C535" s="119" t="s">
        <v>6315</v>
      </c>
      <c r="D535" s="119" t="s">
        <v>6043</v>
      </c>
      <c r="E535" s="119" t="s">
        <v>6411</v>
      </c>
    </row>
    <row r="536" spans="1:5" ht="25.5" x14ac:dyDescent="0.25">
      <c r="A536" s="119">
        <v>4298</v>
      </c>
      <c r="B536" s="119" t="s">
        <v>6412</v>
      </c>
      <c r="C536" s="119" t="s">
        <v>6316</v>
      </c>
      <c r="D536" s="119"/>
      <c r="E536" s="119" t="s">
        <v>6413</v>
      </c>
    </row>
    <row r="537" spans="1:5" ht="25.5" x14ac:dyDescent="0.25">
      <c r="A537" s="119">
        <v>4299</v>
      </c>
      <c r="B537" s="119" t="s">
        <v>6410</v>
      </c>
      <c r="C537" s="119" t="s">
        <v>6315</v>
      </c>
      <c r="D537" s="119" t="s">
        <v>6044</v>
      </c>
      <c r="E537" s="119" t="s">
        <v>6411</v>
      </c>
    </row>
    <row r="538" spans="1:5" ht="25.5" x14ac:dyDescent="0.25">
      <c r="A538" s="119">
        <v>4299</v>
      </c>
      <c r="B538" s="119" t="s">
        <v>6412</v>
      </c>
      <c r="C538" s="119" t="s">
        <v>6107</v>
      </c>
      <c r="D538" s="119"/>
      <c r="E538" s="119" t="s">
        <v>6413</v>
      </c>
    </row>
    <row r="539" spans="1:5" ht="25.5" x14ac:dyDescent="0.25">
      <c r="A539" s="119">
        <v>4300</v>
      </c>
      <c r="B539" s="119" t="s">
        <v>6410</v>
      </c>
      <c r="C539" s="119" t="s">
        <v>6315</v>
      </c>
      <c r="D539" s="119" t="s">
        <v>6044</v>
      </c>
      <c r="E539" s="119" t="s">
        <v>6411</v>
      </c>
    </row>
    <row r="540" spans="1:5" ht="25.5" x14ac:dyDescent="0.25">
      <c r="A540" s="119">
        <v>4300</v>
      </c>
      <c r="B540" s="119" t="s">
        <v>6412</v>
      </c>
      <c r="C540" s="119" t="s">
        <v>6107</v>
      </c>
      <c r="D540" s="119"/>
      <c r="E540" s="119" t="s">
        <v>6413</v>
      </c>
    </row>
    <row r="541" spans="1:5" ht="25.5" x14ac:dyDescent="0.25">
      <c r="A541" s="119">
        <v>4301</v>
      </c>
      <c r="B541" s="119" t="s">
        <v>6410</v>
      </c>
      <c r="C541" s="119" t="s">
        <v>6315</v>
      </c>
      <c r="D541" s="119" t="s">
        <v>6045</v>
      </c>
      <c r="E541" s="119" t="s">
        <v>6411</v>
      </c>
    </row>
    <row r="542" spans="1:5" ht="25.5" x14ac:dyDescent="0.25">
      <c r="A542" s="119">
        <v>4301</v>
      </c>
      <c r="B542" s="119" t="s">
        <v>6412</v>
      </c>
      <c r="C542" s="119" t="s">
        <v>6109</v>
      </c>
      <c r="D542" s="119"/>
      <c r="E542" s="119" t="s">
        <v>6413</v>
      </c>
    </row>
    <row r="543" spans="1:5" ht="25.5" x14ac:dyDescent="0.25">
      <c r="A543" s="119">
        <v>4302</v>
      </c>
      <c r="B543" s="119" t="s">
        <v>6410</v>
      </c>
      <c r="C543" s="119" t="s">
        <v>6315</v>
      </c>
      <c r="D543" s="119" t="s">
        <v>6046</v>
      </c>
      <c r="E543" s="119" t="s">
        <v>6411</v>
      </c>
    </row>
    <row r="544" spans="1:5" ht="25.5" x14ac:dyDescent="0.25">
      <c r="A544" s="119">
        <v>4302</v>
      </c>
      <c r="B544" s="119" t="s">
        <v>6412</v>
      </c>
      <c r="C544" s="119" t="s">
        <v>6317</v>
      </c>
      <c r="D544" s="119"/>
      <c r="E544" s="119" t="s">
        <v>6413</v>
      </c>
    </row>
    <row r="545" spans="1:5" ht="25.5" x14ac:dyDescent="0.25">
      <c r="A545" s="119">
        <v>4303</v>
      </c>
      <c r="B545" s="119" t="s">
        <v>6410</v>
      </c>
      <c r="C545" s="119" t="s">
        <v>6315</v>
      </c>
      <c r="D545" s="119" t="s">
        <v>6045</v>
      </c>
      <c r="E545" s="119" t="s">
        <v>6411</v>
      </c>
    </row>
    <row r="546" spans="1:5" ht="25.5" x14ac:dyDescent="0.25">
      <c r="A546" s="119">
        <v>4303</v>
      </c>
      <c r="B546" s="119" t="s">
        <v>6412</v>
      </c>
      <c r="C546" s="119" t="s">
        <v>6109</v>
      </c>
      <c r="D546" s="119"/>
      <c r="E546" s="119" t="s">
        <v>6413</v>
      </c>
    </row>
    <row r="547" spans="1:5" ht="25.5" x14ac:dyDescent="0.25">
      <c r="A547" s="119">
        <v>4304</v>
      </c>
      <c r="B547" s="119" t="s">
        <v>6410</v>
      </c>
      <c r="C547" s="119" t="s">
        <v>6319</v>
      </c>
      <c r="D547" s="119" t="s">
        <v>6048</v>
      </c>
      <c r="E547" s="119" t="s">
        <v>6411</v>
      </c>
    </row>
    <row r="548" spans="1:5" ht="25.5" x14ac:dyDescent="0.25">
      <c r="A548" s="119">
        <v>4304</v>
      </c>
      <c r="B548" s="119" t="s">
        <v>6412</v>
      </c>
      <c r="C548" s="119" t="s">
        <v>6318</v>
      </c>
      <c r="D548" s="119"/>
      <c r="E548" s="119" t="s">
        <v>6413</v>
      </c>
    </row>
    <row r="549" spans="1:5" ht="25.5" x14ac:dyDescent="0.25">
      <c r="A549" s="119">
        <v>4305</v>
      </c>
      <c r="B549" s="119" t="s">
        <v>6410</v>
      </c>
      <c r="C549" s="119" t="s">
        <v>6319</v>
      </c>
      <c r="D549" s="119" t="s">
        <v>6048</v>
      </c>
      <c r="E549" s="119" t="s">
        <v>6411</v>
      </c>
    </row>
    <row r="550" spans="1:5" ht="25.5" x14ac:dyDescent="0.25">
      <c r="A550" s="119">
        <v>4305</v>
      </c>
      <c r="B550" s="119" t="s">
        <v>6412</v>
      </c>
      <c r="C550" s="119" t="s">
        <v>6318</v>
      </c>
      <c r="D550" s="119"/>
      <c r="E550" s="119" t="s">
        <v>6413</v>
      </c>
    </row>
    <row r="551" spans="1:5" ht="25.5" x14ac:dyDescent="0.25">
      <c r="A551" s="119">
        <v>4306</v>
      </c>
      <c r="B551" s="119" t="s">
        <v>6410</v>
      </c>
      <c r="C551" s="119" t="s">
        <v>6319</v>
      </c>
      <c r="D551" s="119" t="s">
        <v>6048</v>
      </c>
      <c r="E551" s="119" t="s">
        <v>6411</v>
      </c>
    </row>
    <row r="552" spans="1:5" ht="25.5" x14ac:dyDescent="0.25">
      <c r="A552" s="119">
        <v>4306</v>
      </c>
      <c r="B552" s="119" t="s">
        <v>6412</v>
      </c>
      <c r="C552" s="119" t="s">
        <v>6318</v>
      </c>
      <c r="D552" s="119"/>
      <c r="E552" s="119" t="s">
        <v>6413</v>
      </c>
    </row>
    <row r="553" spans="1:5" ht="25.5" x14ac:dyDescent="0.25">
      <c r="A553" s="119">
        <v>4307</v>
      </c>
      <c r="B553" s="119" t="s">
        <v>6410</v>
      </c>
      <c r="C553" s="119" t="s">
        <v>6319</v>
      </c>
      <c r="D553" s="119" t="s">
        <v>6049</v>
      </c>
      <c r="E553" s="119" t="s">
        <v>6411</v>
      </c>
    </row>
    <row r="554" spans="1:5" ht="25.5" x14ac:dyDescent="0.25">
      <c r="A554" s="119">
        <v>4307</v>
      </c>
      <c r="B554" s="119" t="s">
        <v>6412</v>
      </c>
      <c r="C554" s="119" t="s">
        <v>6113</v>
      </c>
      <c r="D554" s="119"/>
      <c r="E554" s="119" t="s">
        <v>6413</v>
      </c>
    </row>
    <row r="555" spans="1:5" ht="25.5" x14ac:dyDescent="0.25">
      <c r="A555" s="119">
        <v>4308</v>
      </c>
      <c r="B555" s="119" t="s">
        <v>6410</v>
      </c>
      <c r="C555" s="119" t="s">
        <v>6319</v>
      </c>
      <c r="D555" s="119" t="s">
        <v>6049</v>
      </c>
      <c r="E555" s="119" t="s">
        <v>6411</v>
      </c>
    </row>
    <row r="556" spans="1:5" ht="25.5" x14ac:dyDescent="0.25">
      <c r="A556" s="119">
        <v>4308</v>
      </c>
      <c r="B556" s="119" t="s">
        <v>6412</v>
      </c>
      <c r="C556" s="119" t="s">
        <v>6113</v>
      </c>
      <c r="D556" s="119"/>
      <c r="E556" s="119" t="s">
        <v>6413</v>
      </c>
    </row>
    <row r="557" spans="1:5" ht="25.5" x14ac:dyDescent="0.25">
      <c r="A557" s="119">
        <v>4309</v>
      </c>
      <c r="B557" s="119" t="s">
        <v>6410</v>
      </c>
      <c r="C557" s="119" t="s">
        <v>6319</v>
      </c>
      <c r="D557" s="119" t="s">
        <v>6050</v>
      </c>
      <c r="E557" s="119" t="s">
        <v>6411</v>
      </c>
    </row>
    <row r="558" spans="1:5" ht="25.5" x14ac:dyDescent="0.25">
      <c r="A558" s="119">
        <v>4309</v>
      </c>
      <c r="B558" s="119" t="s">
        <v>6412</v>
      </c>
      <c r="C558" s="119" t="s">
        <v>6320</v>
      </c>
      <c r="D558" s="119"/>
      <c r="E558" s="119" t="s">
        <v>6413</v>
      </c>
    </row>
    <row r="559" spans="1:5" ht="25.5" x14ac:dyDescent="0.25">
      <c r="A559" s="119">
        <v>4310</v>
      </c>
      <c r="B559" s="119" t="s">
        <v>6410</v>
      </c>
      <c r="C559" s="119" t="s">
        <v>6319</v>
      </c>
      <c r="D559" s="119" t="s">
        <v>6048</v>
      </c>
      <c r="E559" s="119" t="s">
        <v>6411</v>
      </c>
    </row>
    <row r="560" spans="1:5" ht="25.5" x14ac:dyDescent="0.25">
      <c r="A560" s="119">
        <v>4310</v>
      </c>
      <c r="B560" s="119" t="s">
        <v>6412</v>
      </c>
      <c r="C560" s="119" t="s">
        <v>6318</v>
      </c>
      <c r="D560" s="119"/>
      <c r="E560" s="119" t="s">
        <v>6413</v>
      </c>
    </row>
    <row r="561" spans="1:5" ht="25.5" x14ac:dyDescent="0.25">
      <c r="A561" s="119">
        <v>4311</v>
      </c>
      <c r="B561" s="119" t="s">
        <v>6410</v>
      </c>
      <c r="C561" s="119" t="s">
        <v>6319</v>
      </c>
      <c r="D561" s="119" t="s">
        <v>6048</v>
      </c>
      <c r="E561" s="119" t="s">
        <v>6411</v>
      </c>
    </row>
    <row r="562" spans="1:5" ht="25.5" x14ac:dyDescent="0.25">
      <c r="A562" s="119">
        <v>4311</v>
      </c>
      <c r="B562" s="119" t="s">
        <v>6412</v>
      </c>
      <c r="C562" s="119" t="s">
        <v>6318</v>
      </c>
      <c r="D562" s="119"/>
      <c r="E562" s="119" t="s">
        <v>6413</v>
      </c>
    </row>
    <row r="563" spans="1:5" ht="25.5" x14ac:dyDescent="0.25">
      <c r="A563" s="119">
        <v>4312</v>
      </c>
      <c r="B563" s="119" t="s">
        <v>6410</v>
      </c>
      <c r="C563" s="119" t="s">
        <v>6319</v>
      </c>
      <c r="D563" s="119" t="s">
        <v>6048</v>
      </c>
      <c r="E563" s="119" t="s">
        <v>6411</v>
      </c>
    </row>
    <row r="564" spans="1:5" ht="25.5" x14ac:dyDescent="0.25">
      <c r="A564" s="119">
        <v>4312</v>
      </c>
      <c r="B564" s="119" t="s">
        <v>6412</v>
      </c>
      <c r="C564" s="119" t="s">
        <v>6318</v>
      </c>
      <c r="D564" s="119"/>
      <c r="E564" s="119" t="s">
        <v>6413</v>
      </c>
    </row>
    <row r="565" spans="1:5" ht="25.5" x14ac:dyDescent="0.25">
      <c r="A565" s="119">
        <v>4313</v>
      </c>
      <c r="B565" s="119" t="s">
        <v>6410</v>
      </c>
      <c r="C565" s="119" t="s">
        <v>6319</v>
      </c>
      <c r="D565" s="119" t="s">
        <v>6048</v>
      </c>
      <c r="E565" s="119" t="s">
        <v>6411</v>
      </c>
    </row>
    <row r="566" spans="1:5" ht="25.5" x14ac:dyDescent="0.25">
      <c r="A566" s="119">
        <v>4313</v>
      </c>
      <c r="B566" s="119" t="s">
        <v>6412</v>
      </c>
      <c r="C566" s="119" t="s">
        <v>6318</v>
      </c>
      <c r="D566" s="119"/>
      <c r="E566" s="119" t="s">
        <v>6413</v>
      </c>
    </row>
    <row r="567" spans="1:5" ht="25.5" x14ac:dyDescent="0.25">
      <c r="A567" s="119">
        <v>4314</v>
      </c>
      <c r="B567" s="119" t="s">
        <v>6410</v>
      </c>
      <c r="C567" s="119" t="s">
        <v>6319</v>
      </c>
      <c r="D567" s="119" t="s">
        <v>6049</v>
      </c>
      <c r="E567" s="119" t="s">
        <v>6411</v>
      </c>
    </row>
    <row r="568" spans="1:5" ht="25.5" x14ac:dyDescent="0.25">
      <c r="A568" s="119">
        <v>4314</v>
      </c>
      <c r="B568" s="119" t="s">
        <v>6412</v>
      </c>
      <c r="C568" s="119" t="s">
        <v>6113</v>
      </c>
      <c r="D568" s="119"/>
      <c r="E568" s="119" t="s">
        <v>6413</v>
      </c>
    </row>
    <row r="569" spans="1:5" ht="25.5" x14ac:dyDescent="0.25">
      <c r="A569" s="119">
        <v>4315</v>
      </c>
      <c r="B569" s="119" t="s">
        <v>6410</v>
      </c>
      <c r="C569" s="119" t="s">
        <v>6319</v>
      </c>
      <c r="D569" s="119" t="s">
        <v>6054</v>
      </c>
      <c r="E569" s="119" t="s">
        <v>6411</v>
      </c>
    </row>
    <row r="570" spans="1:5" ht="25.5" x14ac:dyDescent="0.25">
      <c r="A570" s="119">
        <v>4315</v>
      </c>
      <c r="B570" s="119" t="s">
        <v>6412</v>
      </c>
      <c r="C570" s="119" t="s">
        <v>6321</v>
      </c>
      <c r="D570" s="119"/>
      <c r="E570" s="119" t="s">
        <v>6413</v>
      </c>
    </row>
    <row r="571" spans="1:5" ht="25.5" x14ac:dyDescent="0.25">
      <c r="A571" s="119">
        <v>4316</v>
      </c>
      <c r="B571" s="119" t="s">
        <v>6410</v>
      </c>
      <c r="C571" s="119" t="s">
        <v>6319</v>
      </c>
      <c r="D571" s="119" t="s">
        <v>6055</v>
      </c>
      <c r="E571" s="119" t="s">
        <v>6411</v>
      </c>
    </row>
    <row r="572" spans="1:5" ht="25.5" x14ac:dyDescent="0.25">
      <c r="A572" s="119">
        <v>4316</v>
      </c>
      <c r="B572" s="119" t="s">
        <v>6412</v>
      </c>
      <c r="C572" s="119" t="s">
        <v>6322</v>
      </c>
      <c r="D572" s="119"/>
      <c r="E572" s="119" t="s">
        <v>6413</v>
      </c>
    </row>
    <row r="573" spans="1:5" ht="25.5" x14ac:dyDescent="0.25">
      <c r="A573" s="119">
        <v>4317</v>
      </c>
      <c r="B573" s="119" t="s">
        <v>6410</v>
      </c>
      <c r="C573" s="119" t="s">
        <v>6319</v>
      </c>
      <c r="D573" s="119" t="s">
        <v>6057</v>
      </c>
      <c r="E573" s="119" t="s">
        <v>6411</v>
      </c>
    </row>
    <row r="574" spans="1:5" ht="25.5" x14ac:dyDescent="0.25">
      <c r="A574" s="119">
        <v>4317</v>
      </c>
      <c r="B574" s="119" t="s">
        <v>6412</v>
      </c>
      <c r="C574" s="119" t="s">
        <v>6323</v>
      </c>
      <c r="D574" s="119"/>
      <c r="E574" s="119" t="s">
        <v>6413</v>
      </c>
    </row>
    <row r="575" spans="1:5" ht="25.5" x14ac:dyDescent="0.25">
      <c r="A575" s="119">
        <v>4318</v>
      </c>
      <c r="B575" s="119" t="s">
        <v>6410</v>
      </c>
      <c r="C575" s="119" t="s">
        <v>6319</v>
      </c>
      <c r="D575" s="119" t="s">
        <v>6057</v>
      </c>
      <c r="E575" s="119" t="s">
        <v>6411</v>
      </c>
    </row>
    <row r="576" spans="1:5" ht="25.5" x14ac:dyDescent="0.25">
      <c r="A576" s="119">
        <v>4318</v>
      </c>
      <c r="B576" s="119" t="s">
        <v>6412</v>
      </c>
      <c r="C576" s="119" t="s">
        <v>6323</v>
      </c>
      <c r="D576" s="119"/>
      <c r="E576" s="119" t="s">
        <v>6413</v>
      </c>
    </row>
    <row r="577" spans="1:5" ht="25.5" x14ac:dyDescent="0.25">
      <c r="A577" s="119">
        <v>4319</v>
      </c>
      <c r="B577" s="119" t="s">
        <v>6410</v>
      </c>
      <c r="C577" s="119" t="s">
        <v>6319</v>
      </c>
      <c r="D577" s="119" t="s">
        <v>6057</v>
      </c>
      <c r="E577" s="119" t="s">
        <v>6411</v>
      </c>
    </row>
    <row r="578" spans="1:5" ht="25.5" x14ac:dyDescent="0.25">
      <c r="A578" s="119">
        <v>4319</v>
      </c>
      <c r="B578" s="119" t="s">
        <v>6412</v>
      </c>
      <c r="C578" s="119" t="s">
        <v>6323</v>
      </c>
      <c r="D578" s="119"/>
      <c r="E578" s="119" t="s">
        <v>6413</v>
      </c>
    </row>
    <row r="579" spans="1:5" ht="25.5" x14ac:dyDescent="0.25">
      <c r="A579" s="119">
        <v>4320</v>
      </c>
      <c r="B579" s="119" t="s">
        <v>6410</v>
      </c>
      <c r="C579" s="119" t="s">
        <v>6319</v>
      </c>
      <c r="D579" s="119" t="s">
        <v>6057</v>
      </c>
      <c r="E579" s="119" t="s">
        <v>6411</v>
      </c>
    </row>
    <row r="580" spans="1:5" ht="25.5" x14ac:dyDescent="0.25">
      <c r="A580" s="119">
        <v>4320</v>
      </c>
      <c r="B580" s="119" t="s">
        <v>6412</v>
      </c>
      <c r="C580" s="119" t="s">
        <v>6323</v>
      </c>
      <c r="D580" s="119"/>
      <c r="E580" s="119" t="s">
        <v>6413</v>
      </c>
    </row>
    <row r="581" spans="1:5" ht="25.5" x14ac:dyDescent="0.25">
      <c r="A581" s="119">
        <v>4321</v>
      </c>
      <c r="B581" s="119" t="s">
        <v>6410</v>
      </c>
      <c r="C581" s="119" t="s">
        <v>6319</v>
      </c>
      <c r="D581" s="119" t="s">
        <v>6061</v>
      </c>
      <c r="E581" s="119" t="s">
        <v>6411</v>
      </c>
    </row>
    <row r="582" spans="1:5" ht="25.5" x14ac:dyDescent="0.25">
      <c r="A582" s="119">
        <v>4321</v>
      </c>
      <c r="B582" s="119" t="s">
        <v>6412</v>
      </c>
      <c r="C582" s="119" t="s">
        <v>6114</v>
      </c>
      <c r="D582" s="119"/>
      <c r="E582" s="119" t="s">
        <v>6413</v>
      </c>
    </row>
    <row r="583" spans="1:5" ht="25.5" x14ac:dyDescent="0.25">
      <c r="A583" s="119">
        <v>4322</v>
      </c>
      <c r="B583" s="119" t="s">
        <v>6410</v>
      </c>
      <c r="C583" s="119" t="s">
        <v>6325</v>
      </c>
      <c r="D583" s="119" t="s">
        <v>6062</v>
      </c>
      <c r="E583" s="119" t="s">
        <v>6411</v>
      </c>
    </row>
    <row r="584" spans="1:5" ht="25.5" x14ac:dyDescent="0.25">
      <c r="A584" s="119">
        <v>4322</v>
      </c>
      <c r="B584" s="119" t="s">
        <v>6412</v>
      </c>
      <c r="C584" s="119" t="s">
        <v>6324</v>
      </c>
      <c r="D584" s="119"/>
      <c r="E584" s="119" t="s">
        <v>6413</v>
      </c>
    </row>
    <row r="585" spans="1:5" ht="25.5" x14ac:dyDescent="0.25">
      <c r="A585" s="119">
        <v>4323</v>
      </c>
      <c r="B585" s="119" t="s">
        <v>6410</v>
      </c>
      <c r="C585" s="119" t="s">
        <v>6325</v>
      </c>
      <c r="D585" s="119" t="s">
        <v>6062</v>
      </c>
      <c r="E585" s="119" t="s">
        <v>6411</v>
      </c>
    </row>
    <row r="586" spans="1:5" ht="25.5" x14ac:dyDescent="0.25">
      <c r="A586" s="119">
        <v>4323</v>
      </c>
      <c r="B586" s="119" t="s">
        <v>6412</v>
      </c>
      <c r="C586" s="119" t="s">
        <v>6324</v>
      </c>
      <c r="D586" s="119"/>
      <c r="E586" s="119" t="s">
        <v>6413</v>
      </c>
    </row>
    <row r="587" spans="1:5" ht="25.5" x14ac:dyDescent="0.25">
      <c r="A587" s="119">
        <v>4324</v>
      </c>
      <c r="B587" s="119" t="s">
        <v>6410</v>
      </c>
      <c r="C587" s="119" t="s">
        <v>6325</v>
      </c>
      <c r="D587" s="119" t="s">
        <v>6063</v>
      </c>
      <c r="E587" s="119" t="s">
        <v>6411</v>
      </c>
    </row>
    <row r="588" spans="1:5" ht="25.5" x14ac:dyDescent="0.25">
      <c r="A588" s="119">
        <v>4324</v>
      </c>
      <c r="B588" s="119" t="s">
        <v>6412</v>
      </c>
      <c r="C588" s="119" t="s">
        <v>6326</v>
      </c>
      <c r="D588" s="119"/>
      <c r="E588" s="119" t="s">
        <v>6413</v>
      </c>
    </row>
    <row r="589" spans="1:5" ht="25.5" x14ac:dyDescent="0.25">
      <c r="A589" s="119">
        <v>4325</v>
      </c>
      <c r="B589" s="119" t="s">
        <v>6410</v>
      </c>
      <c r="C589" s="119" t="s">
        <v>6325</v>
      </c>
      <c r="D589" s="119" t="s">
        <v>6064</v>
      </c>
      <c r="E589" s="119" t="s">
        <v>6411</v>
      </c>
    </row>
    <row r="590" spans="1:5" ht="25.5" x14ac:dyDescent="0.25">
      <c r="A590" s="119">
        <v>4325</v>
      </c>
      <c r="B590" s="119" t="s">
        <v>6412</v>
      </c>
      <c r="C590" s="119" t="s">
        <v>6327</v>
      </c>
      <c r="D590" s="119"/>
      <c r="E590" s="119" t="s">
        <v>6413</v>
      </c>
    </row>
    <row r="591" spans="1:5" ht="25.5" x14ac:dyDescent="0.25">
      <c r="A591" s="119">
        <v>4326</v>
      </c>
      <c r="B591" s="119" t="s">
        <v>6410</v>
      </c>
      <c r="C591" s="119" t="s">
        <v>6325</v>
      </c>
      <c r="D591" s="119" t="s">
        <v>6066</v>
      </c>
      <c r="E591" s="119" t="s">
        <v>6411</v>
      </c>
    </row>
    <row r="592" spans="1:5" ht="25.5" x14ac:dyDescent="0.25">
      <c r="A592" s="119">
        <v>4326</v>
      </c>
      <c r="B592" s="119" t="s">
        <v>6412</v>
      </c>
      <c r="C592" s="119" t="s">
        <v>6328</v>
      </c>
      <c r="D592" s="119"/>
      <c r="E592" s="119" t="s">
        <v>6413</v>
      </c>
    </row>
    <row r="593" spans="1:5" ht="25.5" x14ac:dyDescent="0.25">
      <c r="A593" s="119">
        <v>4327</v>
      </c>
      <c r="B593" s="119" t="s">
        <v>6410</v>
      </c>
      <c r="C593" s="119" t="s">
        <v>6325</v>
      </c>
      <c r="D593" s="119" t="s">
        <v>6066</v>
      </c>
      <c r="E593" s="119" t="s">
        <v>6411</v>
      </c>
    </row>
    <row r="594" spans="1:5" ht="25.5" x14ac:dyDescent="0.25">
      <c r="A594" s="119">
        <v>4327</v>
      </c>
      <c r="B594" s="119" t="s">
        <v>6412</v>
      </c>
      <c r="C594" s="119" t="s">
        <v>6328</v>
      </c>
      <c r="D594" s="119"/>
      <c r="E594" s="119" t="s">
        <v>6413</v>
      </c>
    </row>
    <row r="595" spans="1:5" ht="25.5" x14ac:dyDescent="0.25">
      <c r="A595" s="119">
        <v>4328</v>
      </c>
      <c r="B595" s="119" t="s">
        <v>6410</v>
      </c>
      <c r="C595" s="119" t="s">
        <v>6325</v>
      </c>
      <c r="D595" s="119" t="s">
        <v>6070</v>
      </c>
      <c r="E595" s="119" t="s">
        <v>6411</v>
      </c>
    </row>
    <row r="596" spans="1:5" ht="25.5" x14ac:dyDescent="0.25">
      <c r="A596" s="119">
        <v>4328</v>
      </c>
      <c r="B596" s="119" t="s">
        <v>6412</v>
      </c>
      <c r="C596" s="119" t="s">
        <v>6329</v>
      </c>
      <c r="D596" s="119"/>
      <c r="E596" s="119" t="s">
        <v>6413</v>
      </c>
    </row>
    <row r="597" spans="1:5" ht="25.5" x14ac:dyDescent="0.25">
      <c r="A597" s="119">
        <v>4329</v>
      </c>
      <c r="B597" s="119" t="s">
        <v>6410</v>
      </c>
      <c r="C597" s="119" t="s">
        <v>6325</v>
      </c>
      <c r="D597" s="119" t="s">
        <v>6070</v>
      </c>
      <c r="E597" s="119" t="s">
        <v>6411</v>
      </c>
    </row>
    <row r="598" spans="1:5" ht="25.5" x14ac:dyDescent="0.25">
      <c r="A598" s="119">
        <v>4329</v>
      </c>
      <c r="B598" s="119" t="s">
        <v>6412</v>
      </c>
      <c r="C598" s="119" t="s">
        <v>6329</v>
      </c>
      <c r="D598" s="119"/>
      <c r="E598" s="119" t="s">
        <v>6413</v>
      </c>
    </row>
    <row r="599" spans="1:5" ht="25.5" x14ac:dyDescent="0.25">
      <c r="A599" s="119">
        <v>4330</v>
      </c>
      <c r="B599" s="119" t="s">
        <v>6410</v>
      </c>
      <c r="C599" s="119" t="s">
        <v>6325</v>
      </c>
      <c r="D599" s="119" t="s">
        <v>6070</v>
      </c>
      <c r="E599" s="119" t="s">
        <v>6411</v>
      </c>
    </row>
    <row r="600" spans="1:5" ht="25.5" x14ac:dyDescent="0.25">
      <c r="A600" s="119">
        <v>4330</v>
      </c>
      <c r="B600" s="119" t="s">
        <v>6412</v>
      </c>
      <c r="C600" s="119" t="s">
        <v>6329</v>
      </c>
      <c r="D600" s="119"/>
      <c r="E600" s="119" t="s">
        <v>6413</v>
      </c>
    </row>
    <row r="601" spans="1:5" ht="25.5" x14ac:dyDescent="0.25">
      <c r="A601" s="119">
        <v>4331</v>
      </c>
      <c r="B601" s="119" t="s">
        <v>6410</v>
      </c>
      <c r="C601" s="119" t="s">
        <v>6325</v>
      </c>
      <c r="D601" s="119" t="s">
        <v>6070</v>
      </c>
      <c r="E601" s="119" t="s">
        <v>6411</v>
      </c>
    </row>
    <row r="602" spans="1:5" ht="25.5" x14ac:dyDescent="0.25">
      <c r="A602" s="119">
        <v>4331</v>
      </c>
      <c r="B602" s="119" t="s">
        <v>6412</v>
      </c>
      <c r="C602" s="119" t="s">
        <v>6329</v>
      </c>
      <c r="D602" s="119"/>
      <c r="E602" s="119" t="s">
        <v>6413</v>
      </c>
    </row>
    <row r="603" spans="1:5" ht="25.5" x14ac:dyDescent="0.25">
      <c r="A603" s="119">
        <v>4332</v>
      </c>
      <c r="B603" s="119" t="s">
        <v>6410</v>
      </c>
      <c r="C603" s="119" t="s">
        <v>6325</v>
      </c>
      <c r="D603" s="119" t="s">
        <v>6070</v>
      </c>
      <c r="E603" s="119" t="s">
        <v>6411</v>
      </c>
    </row>
    <row r="604" spans="1:5" ht="25.5" x14ac:dyDescent="0.25">
      <c r="A604" s="119">
        <v>4332</v>
      </c>
      <c r="B604" s="119" t="s">
        <v>6412</v>
      </c>
      <c r="C604" s="119" t="s">
        <v>6329</v>
      </c>
      <c r="D604" s="119"/>
      <c r="E604" s="119" t="s">
        <v>6413</v>
      </c>
    </row>
    <row r="605" spans="1:5" ht="25.5" x14ac:dyDescent="0.25">
      <c r="A605" s="119">
        <v>4333</v>
      </c>
      <c r="B605" s="119" t="s">
        <v>6410</v>
      </c>
      <c r="C605" s="119" t="s">
        <v>6325</v>
      </c>
      <c r="D605" s="119" t="s">
        <v>6070</v>
      </c>
      <c r="E605" s="119" t="s">
        <v>6411</v>
      </c>
    </row>
    <row r="606" spans="1:5" ht="25.5" x14ac:dyDescent="0.25">
      <c r="A606" s="119">
        <v>4333</v>
      </c>
      <c r="B606" s="119" t="s">
        <v>6412</v>
      </c>
      <c r="C606" s="119" t="s">
        <v>6329</v>
      </c>
      <c r="D606" s="119"/>
      <c r="E606" s="119" t="s">
        <v>6413</v>
      </c>
    </row>
    <row r="607" spans="1:5" ht="38.25" x14ac:dyDescent="0.25">
      <c r="A607" s="119">
        <v>4334</v>
      </c>
      <c r="B607" s="119" t="s">
        <v>6410</v>
      </c>
      <c r="C607" s="119" t="s">
        <v>6330</v>
      </c>
      <c r="D607" s="119" t="s">
        <v>6079</v>
      </c>
      <c r="E607" s="119" t="s">
        <v>6411</v>
      </c>
    </row>
    <row r="608" spans="1:5" ht="25.5" x14ac:dyDescent="0.25">
      <c r="A608" s="119">
        <v>4334</v>
      </c>
      <c r="B608" s="119" t="s">
        <v>6412</v>
      </c>
      <c r="C608" s="119" t="s">
        <v>6273</v>
      </c>
      <c r="D608" s="119"/>
      <c r="E608" s="119" t="s">
        <v>6413</v>
      </c>
    </row>
    <row r="609" spans="1:5" ht="38.25" x14ac:dyDescent="0.25">
      <c r="A609" s="119">
        <v>4335</v>
      </c>
      <c r="B609" s="119" t="s">
        <v>6410</v>
      </c>
      <c r="C609" s="119" t="s">
        <v>6330</v>
      </c>
      <c r="D609" s="119" t="s">
        <v>6079</v>
      </c>
      <c r="E609" s="119" t="s">
        <v>6411</v>
      </c>
    </row>
    <row r="610" spans="1:5" ht="25.5" x14ac:dyDescent="0.25">
      <c r="A610" s="119">
        <v>4335</v>
      </c>
      <c r="B610" s="119" t="s">
        <v>6412</v>
      </c>
      <c r="C610" s="119" t="s">
        <v>6331</v>
      </c>
      <c r="D610" s="119"/>
      <c r="E610" s="119" t="s">
        <v>6413</v>
      </c>
    </row>
    <row r="611" spans="1:5" ht="38.25" x14ac:dyDescent="0.25">
      <c r="A611" s="119">
        <v>4336</v>
      </c>
      <c r="B611" s="119" t="s">
        <v>6410</v>
      </c>
      <c r="C611" s="119" t="s">
        <v>6330</v>
      </c>
      <c r="D611" s="119" t="s">
        <v>6082</v>
      </c>
      <c r="E611" s="119" t="s">
        <v>6411</v>
      </c>
    </row>
    <row r="612" spans="1:5" ht="25.5" x14ac:dyDescent="0.25">
      <c r="A612" s="119">
        <v>4336</v>
      </c>
      <c r="B612" s="119" t="s">
        <v>6412</v>
      </c>
      <c r="C612" s="119" t="s">
        <v>6276</v>
      </c>
      <c r="D612" s="119"/>
      <c r="E612" s="119" t="s">
        <v>6413</v>
      </c>
    </row>
    <row r="613" spans="1:5" ht="38.25" x14ac:dyDescent="0.25">
      <c r="A613" s="119">
        <v>4337</v>
      </c>
      <c r="B613" s="119" t="s">
        <v>6410</v>
      </c>
      <c r="C613" s="119" t="s">
        <v>6330</v>
      </c>
      <c r="D613" s="119" t="s">
        <v>6082</v>
      </c>
      <c r="E613" s="119" t="s">
        <v>6411</v>
      </c>
    </row>
    <row r="614" spans="1:5" ht="25.5" x14ac:dyDescent="0.25">
      <c r="A614" s="119">
        <v>4337</v>
      </c>
      <c r="B614" s="119" t="s">
        <v>6412</v>
      </c>
      <c r="C614" s="119" t="s">
        <v>6277</v>
      </c>
      <c r="D614" s="119"/>
      <c r="E614" s="119" t="s">
        <v>6413</v>
      </c>
    </row>
    <row r="615" spans="1:5" ht="25.5" x14ac:dyDescent="0.25">
      <c r="A615" s="119">
        <v>47</v>
      </c>
      <c r="B615" s="119" t="s">
        <v>6429</v>
      </c>
      <c r="C615" s="119" t="s">
        <v>6430</v>
      </c>
      <c r="D615" s="119" t="s">
        <v>73</v>
      </c>
      <c r="E615" s="119" t="s">
        <v>6431</v>
      </c>
    </row>
    <row r="616" spans="1:5" ht="25.5" x14ac:dyDescent="0.25">
      <c r="A616" s="119">
        <v>48</v>
      </c>
      <c r="B616" s="119" t="s">
        <v>6429</v>
      </c>
      <c r="C616" s="119" t="s">
        <v>6430</v>
      </c>
      <c r="D616" s="119" t="s">
        <v>73</v>
      </c>
      <c r="E616" s="119" t="s">
        <v>6431</v>
      </c>
    </row>
    <row r="617" spans="1:5" ht="25.5" x14ac:dyDescent="0.25">
      <c r="A617" s="119">
        <v>57</v>
      </c>
      <c r="B617" s="119" t="s">
        <v>6412</v>
      </c>
      <c r="C617" s="119" t="s">
        <v>6432</v>
      </c>
      <c r="D617" s="119" t="s">
        <v>88</v>
      </c>
      <c r="E617" s="119" t="s">
        <v>6431</v>
      </c>
    </row>
    <row r="618" spans="1:5" ht="25.5" x14ac:dyDescent="0.25">
      <c r="A618" s="119">
        <v>58</v>
      </c>
      <c r="B618" s="119" t="s">
        <v>6412</v>
      </c>
      <c r="C618" s="119" t="s">
        <v>6433</v>
      </c>
      <c r="D618" s="119" t="s">
        <v>90</v>
      </c>
      <c r="E618" s="119" t="s">
        <v>6431</v>
      </c>
    </row>
    <row r="619" spans="1:5" ht="25.5" x14ac:dyDescent="0.25">
      <c r="A619" s="119">
        <v>59</v>
      </c>
      <c r="B619" s="119" t="s">
        <v>6412</v>
      </c>
      <c r="C619" s="119" t="s">
        <v>6434</v>
      </c>
      <c r="D619" s="119" t="s">
        <v>91</v>
      </c>
      <c r="E619" s="119" t="s">
        <v>6431</v>
      </c>
    </row>
    <row r="620" spans="1:5" ht="25.5" x14ac:dyDescent="0.25">
      <c r="A620" s="119">
        <v>60</v>
      </c>
      <c r="B620" s="119" t="s">
        <v>6412</v>
      </c>
      <c r="C620" s="119" t="s">
        <v>6435</v>
      </c>
      <c r="D620" s="119" t="s">
        <v>92</v>
      </c>
      <c r="E620" s="119" t="s">
        <v>6431</v>
      </c>
    </row>
    <row r="621" spans="1:5" ht="25.5" x14ac:dyDescent="0.25">
      <c r="A621" s="119">
        <v>61</v>
      </c>
      <c r="B621" s="119" t="s">
        <v>6412</v>
      </c>
      <c r="C621" s="119" t="s">
        <v>6436</v>
      </c>
      <c r="D621" s="119" t="s">
        <v>93</v>
      </c>
      <c r="E621" s="119" t="s">
        <v>6431</v>
      </c>
    </row>
    <row r="622" spans="1:5" ht="25.5" x14ac:dyDescent="0.25">
      <c r="A622" s="119">
        <v>62</v>
      </c>
      <c r="B622" s="119" t="s">
        <v>6412</v>
      </c>
      <c r="C622" s="119" t="s">
        <v>6437</v>
      </c>
      <c r="D622" s="119" t="s">
        <v>94</v>
      </c>
      <c r="E622" s="119" t="s">
        <v>6431</v>
      </c>
    </row>
    <row r="623" spans="1:5" ht="25.5" x14ac:dyDescent="0.25">
      <c r="A623" s="119">
        <v>63</v>
      </c>
      <c r="B623" s="119" t="s">
        <v>6412</v>
      </c>
      <c r="C623" s="119" t="s">
        <v>6438</v>
      </c>
      <c r="D623" s="119" t="s">
        <v>95</v>
      </c>
      <c r="E623" s="119" t="s">
        <v>6431</v>
      </c>
    </row>
    <row r="624" spans="1:5" ht="25.5" x14ac:dyDescent="0.25">
      <c r="A624" s="119">
        <v>64</v>
      </c>
      <c r="B624" s="119" t="s">
        <v>6412</v>
      </c>
      <c r="C624" s="119" t="s">
        <v>6439</v>
      </c>
      <c r="D624" s="119" t="s">
        <v>96</v>
      </c>
      <c r="E624" s="119" t="s">
        <v>6431</v>
      </c>
    </row>
    <row r="625" spans="1:5" ht="25.5" x14ac:dyDescent="0.25">
      <c r="A625" s="119">
        <v>65</v>
      </c>
      <c r="B625" s="119" t="s">
        <v>6412</v>
      </c>
      <c r="C625" s="119" t="s">
        <v>6440</v>
      </c>
      <c r="D625" s="119" t="s">
        <v>97</v>
      </c>
      <c r="E625" s="119" t="s">
        <v>6431</v>
      </c>
    </row>
    <row r="626" spans="1:5" ht="25.5" x14ac:dyDescent="0.25">
      <c r="A626" s="119">
        <v>66</v>
      </c>
      <c r="B626" s="119" t="s">
        <v>6412</v>
      </c>
      <c r="C626" s="119" t="s">
        <v>6441</v>
      </c>
      <c r="D626" s="119" t="s">
        <v>98</v>
      </c>
      <c r="E626" s="119" t="s">
        <v>6431</v>
      </c>
    </row>
    <row r="627" spans="1:5" ht="25.5" x14ac:dyDescent="0.25">
      <c r="A627" s="119">
        <v>67</v>
      </c>
      <c r="B627" s="119" t="s">
        <v>6412</v>
      </c>
      <c r="C627" s="119" t="s">
        <v>6442</v>
      </c>
      <c r="D627" s="119" t="s">
        <v>99</v>
      </c>
      <c r="E627" s="119" t="s">
        <v>6431</v>
      </c>
    </row>
    <row r="628" spans="1:5" ht="25.5" x14ac:dyDescent="0.25">
      <c r="A628" s="119">
        <v>68</v>
      </c>
      <c r="B628" s="119" t="s">
        <v>6412</v>
      </c>
      <c r="C628" s="119" t="s">
        <v>6443</v>
      </c>
      <c r="D628" s="119" t="s">
        <v>100</v>
      </c>
      <c r="E628" s="119" t="s">
        <v>6431</v>
      </c>
    </row>
    <row r="629" spans="1:5" ht="25.5" x14ac:dyDescent="0.25">
      <c r="A629" s="119">
        <v>69</v>
      </c>
      <c r="B629" s="119" t="s">
        <v>6412</v>
      </c>
      <c r="C629" s="119" t="s">
        <v>6444</v>
      </c>
      <c r="D629" s="119" t="s">
        <v>101</v>
      </c>
      <c r="E629" s="119" t="s">
        <v>6431</v>
      </c>
    </row>
    <row r="630" spans="1:5" ht="25.5" x14ac:dyDescent="0.25">
      <c r="A630" s="119">
        <v>70</v>
      </c>
      <c r="B630" s="119" t="s">
        <v>6412</v>
      </c>
      <c r="C630" s="119" t="s">
        <v>6445</v>
      </c>
      <c r="D630" s="119" t="s">
        <v>102</v>
      </c>
      <c r="E630" s="119" t="s">
        <v>6431</v>
      </c>
    </row>
    <row r="631" spans="1:5" ht="25.5" x14ac:dyDescent="0.25">
      <c r="A631" s="119">
        <v>71</v>
      </c>
      <c r="B631" s="119" t="s">
        <v>6412</v>
      </c>
      <c r="C631" s="119" t="s">
        <v>6446</v>
      </c>
      <c r="D631" s="119" t="s">
        <v>103</v>
      </c>
      <c r="E631" s="119" t="s">
        <v>6431</v>
      </c>
    </row>
    <row r="632" spans="1:5" ht="25.5" x14ac:dyDescent="0.25">
      <c r="A632" s="119">
        <v>72</v>
      </c>
      <c r="B632" s="119" t="s">
        <v>6412</v>
      </c>
      <c r="C632" s="119" t="s">
        <v>6447</v>
      </c>
      <c r="D632" s="119" t="s">
        <v>104</v>
      </c>
      <c r="E632" s="119" t="s">
        <v>6431</v>
      </c>
    </row>
    <row r="633" spans="1:5" ht="25.5" x14ac:dyDescent="0.25">
      <c r="A633" s="119">
        <v>73</v>
      </c>
      <c r="B633" s="119" t="s">
        <v>6412</v>
      </c>
      <c r="C633" s="119" t="s">
        <v>6448</v>
      </c>
      <c r="D633" s="119" t="s">
        <v>105</v>
      </c>
      <c r="E633" s="119" t="s">
        <v>6431</v>
      </c>
    </row>
    <row r="634" spans="1:5" ht="25.5" x14ac:dyDescent="0.25">
      <c r="A634" s="119">
        <v>77</v>
      </c>
      <c r="B634" s="119" t="s">
        <v>6429</v>
      </c>
      <c r="C634" s="119" t="s">
        <v>6449</v>
      </c>
      <c r="D634" s="119" t="s">
        <v>113</v>
      </c>
      <c r="E634" s="119" t="s">
        <v>6431</v>
      </c>
    </row>
    <row r="635" spans="1:5" ht="25.5" x14ac:dyDescent="0.25">
      <c r="A635" s="119">
        <v>78</v>
      </c>
      <c r="B635" s="119" t="s">
        <v>6429</v>
      </c>
      <c r="C635" s="119" t="s">
        <v>6450</v>
      </c>
      <c r="D635" s="119" t="s">
        <v>115</v>
      </c>
      <c r="E635" s="119" t="s">
        <v>6431</v>
      </c>
    </row>
    <row r="636" spans="1:5" ht="25.5" x14ac:dyDescent="0.25">
      <c r="A636" s="119">
        <v>79</v>
      </c>
      <c r="B636" s="119" t="s">
        <v>6429</v>
      </c>
      <c r="C636" s="119" t="s">
        <v>6451</v>
      </c>
      <c r="D636" s="119" t="s">
        <v>117</v>
      </c>
      <c r="E636" s="119" t="s">
        <v>6431</v>
      </c>
    </row>
    <row r="637" spans="1:5" ht="25.5" x14ac:dyDescent="0.25">
      <c r="A637" s="119">
        <v>85</v>
      </c>
      <c r="B637" s="119" t="s">
        <v>6429</v>
      </c>
      <c r="C637" s="119" t="s">
        <v>6452</v>
      </c>
      <c r="D637" s="119" t="s">
        <v>127</v>
      </c>
      <c r="E637" s="119" t="s">
        <v>6431</v>
      </c>
    </row>
    <row r="638" spans="1:5" ht="25.5" x14ac:dyDescent="0.25">
      <c r="A638" s="119">
        <v>86</v>
      </c>
      <c r="B638" s="119" t="s">
        <v>6429</v>
      </c>
      <c r="C638" s="119" t="s">
        <v>6453</v>
      </c>
      <c r="D638" s="119" t="s">
        <v>128</v>
      </c>
      <c r="E638" s="119" t="s">
        <v>6431</v>
      </c>
    </row>
    <row r="639" spans="1:5" ht="25.5" x14ac:dyDescent="0.25">
      <c r="A639" s="119">
        <v>88</v>
      </c>
      <c r="B639" s="119" t="s">
        <v>6429</v>
      </c>
      <c r="C639" s="119" t="s">
        <v>6454</v>
      </c>
      <c r="D639" s="119" t="s">
        <v>130</v>
      </c>
      <c r="E639" s="119" t="s">
        <v>6431</v>
      </c>
    </row>
    <row r="640" spans="1:5" ht="25.5" x14ac:dyDescent="0.25">
      <c r="A640" s="119">
        <v>89</v>
      </c>
      <c r="B640" s="119" t="s">
        <v>6429</v>
      </c>
      <c r="C640" s="119" t="s">
        <v>6455</v>
      </c>
      <c r="D640" s="119" t="s">
        <v>132</v>
      </c>
      <c r="E640" s="119" t="s">
        <v>6431</v>
      </c>
    </row>
    <row r="641" spans="1:5" ht="25.5" x14ac:dyDescent="0.25">
      <c r="A641" s="119">
        <v>90</v>
      </c>
      <c r="B641" s="119" t="s">
        <v>6429</v>
      </c>
      <c r="C641" s="119" t="s">
        <v>6456</v>
      </c>
      <c r="D641" s="119" t="s">
        <v>134</v>
      </c>
      <c r="E641" s="119" t="s">
        <v>6431</v>
      </c>
    </row>
    <row r="642" spans="1:5" ht="25.5" x14ac:dyDescent="0.25">
      <c r="A642" s="119">
        <v>94</v>
      </c>
      <c r="B642" s="119" t="s">
        <v>6429</v>
      </c>
      <c r="C642" s="119" t="s">
        <v>6457</v>
      </c>
      <c r="D642" s="119" t="s">
        <v>143</v>
      </c>
      <c r="E642" s="119" t="s">
        <v>6431</v>
      </c>
    </row>
    <row r="643" spans="1:5" ht="25.5" x14ac:dyDescent="0.25">
      <c r="A643" s="119">
        <v>104</v>
      </c>
      <c r="B643" s="119" t="s">
        <v>6429</v>
      </c>
      <c r="C643" s="119" t="s">
        <v>6458</v>
      </c>
      <c r="D643" s="119" t="s">
        <v>159</v>
      </c>
      <c r="E643" s="119" t="s">
        <v>6431</v>
      </c>
    </row>
    <row r="644" spans="1:5" ht="25.5" x14ac:dyDescent="0.25">
      <c r="A644" s="119">
        <v>152</v>
      </c>
      <c r="B644" s="119" t="s">
        <v>6412</v>
      </c>
      <c r="C644" s="119" t="s">
        <v>6432</v>
      </c>
      <c r="D644" s="119" t="s">
        <v>88</v>
      </c>
      <c r="E644" s="119" t="s">
        <v>6431</v>
      </c>
    </row>
    <row r="645" spans="1:5" ht="25.5" x14ac:dyDescent="0.25">
      <c r="A645" s="119">
        <v>153</v>
      </c>
      <c r="B645" s="119" t="s">
        <v>6412</v>
      </c>
      <c r="C645" s="119" t="s">
        <v>6436</v>
      </c>
      <c r="D645" s="119" t="s">
        <v>93</v>
      </c>
      <c r="E645" s="119" t="s">
        <v>6431</v>
      </c>
    </row>
    <row r="646" spans="1:5" ht="25.5" x14ac:dyDescent="0.25">
      <c r="A646" s="119">
        <v>154</v>
      </c>
      <c r="B646" s="119" t="s">
        <v>6412</v>
      </c>
      <c r="C646" s="119" t="s">
        <v>6459</v>
      </c>
      <c r="D646" s="119" t="s">
        <v>199</v>
      </c>
      <c r="E646" s="119" t="s">
        <v>6431</v>
      </c>
    </row>
    <row r="647" spans="1:5" ht="25.5" x14ac:dyDescent="0.25">
      <c r="A647" s="119">
        <v>155</v>
      </c>
      <c r="B647" s="119" t="s">
        <v>6412</v>
      </c>
      <c r="C647" s="119" t="s">
        <v>6460</v>
      </c>
      <c r="D647" s="119" t="s">
        <v>200</v>
      </c>
      <c r="E647" s="119" t="s">
        <v>6431</v>
      </c>
    </row>
    <row r="648" spans="1:5" ht="25.5" x14ac:dyDescent="0.25">
      <c r="A648" s="119">
        <v>156</v>
      </c>
      <c r="B648" s="119" t="s">
        <v>6412</v>
      </c>
      <c r="C648" s="119" t="s">
        <v>6461</v>
      </c>
      <c r="D648" s="119" t="s">
        <v>201</v>
      </c>
      <c r="E648" s="119" t="s">
        <v>6431</v>
      </c>
    </row>
    <row r="649" spans="1:5" ht="25.5" x14ac:dyDescent="0.25">
      <c r="A649" s="119">
        <v>157</v>
      </c>
      <c r="B649" s="119" t="s">
        <v>6412</v>
      </c>
      <c r="C649" s="119" t="s">
        <v>6462</v>
      </c>
      <c r="D649" s="119" t="s">
        <v>202</v>
      </c>
      <c r="E649" s="119" t="s">
        <v>6431</v>
      </c>
    </row>
    <row r="650" spans="1:5" ht="25.5" x14ac:dyDescent="0.25">
      <c r="A650" s="119">
        <v>168</v>
      </c>
      <c r="B650" s="119" t="s">
        <v>6429</v>
      </c>
      <c r="C650" s="119" t="s">
        <v>6456</v>
      </c>
      <c r="D650" s="119" t="s">
        <v>134</v>
      </c>
      <c r="E650" s="119" t="s">
        <v>6431</v>
      </c>
    </row>
    <row r="651" spans="1:5" ht="25.5" x14ac:dyDescent="0.25">
      <c r="A651" s="119">
        <v>169</v>
      </c>
      <c r="B651" s="119" t="s">
        <v>6429</v>
      </c>
      <c r="C651" s="119" t="s">
        <v>6463</v>
      </c>
      <c r="D651" s="119" t="s">
        <v>212</v>
      </c>
      <c r="E651" s="119" t="s">
        <v>6431</v>
      </c>
    </row>
    <row r="652" spans="1:5" ht="25.5" x14ac:dyDescent="0.25">
      <c r="A652" s="119">
        <v>236</v>
      </c>
      <c r="B652" s="119" t="s">
        <v>6429</v>
      </c>
      <c r="C652" s="119" t="s">
        <v>6464</v>
      </c>
      <c r="D652" s="119" t="s">
        <v>338</v>
      </c>
      <c r="E652" s="119" t="s">
        <v>6431</v>
      </c>
    </row>
    <row r="653" spans="1:5" ht="25.5" x14ac:dyDescent="0.25">
      <c r="A653" s="119">
        <v>238</v>
      </c>
      <c r="B653" s="119" t="s">
        <v>6429</v>
      </c>
      <c r="C653" s="119" t="s">
        <v>6465</v>
      </c>
      <c r="D653" s="119" t="s">
        <v>343</v>
      </c>
      <c r="E653" s="119" t="s">
        <v>6431</v>
      </c>
    </row>
    <row r="654" spans="1:5" ht="25.5" x14ac:dyDescent="0.25">
      <c r="A654" s="119">
        <v>241</v>
      </c>
      <c r="B654" s="119" t="s">
        <v>6429</v>
      </c>
      <c r="C654" s="119" t="s">
        <v>6466</v>
      </c>
      <c r="D654" s="119" t="s">
        <v>348</v>
      </c>
      <c r="E654" s="119" t="s">
        <v>6431</v>
      </c>
    </row>
    <row r="655" spans="1:5" ht="25.5" x14ac:dyDescent="0.25">
      <c r="A655" s="119">
        <v>243</v>
      </c>
      <c r="B655" s="119" t="s">
        <v>6429</v>
      </c>
      <c r="C655" s="119" t="s">
        <v>6467</v>
      </c>
      <c r="D655" s="119" t="s">
        <v>351</v>
      </c>
      <c r="E655" s="119" t="s">
        <v>6431</v>
      </c>
    </row>
    <row r="656" spans="1:5" ht="25.5" x14ac:dyDescent="0.25">
      <c r="A656" s="119">
        <v>244</v>
      </c>
      <c r="B656" s="119" t="s">
        <v>6429</v>
      </c>
      <c r="C656" s="119" t="s">
        <v>6468</v>
      </c>
      <c r="D656" s="119" t="s">
        <v>353</v>
      </c>
      <c r="E656" s="119" t="s">
        <v>6431</v>
      </c>
    </row>
    <row r="657" spans="1:5" ht="25.5" x14ac:dyDescent="0.25">
      <c r="A657" s="119">
        <v>263</v>
      </c>
      <c r="B657" s="119" t="s">
        <v>6429</v>
      </c>
      <c r="C657" s="119" t="s">
        <v>6469</v>
      </c>
      <c r="D657" s="119" t="s">
        <v>380</v>
      </c>
      <c r="E657" s="119" t="s">
        <v>6431</v>
      </c>
    </row>
    <row r="658" spans="1:5" ht="25.5" x14ac:dyDescent="0.25">
      <c r="A658" s="119">
        <v>264</v>
      </c>
      <c r="B658" s="119" t="s">
        <v>6429</v>
      </c>
      <c r="C658" s="119" t="s">
        <v>6470</v>
      </c>
      <c r="D658" s="119" t="s">
        <v>382</v>
      </c>
      <c r="E658" s="119" t="s">
        <v>6431</v>
      </c>
    </row>
    <row r="659" spans="1:5" ht="25.5" x14ac:dyDescent="0.25">
      <c r="A659" s="119">
        <v>265</v>
      </c>
      <c r="B659" s="119" t="s">
        <v>6429</v>
      </c>
      <c r="C659" s="119" t="s">
        <v>6471</v>
      </c>
      <c r="D659" s="119" t="s">
        <v>383</v>
      </c>
      <c r="E659" s="119" t="s">
        <v>6431</v>
      </c>
    </row>
    <row r="660" spans="1:5" ht="25.5" x14ac:dyDescent="0.25">
      <c r="A660" s="119">
        <v>266</v>
      </c>
      <c r="B660" s="119" t="s">
        <v>6429</v>
      </c>
      <c r="C660" s="119" t="s">
        <v>6472</v>
      </c>
      <c r="D660" s="119" t="s">
        <v>384</v>
      </c>
      <c r="E660" s="119" t="s">
        <v>6431</v>
      </c>
    </row>
    <row r="661" spans="1:5" ht="25.5" x14ac:dyDescent="0.25">
      <c r="A661" s="119">
        <v>267</v>
      </c>
      <c r="B661" s="119" t="s">
        <v>6429</v>
      </c>
      <c r="C661" s="119" t="s">
        <v>6473</v>
      </c>
      <c r="D661" s="119" t="s">
        <v>385</v>
      </c>
      <c r="E661" s="119" t="s">
        <v>6431</v>
      </c>
    </row>
    <row r="662" spans="1:5" ht="25.5" x14ac:dyDescent="0.25">
      <c r="A662" s="119">
        <v>268</v>
      </c>
      <c r="B662" s="119" t="s">
        <v>6429</v>
      </c>
      <c r="C662" s="119" t="s">
        <v>6474</v>
      </c>
      <c r="D662" s="119" t="s">
        <v>386</v>
      </c>
      <c r="E662" s="119" t="s">
        <v>6431</v>
      </c>
    </row>
    <row r="663" spans="1:5" ht="25.5" x14ac:dyDescent="0.25">
      <c r="A663" s="119">
        <v>269</v>
      </c>
      <c r="B663" s="119" t="s">
        <v>6429</v>
      </c>
      <c r="C663" s="119" t="s">
        <v>6475</v>
      </c>
      <c r="D663" s="119" t="s">
        <v>387</v>
      </c>
      <c r="E663" s="119" t="s">
        <v>6431</v>
      </c>
    </row>
    <row r="664" spans="1:5" ht="25.5" x14ac:dyDescent="0.25">
      <c r="A664" s="119">
        <v>270</v>
      </c>
      <c r="B664" s="119" t="s">
        <v>6429</v>
      </c>
      <c r="C664" s="119" t="s">
        <v>6476</v>
      </c>
      <c r="D664" s="119" t="s">
        <v>388</v>
      </c>
      <c r="E664" s="119" t="s">
        <v>6431</v>
      </c>
    </row>
    <row r="665" spans="1:5" ht="25.5" x14ac:dyDescent="0.25">
      <c r="A665" s="119">
        <v>271</v>
      </c>
      <c r="B665" s="119" t="s">
        <v>6429</v>
      </c>
      <c r="C665" s="119" t="s">
        <v>6477</v>
      </c>
      <c r="D665" s="119" t="s">
        <v>389</v>
      </c>
      <c r="E665" s="119" t="s">
        <v>6431</v>
      </c>
    </row>
    <row r="666" spans="1:5" ht="25.5" x14ac:dyDescent="0.25">
      <c r="A666" s="119">
        <v>292</v>
      </c>
      <c r="B666" s="119" t="s">
        <v>6429</v>
      </c>
      <c r="C666" s="119" t="s">
        <v>6478</v>
      </c>
      <c r="D666" s="119" t="s">
        <v>411</v>
      </c>
      <c r="E666" s="119" t="s">
        <v>6431</v>
      </c>
    </row>
    <row r="667" spans="1:5" ht="25.5" x14ac:dyDescent="0.25">
      <c r="A667" s="119">
        <v>293</v>
      </c>
      <c r="B667" s="119" t="s">
        <v>6429</v>
      </c>
      <c r="C667" s="119" t="s">
        <v>6479</v>
      </c>
      <c r="D667" s="119" t="s">
        <v>412</v>
      </c>
      <c r="E667" s="119" t="s">
        <v>6431</v>
      </c>
    </row>
    <row r="668" spans="1:5" ht="25.5" x14ac:dyDescent="0.25">
      <c r="A668" s="119">
        <v>294</v>
      </c>
      <c r="B668" s="119" t="s">
        <v>6429</v>
      </c>
      <c r="C668" s="119" t="s">
        <v>6480</v>
      </c>
      <c r="D668" s="119" t="s">
        <v>413</v>
      </c>
      <c r="E668" s="119" t="s">
        <v>6431</v>
      </c>
    </row>
    <row r="669" spans="1:5" ht="25.5" x14ac:dyDescent="0.25">
      <c r="A669" s="119">
        <v>295</v>
      </c>
      <c r="B669" s="119" t="s">
        <v>6429</v>
      </c>
      <c r="C669" s="119" t="s">
        <v>6481</v>
      </c>
      <c r="D669" s="119" t="s">
        <v>414</v>
      </c>
      <c r="E669" s="119" t="s">
        <v>6431</v>
      </c>
    </row>
    <row r="670" spans="1:5" ht="25.5" x14ac:dyDescent="0.25">
      <c r="A670" s="119">
        <v>296</v>
      </c>
      <c r="B670" s="119" t="s">
        <v>6429</v>
      </c>
      <c r="C670" s="119" t="s">
        <v>6482</v>
      </c>
      <c r="D670" s="119" t="s">
        <v>415</v>
      </c>
      <c r="E670" s="119" t="s">
        <v>6431</v>
      </c>
    </row>
    <row r="671" spans="1:5" ht="25.5" x14ac:dyDescent="0.25">
      <c r="A671" s="119">
        <v>297</v>
      </c>
      <c r="B671" s="119" t="s">
        <v>6429</v>
      </c>
      <c r="C671" s="119" t="s">
        <v>6483</v>
      </c>
      <c r="D671" s="119" t="s">
        <v>416</v>
      </c>
      <c r="E671" s="119" t="s">
        <v>6431</v>
      </c>
    </row>
    <row r="672" spans="1:5" ht="25.5" x14ac:dyDescent="0.25">
      <c r="A672" s="119">
        <v>298</v>
      </c>
      <c r="B672" s="119" t="s">
        <v>6429</v>
      </c>
      <c r="C672" s="119" t="s">
        <v>6484</v>
      </c>
      <c r="D672" s="119" t="s">
        <v>417</v>
      </c>
      <c r="E672" s="119" t="s">
        <v>6431</v>
      </c>
    </row>
    <row r="673" spans="1:5" ht="25.5" x14ac:dyDescent="0.25">
      <c r="A673" s="119">
        <v>299</v>
      </c>
      <c r="B673" s="119" t="s">
        <v>6429</v>
      </c>
      <c r="C673" s="119" t="s">
        <v>6485</v>
      </c>
      <c r="D673" s="119" t="s">
        <v>418</v>
      </c>
      <c r="E673" s="119" t="s">
        <v>6431</v>
      </c>
    </row>
    <row r="674" spans="1:5" ht="25.5" x14ac:dyDescent="0.25">
      <c r="A674" s="119">
        <v>300</v>
      </c>
      <c r="B674" s="119" t="s">
        <v>6429</v>
      </c>
      <c r="C674" s="119" t="s">
        <v>6486</v>
      </c>
      <c r="D674" s="119" t="s">
        <v>419</v>
      </c>
      <c r="E674" s="119" t="s">
        <v>6431</v>
      </c>
    </row>
    <row r="675" spans="1:5" ht="25.5" x14ac:dyDescent="0.25">
      <c r="A675" s="119">
        <v>315</v>
      </c>
      <c r="B675" s="119" t="s">
        <v>6429</v>
      </c>
      <c r="C675" s="119" t="s">
        <v>6487</v>
      </c>
      <c r="D675" s="119" t="s">
        <v>436</v>
      </c>
      <c r="E675" s="119" t="s">
        <v>6431</v>
      </c>
    </row>
    <row r="676" spans="1:5" ht="25.5" x14ac:dyDescent="0.25">
      <c r="A676" s="119">
        <v>316</v>
      </c>
      <c r="B676" s="119" t="s">
        <v>6429</v>
      </c>
      <c r="C676" s="119" t="s">
        <v>6488</v>
      </c>
      <c r="D676" s="119" t="s">
        <v>438</v>
      </c>
      <c r="E676" s="119" t="s">
        <v>6431</v>
      </c>
    </row>
    <row r="677" spans="1:5" ht="25.5" x14ac:dyDescent="0.25">
      <c r="A677" s="119">
        <v>317</v>
      </c>
      <c r="B677" s="119" t="s">
        <v>6429</v>
      </c>
      <c r="C677" s="119" t="s">
        <v>6489</v>
      </c>
      <c r="D677" s="119" t="s">
        <v>439</v>
      </c>
      <c r="E677" s="119" t="s">
        <v>6431</v>
      </c>
    </row>
    <row r="678" spans="1:5" ht="25.5" x14ac:dyDescent="0.25">
      <c r="A678" s="119">
        <v>330</v>
      </c>
      <c r="B678" s="119" t="s">
        <v>6429</v>
      </c>
      <c r="C678" s="119" t="s">
        <v>6490</v>
      </c>
      <c r="D678" s="119" t="s">
        <v>455</v>
      </c>
      <c r="E678" s="119" t="s">
        <v>6431</v>
      </c>
    </row>
    <row r="679" spans="1:5" ht="25.5" x14ac:dyDescent="0.25">
      <c r="A679" s="119">
        <v>331</v>
      </c>
      <c r="B679" s="119" t="s">
        <v>6429</v>
      </c>
      <c r="C679" s="119" t="s">
        <v>6491</v>
      </c>
      <c r="D679" s="119" t="s">
        <v>457</v>
      </c>
      <c r="E679" s="119" t="s">
        <v>6431</v>
      </c>
    </row>
    <row r="680" spans="1:5" ht="25.5" x14ac:dyDescent="0.25">
      <c r="A680" s="119">
        <v>332</v>
      </c>
      <c r="B680" s="119" t="s">
        <v>6429</v>
      </c>
      <c r="C680" s="119" t="s">
        <v>6492</v>
      </c>
      <c r="D680" s="119" t="s">
        <v>458</v>
      </c>
      <c r="E680" s="119" t="s">
        <v>6431</v>
      </c>
    </row>
    <row r="681" spans="1:5" ht="25.5" x14ac:dyDescent="0.25">
      <c r="A681" s="119">
        <v>337</v>
      </c>
      <c r="B681" s="119" t="s">
        <v>6429</v>
      </c>
      <c r="C681" s="119" t="s">
        <v>6493</v>
      </c>
      <c r="D681" s="119" t="s">
        <v>465</v>
      </c>
      <c r="E681" s="119" t="s">
        <v>6431</v>
      </c>
    </row>
    <row r="682" spans="1:5" ht="25.5" x14ac:dyDescent="0.25">
      <c r="A682" s="119">
        <v>338</v>
      </c>
      <c r="B682" s="119" t="s">
        <v>6429</v>
      </c>
      <c r="C682" s="119" t="s">
        <v>6494</v>
      </c>
      <c r="D682" s="119" t="s">
        <v>466</v>
      </c>
      <c r="E682" s="119" t="s">
        <v>6431</v>
      </c>
    </row>
    <row r="683" spans="1:5" ht="25.5" x14ac:dyDescent="0.25">
      <c r="A683" s="119">
        <v>339</v>
      </c>
      <c r="B683" s="119" t="s">
        <v>6429</v>
      </c>
      <c r="C683" s="119" t="s">
        <v>6495</v>
      </c>
      <c r="D683" s="119" t="s">
        <v>467</v>
      </c>
      <c r="E683" s="119" t="s">
        <v>6431</v>
      </c>
    </row>
    <row r="684" spans="1:5" ht="25.5" x14ac:dyDescent="0.25">
      <c r="A684" s="119">
        <v>342</v>
      </c>
      <c r="B684" s="119" t="s">
        <v>6429</v>
      </c>
      <c r="C684" s="119" t="s">
        <v>6496</v>
      </c>
      <c r="D684" s="119" t="s">
        <v>470</v>
      </c>
      <c r="E684" s="119" t="s">
        <v>6431</v>
      </c>
    </row>
    <row r="685" spans="1:5" ht="25.5" x14ac:dyDescent="0.25">
      <c r="A685" s="119">
        <v>366</v>
      </c>
      <c r="B685" s="119" t="s">
        <v>6429</v>
      </c>
      <c r="C685" s="119" t="s">
        <v>6497</v>
      </c>
      <c r="D685" s="119" t="s">
        <v>482</v>
      </c>
      <c r="E685" s="119" t="s">
        <v>6431</v>
      </c>
    </row>
    <row r="686" spans="1:5" ht="25.5" x14ac:dyDescent="0.25">
      <c r="A686" s="119">
        <v>367</v>
      </c>
      <c r="B686" s="119" t="s">
        <v>6429</v>
      </c>
      <c r="C686" s="119" t="s">
        <v>6498</v>
      </c>
      <c r="D686" s="119" t="s">
        <v>483</v>
      </c>
      <c r="E686" s="119" t="s">
        <v>6431</v>
      </c>
    </row>
    <row r="687" spans="1:5" ht="25.5" x14ac:dyDescent="0.25">
      <c r="A687" s="119">
        <v>378</v>
      </c>
      <c r="B687" s="119" t="s">
        <v>6429</v>
      </c>
      <c r="C687" s="119" t="s">
        <v>6495</v>
      </c>
      <c r="D687" s="119" t="s">
        <v>467</v>
      </c>
      <c r="E687" s="119" t="s">
        <v>6431</v>
      </c>
    </row>
    <row r="688" spans="1:5" ht="25.5" x14ac:dyDescent="0.25">
      <c r="A688" s="119">
        <v>381</v>
      </c>
      <c r="B688" s="119" t="s">
        <v>6429</v>
      </c>
      <c r="C688" s="119" t="s">
        <v>6499</v>
      </c>
      <c r="D688" s="119" t="s">
        <v>488</v>
      </c>
      <c r="E688" s="119" t="s">
        <v>6431</v>
      </c>
    </row>
    <row r="689" spans="1:5" ht="63.75" x14ac:dyDescent="0.25">
      <c r="A689" s="119">
        <v>384</v>
      </c>
      <c r="B689" s="119" t="s">
        <v>6429</v>
      </c>
      <c r="C689" s="119" t="s">
        <v>6124</v>
      </c>
      <c r="D689" s="119" t="s">
        <v>492</v>
      </c>
      <c r="E689" s="119" t="s">
        <v>6431</v>
      </c>
    </row>
    <row r="690" spans="1:5" ht="25.5" x14ac:dyDescent="0.25">
      <c r="A690" s="119">
        <v>385</v>
      </c>
      <c r="B690" s="119" t="s">
        <v>6429</v>
      </c>
      <c r="C690" s="119" t="s">
        <v>6128</v>
      </c>
      <c r="D690" s="119" t="s">
        <v>496</v>
      </c>
      <c r="E690" s="119" t="s">
        <v>6431</v>
      </c>
    </row>
    <row r="691" spans="1:5" ht="38.25" x14ac:dyDescent="0.25">
      <c r="A691" s="119">
        <v>386</v>
      </c>
      <c r="B691" s="119" t="s">
        <v>6429</v>
      </c>
      <c r="C691" s="119" t="s">
        <v>6129</v>
      </c>
      <c r="D691" s="119" t="s">
        <v>498</v>
      </c>
      <c r="E691" s="119" t="s">
        <v>6431</v>
      </c>
    </row>
    <row r="692" spans="1:5" ht="38.25" x14ac:dyDescent="0.25">
      <c r="A692" s="119">
        <v>388</v>
      </c>
      <c r="B692" s="119" t="s">
        <v>6429</v>
      </c>
      <c r="C692" s="119" t="s">
        <v>6130</v>
      </c>
      <c r="D692" s="119" t="s">
        <v>502</v>
      </c>
      <c r="E692" s="119" t="s">
        <v>6431</v>
      </c>
    </row>
    <row r="693" spans="1:5" ht="25.5" x14ac:dyDescent="0.25">
      <c r="A693" s="119">
        <v>505</v>
      </c>
      <c r="B693" s="119" t="s">
        <v>6429</v>
      </c>
      <c r="C693" s="119" t="s">
        <v>6500</v>
      </c>
      <c r="D693" s="119" t="s">
        <v>714</v>
      </c>
      <c r="E693" s="119" t="s">
        <v>6431</v>
      </c>
    </row>
    <row r="694" spans="1:5" ht="25.5" x14ac:dyDescent="0.25">
      <c r="A694" s="119">
        <v>671</v>
      </c>
      <c r="B694" s="119" t="s">
        <v>6412</v>
      </c>
      <c r="C694" s="119" t="s">
        <v>6501</v>
      </c>
      <c r="D694" s="119" t="s">
        <v>958</v>
      </c>
      <c r="E694" s="119" t="s">
        <v>6431</v>
      </c>
    </row>
    <row r="695" spans="1:5" ht="25.5" x14ac:dyDescent="0.25">
      <c r="A695" s="119">
        <v>672</v>
      </c>
      <c r="B695" s="119" t="s">
        <v>6412</v>
      </c>
      <c r="C695" s="119" t="s">
        <v>6501</v>
      </c>
      <c r="D695" s="119" t="s">
        <v>958</v>
      </c>
      <c r="E695" s="119" t="s">
        <v>6431</v>
      </c>
    </row>
    <row r="696" spans="1:5" ht="25.5" x14ac:dyDescent="0.25">
      <c r="A696" s="119">
        <v>673</v>
      </c>
      <c r="B696" s="119" t="s">
        <v>6412</v>
      </c>
      <c r="C696" s="119" t="s">
        <v>6501</v>
      </c>
      <c r="D696" s="119" t="s">
        <v>958</v>
      </c>
      <c r="E696" s="119" t="s">
        <v>6431</v>
      </c>
    </row>
    <row r="697" spans="1:5" ht="25.5" x14ac:dyDescent="0.25">
      <c r="A697" s="119">
        <v>674</v>
      </c>
      <c r="B697" s="119" t="s">
        <v>6412</v>
      </c>
      <c r="C697" s="119" t="s">
        <v>6501</v>
      </c>
      <c r="D697" s="119" t="s">
        <v>958</v>
      </c>
      <c r="E697" s="119" t="s">
        <v>6431</v>
      </c>
    </row>
    <row r="698" spans="1:5" ht="25.5" x14ac:dyDescent="0.25">
      <c r="A698" s="119">
        <v>675</v>
      </c>
      <c r="B698" s="119" t="s">
        <v>6412</v>
      </c>
      <c r="C698" s="119" t="s">
        <v>6501</v>
      </c>
      <c r="D698" s="119" t="s">
        <v>958</v>
      </c>
      <c r="E698" s="119" t="s">
        <v>6431</v>
      </c>
    </row>
    <row r="699" spans="1:5" ht="25.5" x14ac:dyDescent="0.25">
      <c r="A699" s="119">
        <v>676</v>
      </c>
      <c r="B699" s="119" t="s">
        <v>6412</v>
      </c>
      <c r="C699" s="119" t="s">
        <v>6501</v>
      </c>
      <c r="D699" s="119" t="s">
        <v>958</v>
      </c>
      <c r="E699" s="119" t="s">
        <v>6431</v>
      </c>
    </row>
    <row r="700" spans="1:5" ht="25.5" x14ac:dyDescent="0.25">
      <c r="A700" s="119">
        <v>677</v>
      </c>
      <c r="B700" s="119" t="s">
        <v>6412</v>
      </c>
      <c r="C700" s="119" t="s">
        <v>6501</v>
      </c>
      <c r="D700" s="119" t="s">
        <v>958</v>
      </c>
      <c r="E700" s="119" t="s">
        <v>6431</v>
      </c>
    </row>
    <row r="701" spans="1:5" ht="25.5" x14ac:dyDescent="0.25">
      <c r="A701" s="119">
        <v>678</v>
      </c>
      <c r="B701" s="119" t="s">
        <v>6412</v>
      </c>
      <c r="C701" s="119" t="s">
        <v>6501</v>
      </c>
      <c r="D701" s="119" t="s">
        <v>958</v>
      </c>
      <c r="E701" s="119" t="s">
        <v>6431</v>
      </c>
    </row>
    <row r="702" spans="1:5" ht="25.5" x14ac:dyDescent="0.25">
      <c r="A702" s="119">
        <v>679</v>
      </c>
      <c r="B702" s="119" t="s">
        <v>6412</v>
      </c>
      <c r="C702" s="119" t="s">
        <v>6501</v>
      </c>
      <c r="D702" s="119" t="s">
        <v>958</v>
      </c>
      <c r="E702" s="119" t="s">
        <v>6431</v>
      </c>
    </row>
    <row r="703" spans="1:5" ht="25.5" x14ac:dyDescent="0.25">
      <c r="A703" s="119">
        <v>680</v>
      </c>
      <c r="B703" s="119" t="s">
        <v>6412</v>
      </c>
      <c r="C703" s="119" t="s">
        <v>6501</v>
      </c>
      <c r="D703" s="119" t="s">
        <v>958</v>
      </c>
      <c r="E703" s="119" t="s">
        <v>6431</v>
      </c>
    </row>
    <row r="704" spans="1:5" ht="25.5" x14ac:dyDescent="0.25">
      <c r="A704" s="119">
        <v>686</v>
      </c>
      <c r="B704" s="119" t="s">
        <v>6412</v>
      </c>
      <c r="C704" s="119" t="s">
        <v>6501</v>
      </c>
      <c r="D704" s="119" t="s">
        <v>958</v>
      </c>
      <c r="E704" s="119" t="s">
        <v>6431</v>
      </c>
    </row>
    <row r="705" spans="1:5" ht="25.5" x14ac:dyDescent="0.25">
      <c r="A705" s="119">
        <v>687</v>
      </c>
      <c r="B705" s="119" t="s">
        <v>6412</v>
      </c>
      <c r="C705" s="119" t="s">
        <v>6501</v>
      </c>
      <c r="D705" s="119" t="s">
        <v>958</v>
      </c>
      <c r="E705" s="119" t="s">
        <v>6431</v>
      </c>
    </row>
    <row r="706" spans="1:5" ht="25.5" x14ac:dyDescent="0.25">
      <c r="A706" s="119">
        <v>688</v>
      </c>
      <c r="B706" s="119" t="s">
        <v>6412</v>
      </c>
      <c r="C706" s="119" t="s">
        <v>6501</v>
      </c>
      <c r="D706" s="119" t="s">
        <v>958</v>
      </c>
      <c r="E706" s="119" t="s">
        <v>6431</v>
      </c>
    </row>
    <row r="707" spans="1:5" ht="25.5" x14ac:dyDescent="0.25">
      <c r="A707" s="119">
        <v>689</v>
      </c>
      <c r="B707" s="119" t="s">
        <v>6412</v>
      </c>
      <c r="C707" s="119" t="s">
        <v>6501</v>
      </c>
      <c r="D707" s="119" t="s">
        <v>958</v>
      </c>
      <c r="E707" s="119" t="s">
        <v>6431</v>
      </c>
    </row>
    <row r="708" spans="1:5" ht="25.5" x14ac:dyDescent="0.25">
      <c r="A708" s="119">
        <v>699</v>
      </c>
      <c r="B708" s="119" t="s">
        <v>6429</v>
      </c>
      <c r="C708" s="119" t="s">
        <v>6502</v>
      </c>
      <c r="D708" s="119" t="s">
        <v>981</v>
      </c>
      <c r="E708" s="119" t="s">
        <v>6431</v>
      </c>
    </row>
    <row r="709" spans="1:5" ht="25.5" x14ac:dyDescent="0.25">
      <c r="A709" s="119">
        <v>699</v>
      </c>
      <c r="B709" s="119" t="s">
        <v>6412</v>
      </c>
      <c r="C709" s="119" t="s">
        <v>6503</v>
      </c>
      <c r="D709" s="119" t="s">
        <v>982</v>
      </c>
      <c r="E709" s="119" t="s">
        <v>6431</v>
      </c>
    </row>
    <row r="710" spans="1:5" ht="25.5" x14ac:dyDescent="0.25">
      <c r="A710" s="119">
        <v>700</v>
      </c>
      <c r="B710" s="119" t="s">
        <v>6429</v>
      </c>
      <c r="C710" s="119" t="s">
        <v>6504</v>
      </c>
      <c r="D710" s="119" t="s">
        <v>983</v>
      </c>
      <c r="E710" s="119" t="s">
        <v>6431</v>
      </c>
    </row>
    <row r="711" spans="1:5" ht="25.5" x14ac:dyDescent="0.25">
      <c r="A711" s="119">
        <v>700</v>
      </c>
      <c r="B711" s="119" t="s">
        <v>6412</v>
      </c>
      <c r="C711" s="119" t="s">
        <v>6505</v>
      </c>
      <c r="D711" s="119" t="s">
        <v>984</v>
      </c>
      <c r="E711" s="119" t="s">
        <v>6431</v>
      </c>
    </row>
    <row r="712" spans="1:5" ht="25.5" x14ac:dyDescent="0.25">
      <c r="A712" s="119">
        <v>701</v>
      </c>
      <c r="B712" s="119" t="s">
        <v>6429</v>
      </c>
      <c r="C712" s="119" t="s">
        <v>6506</v>
      </c>
      <c r="D712" s="119" t="s">
        <v>985</v>
      </c>
      <c r="E712" s="119" t="s">
        <v>6431</v>
      </c>
    </row>
    <row r="713" spans="1:5" ht="25.5" x14ac:dyDescent="0.25">
      <c r="A713" s="119">
        <v>701</v>
      </c>
      <c r="B713" s="119" t="s">
        <v>6412</v>
      </c>
      <c r="C713" s="119" t="s">
        <v>6507</v>
      </c>
      <c r="D713" s="119" t="s">
        <v>986</v>
      </c>
      <c r="E713" s="119" t="s">
        <v>6431</v>
      </c>
    </row>
    <row r="714" spans="1:5" ht="25.5" x14ac:dyDescent="0.25">
      <c r="A714" s="119">
        <v>743</v>
      </c>
      <c r="B714" s="119" t="s">
        <v>6429</v>
      </c>
      <c r="C714" s="119" t="s">
        <v>6508</v>
      </c>
      <c r="D714" s="119" t="s">
        <v>1040</v>
      </c>
      <c r="E714" s="119" t="s">
        <v>6431</v>
      </c>
    </row>
    <row r="715" spans="1:5" ht="25.5" x14ac:dyDescent="0.25">
      <c r="A715" s="119">
        <v>744</v>
      </c>
      <c r="B715" s="119" t="s">
        <v>6429</v>
      </c>
      <c r="C715" s="119" t="s">
        <v>6509</v>
      </c>
      <c r="D715" s="119" t="s">
        <v>1042</v>
      </c>
      <c r="E715" s="119" t="s">
        <v>6431</v>
      </c>
    </row>
    <row r="716" spans="1:5" ht="25.5" x14ac:dyDescent="0.25">
      <c r="A716" s="119">
        <v>745</v>
      </c>
      <c r="B716" s="119" t="s">
        <v>6429</v>
      </c>
      <c r="C716" s="119" t="s">
        <v>6510</v>
      </c>
      <c r="D716" s="119" t="s">
        <v>1044</v>
      </c>
      <c r="E716" s="119" t="s">
        <v>6431</v>
      </c>
    </row>
    <row r="717" spans="1:5" ht="25.5" x14ac:dyDescent="0.25">
      <c r="A717" s="119">
        <v>746</v>
      </c>
      <c r="B717" s="119" t="s">
        <v>6429</v>
      </c>
      <c r="C717" s="119" t="s">
        <v>6511</v>
      </c>
      <c r="D717" s="119" t="s">
        <v>1046</v>
      </c>
      <c r="E717" s="119" t="s">
        <v>6431</v>
      </c>
    </row>
    <row r="718" spans="1:5" ht="25.5" x14ac:dyDescent="0.25">
      <c r="A718" s="119">
        <v>747</v>
      </c>
      <c r="B718" s="119" t="s">
        <v>6429</v>
      </c>
      <c r="C718" s="119" t="s">
        <v>6512</v>
      </c>
      <c r="D718" s="119" t="s">
        <v>1048</v>
      </c>
      <c r="E718" s="119" t="s">
        <v>6431</v>
      </c>
    </row>
    <row r="719" spans="1:5" ht="25.5" x14ac:dyDescent="0.25">
      <c r="A719" s="119">
        <v>748</v>
      </c>
      <c r="B719" s="119" t="s">
        <v>6429</v>
      </c>
      <c r="C719" s="119" t="s">
        <v>6513</v>
      </c>
      <c r="D719" s="119" t="s">
        <v>1050</v>
      </c>
      <c r="E719" s="119" t="s">
        <v>6431</v>
      </c>
    </row>
    <row r="720" spans="1:5" ht="25.5" x14ac:dyDescent="0.25">
      <c r="A720" s="119">
        <v>749</v>
      </c>
      <c r="B720" s="119" t="s">
        <v>6429</v>
      </c>
      <c r="C720" s="119" t="s">
        <v>6514</v>
      </c>
      <c r="D720" s="119" t="s">
        <v>1052</v>
      </c>
      <c r="E720" s="119" t="s">
        <v>6431</v>
      </c>
    </row>
    <row r="721" spans="1:5" ht="25.5" x14ac:dyDescent="0.25">
      <c r="A721" s="119">
        <v>750</v>
      </c>
      <c r="B721" s="119" t="s">
        <v>6429</v>
      </c>
      <c r="C721" s="119" t="s">
        <v>6515</v>
      </c>
      <c r="D721" s="119" t="s">
        <v>1054</v>
      </c>
      <c r="E721" s="119" t="s">
        <v>6431</v>
      </c>
    </row>
    <row r="722" spans="1:5" ht="25.5" x14ac:dyDescent="0.25">
      <c r="A722" s="119">
        <v>751</v>
      </c>
      <c r="B722" s="119" t="s">
        <v>6429</v>
      </c>
      <c r="C722" s="119" t="s">
        <v>6516</v>
      </c>
      <c r="D722" s="119" t="s">
        <v>1056</v>
      </c>
      <c r="E722" s="119" t="s">
        <v>6431</v>
      </c>
    </row>
    <row r="723" spans="1:5" ht="25.5" x14ac:dyDescent="0.25">
      <c r="A723" s="119">
        <v>752</v>
      </c>
      <c r="B723" s="119" t="s">
        <v>6429</v>
      </c>
      <c r="C723" s="119" t="s">
        <v>6517</v>
      </c>
      <c r="D723" s="119" t="s">
        <v>1058</v>
      </c>
      <c r="E723" s="119" t="s">
        <v>6431</v>
      </c>
    </row>
    <row r="724" spans="1:5" ht="25.5" x14ac:dyDescent="0.25">
      <c r="A724" s="119">
        <v>753</v>
      </c>
      <c r="B724" s="119" t="s">
        <v>6429</v>
      </c>
      <c r="C724" s="119" t="s">
        <v>6518</v>
      </c>
      <c r="D724" s="119" t="s">
        <v>1060</v>
      </c>
      <c r="E724" s="119" t="s">
        <v>6431</v>
      </c>
    </row>
    <row r="725" spans="1:5" ht="25.5" x14ac:dyDescent="0.25">
      <c r="A725" s="119">
        <v>754</v>
      </c>
      <c r="B725" s="119" t="s">
        <v>6429</v>
      </c>
      <c r="C725" s="119" t="s">
        <v>6519</v>
      </c>
      <c r="D725" s="119" t="s">
        <v>1062</v>
      </c>
      <c r="E725" s="119" t="s">
        <v>6431</v>
      </c>
    </row>
    <row r="726" spans="1:5" ht="25.5" x14ac:dyDescent="0.25">
      <c r="A726" s="119">
        <v>755</v>
      </c>
      <c r="B726" s="119" t="s">
        <v>6429</v>
      </c>
      <c r="C726" s="119" t="s">
        <v>6520</v>
      </c>
      <c r="D726" s="119" t="s">
        <v>1064</v>
      </c>
      <c r="E726" s="119" t="s">
        <v>6431</v>
      </c>
    </row>
    <row r="727" spans="1:5" ht="25.5" x14ac:dyDescent="0.25">
      <c r="A727" s="119">
        <v>756</v>
      </c>
      <c r="B727" s="119" t="s">
        <v>6429</v>
      </c>
      <c r="C727" s="119" t="s">
        <v>6521</v>
      </c>
      <c r="D727" s="119" t="s">
        <v>1066</v>
      </c>
      <c r="E727" s="119" t="s">
        <v>6431</v>
      </c>
    </row>
    <row r="728" spans="1:5" ht="25.5" x14ac:dyDescent="0.25">
      <c r="A728" s="119">
        <v>757</v>
      </c>
      <c r="B728" s="119" t="s">
        <v>6429</v>
      </c>
      <c r="C728" s="119" t="s">
        <v>6522</v>
      </c>
      <c r="D728" s="119" t="s">
        <v>1068</v>
      </c>
      <c r="E728" s="119" t="s">
        <v>6431</v>
      </c>
    </row>
    <row r="729" spans="1:5" ht="25.5" x14ac:dyDescent="0.25">
      <c r="A729" s="119">
        <v>758</v>
      </c>
      <c r="B729" s="119" t="s">
        <v>6429</v>
      </c>
      <c r="C729" s="119" t="s">
        <v>6523</v>
      </c>
      <c r="D729" s="119" t="s">
        <v>1070</v>
      </c>
      <c r="E729" s="119" t="s">
        <v>6431</v>
      </c>
    </row>
    <row r="730" spans="1:5" ht="25.5" x14ac:dyDescent="0.25">
      <c r="A730" s="119">
        <v>759</v>
      </c>
      <c r="B730" s="119" t="s">
        <v>6429</v>
      </c>
      <c r="C730" s="119" t="s">
        <v>6524</v>
      </c>
      <c r="D730" s="119" t="s">
        <v>1072</v>
      </c>
      <c r="E730" s="119" t="s">
        <v>6431</v>
      </c>
    </row>
    <row r="731" spans="1:5" ht="25.5" x14ac:dyDescent="0.25">
      <c r="A731" s="119">
        <v>760</v>
      </c>
      <c r="B731" s="119" t="s">
        <v>6429</v>
      </c>
      <c r="C731" s="119" t="s">
        <v>6525</v>
      </c>
      <c r="D731" s="119" t="s">
        <v>1074</v>
      </c>
      <c r="E731" s="119" t="s">
        <v>6431</v>
      </c>
    </row>
    <row r="732" spans="1:5" ht="25.5" x14ac:dyDescent="0.25">
      <c r="A732" s="119">
        <v>761</v>
      </c>
      <c r="B732" s="119" t="s">
        <v>6429</v>
      </c>
      <c r="C732" s="119" t="s">
        <v>6526</v>
      </c>
      <c r="D732" s="119" t="s">
        <v>1076</v>
      </c>
      <c r="E732" s="119" t="s">
        <v>6431</v>
      </c>
    </row>
    <row r="733" spans="1:5" ht="25.5" x14ac:dyDescent="0.25">
      <c r="A733" s="119">
        <v>762</v>
      </c>
      <c r="B733" s="119" t="s">
        <v>6429</v>
      </c>
      <c r="C733" s="119" t="s">
        <v>6527</v>
      </c>
      <c r="D733" s="119" t="s">
        <v>1078</v>
      </c>
      <c r="E733" s="119" t="s">
        <v>6431</v>
      </c>
    </row>
    <row r="734" spans="1:5" ht="25.5" x14ac:dyDescent="0.25">
      <c r="A734" s="119">
        <v>763</v>
      </c>
      <c r="B734" s="119" t="s">
        <v>6429</v>
      </c>
      <c r="C734" s="119" t="s">
        <v>6528</v>
      </c>
      <c r="D734" s="119" t="s">
        <v>1080</v>
      </c>
      <c r="E734" s="119" t="s">
        <v>6431</v>
      </c>
    </row>
    <row r="735" spans="1:5" ht="25.5" x14ac:dyDescent="0.25">
      <c r="A735" s="119">
        <v>764</v>
      </c>
      <c r="B735" s="119" t="s">
        <v>6429</v>
      </c>
      <c r="C735" s="119" t="s">
        <v>6529</v>
      </c>
      <c r="D735" s="119" t="s">
        <v>1082</v>
      </c>
      <c r="E735" s="119" t="s">
        <v>6431</v>
      </c>
    </row>
    <row r="736" spans="1:5" ht="25.5" x14ac:dyDescent="0.25">
      <c r="A736" s="119">
        <v>765</v>
      </c>
      <c r="B736" s="119" t="s">
        <v>6429</v>
      </c>
      <c r="C736" s="119" t="s">
        <v>6530</v>
      </c>
      <c r="D736" s="119" t="s">
        <v>1084</v>
      </c>
      <c r="E736" s="119" t="s">
        <v>6431</v>
      </c>
    </row>
    <row r="737" spans="1:5" ht="25.5" x14ac:dyDescent="0.25">
      <c r="A737" s="119">
        <v>766</v>
      </c>
      <c r="B737" s="119" t="s">
        <v>6429</v>
      </c>
      <c r="C737" s="119" t="s">
        <v>6531</v>
      </c>
      <c r="D737" s="119" t="s">
        <v>1086</v>
      </c>
      <c r="E737" s="119" t="s">
        <v>6431</v>
      </c>
    </row>
    <row r="738" spans="1:5" ht="25.5" x14ac:dyDescent="0.25">
      <c r="A738" s="119">
        <v>767</v>
      </c>
      <c r="B738" s="119" t="s">
        <v>6429</v>
      </c>
      <c r="C738" s="119" t="s">
        <v>6532</v>
      </c>
      <c r="D738" s="119" t="s">
        <v>1088</v>
      </c>
      <c r="E738" s="119" t="s">
        <v>6431</v>
      </c>
    </row>
    <row r="739" spans="1:5" ht="25.5" x14ac:dyDescent="0.25">
      <c r="A739" s="119">
        <v>768</v>
      </c>
      <c r="B739" s="119" t="s">
        <v>6429</v>
      </c>
      <c r="C739" s="119" t="s">
        <v>6533</v>
      </c>
      <c r="D739" s="119" t="s">
        <v>1090</v>
      </c>
      <c r="E739" s="119" t="s">
        <v>6431</v>
      </c>
    </row>
    <row r="740" spans="1:5" ht="25.5" x14ac:dyDescent="0.25">
      <c r="A740" s="119">
        <v>769</v>
      </c>
      <c r="B740" s="119" t="s">
        <v>6429</v>
      </c>
      <c r="C740" s="119" t="s">
        <v>6534</v>
      </c>
      <c r="D740" s="119" t="s">
        <v>1092</v>
      </c>
      <c r="E740" s="119" t="s">
        <v>6431</v>
      </c>
    </row>
    <row r="741" spans="1:5" ht="25.5" x14ac:dyDescent="0.25">
      <c r="A741" s="119">
        <v>770</v>
      </c>
      <c r="B741" s="119" t="s">
        <v>6429</v>
      </c>
      <c r="C741" s="119" t="s">
        <v>6535</v>
      </c>
      <c r="D741" s="119" t="s">
        <v>1094</v>
      </c>
      <c r="E741" s="119" t="s">
        <v>6431</v>
      </c>
    </row>
    <row r="742" spans="1:5" ht="25.5" x14ac:dyDescent="0.25">
      <c r="A742" s="119">
        <v>771</v>
      </c>
      <c r="B742" s="119" t="s">
        <v>6429</v>
      </c>
      <c r="C742" s="119" t="s">
        <v>6536</v>
      </c>
      <c r="D742" s="119" t="s">
        <v>1096</v>
      </c>
      <c r="E742" s="119" t="s">
        <v>6431</v>
      </c>
    </row>
    <row r="743" spans="1:5" ht="25.5" x14ac:dyDescent="0.25">
      <c r="A743" s="119">
        <v>772</v>
      </c>
      <c r="B743" s="119" t="s">
        <v>6429</v>
      </c>
      <c r="C743" s="119" t="s">
        <v>6537</v>
      </c>
      <c r="D743" s="119" t="s">
        <v>1098</v>
      </c>
      <c r="E743" s="119" t="s">
        <v>6431</v>
      </c>
    </row>
    <row r="744" spans="1:5" ht="25.5" x14ac:dyDescent="0.25">
      <c r="A744" s="119">
        <v>773</v>
      </c>
      <c r="B744" s="119" t="s">
        <v>6429</v>
      </c>
      <c r="C744" s="119" t="s">
        <v>6538</v>
      </c>
      <c r="D744" s="119" t="s">
        <v>1100</v>
      </c>
      <c r="E744" s="119" t="s">
        <v>6431</v>
      </c>
    </row>
    <row r="745" spans="1:5" ht="25.5" x14ac:dyDescent="0.25">
      <c r="A745" s="119">
        <v>774</v>
      </c>
      <c r="B745" s="119" t="s">
        <v>6429</v>
      </c>
      <c r="C745" s="119" t="s">
        <v>6539</v>
      </c>
      <c r="D745" s="119" t="s">
        <v>1102</v>
      </c>
      <c r="E745" s="119" t="s">
        <v>6431</v>
      </c>
    </row>
    <row r="746" spans="1:5" ht="25.5" x14ac:dyDescent="0.25">
      <c r="A746" s="119">
        <v>775</v>
      </c>
      <c r="B746" s="119" t="s">
        <v>6429</v>
      </c>
      <c r="C746" s="119" t="s">
        <v>6540</v>
      </c>
      <c r="D746" s="119" t="s">
        <v>1104</v>
      </c>
      <c r="E746" s="119" t="s">
        <v>6431</v>
      </c>
    </row>
    <row r="747" spans="1:5" ht="25.5" x14ac:dyDescent="0.25">
      <c r="A747" s="119">
        <v>776</v>
      </c>
      <c r="B747" s="119" t="s">
        <v>6429</v>
      </c>
      <c r="C747" s="119" t="s">
        <v>6541</v>
      </c>
      <c r="D747" s="119" t="s">
        <v>1106</v>
      </c>
      <c r="E747" s="119" t="s">
        <v>6431</v>
      </c>
    </row>
    <row r="748" spans="1:5" ht="25.5" x14ac:dyDescent="0.25">
      <c r="A748" s="119">
        <v>777</v>
      </c>
      <c r="B748" s="119" t="s">
        <v>6429</v>
      </c>
      <c r="C748" s="119" t="s">
        <v>6542</v>
      </c>
      <c r="D748" s="119" t="s">
        <v>1108</v>
      </c>
      <c r="E748" s="119" t="s">
        <v>6431</v>
      </c>
    </row>
    <row r="749" spans="1:5" ht="25.5" x14ac:dyDescent="0.25">
      <c r="A749" s="119">
        <v>778</v>
      </c>
      <c r="B749" s="119" t="s">
        <v>6429</v>
      </c>
      <c r="C749" s="119" t="s">
        <v>6543</v>
      </c>
      <c r="D749" s="119" t="s">
        <v>1110</v>
      </c>
      <c r="E749" s="119" t="s">
        <v>6431</v>
      </c>
    </row>
    <row r="750" spans="1:5" ht="25.5" x14ac:dyDescent="0.25">
      <c r="A750" s="119">
        <v>785</v>
      </c>
      <c r="B750" s="119" t="s">
        <v>6429</v>
      </c>
      <c r="C750" s="119" t="s">
        <v>6544</v>
      </c>
      <c r="D750" s="119" t="s">
        <v>1120</v>
      </c>
      <c r="E750" s="119" t="s">
        <v>6431</v>
      </c>
    </row>
    <row r="751" spans="1:5" ht="25.5" x14ac:dyDescent="0.25">
      <c r="A751" s="119">
        <v>788</v>
      </c>
      <c r="B751" s="119" t="s">
        <v>6429</v>
      </c>
      <c r="C751" s="119" t="s">
        <v>6545</v>
      </c>
      <c r="D751" s="119" t="s">
        <v>1126</v>
      </c>
      <c r="E751" s="119" t="s">
        <v>6431</v>
      </c>
    </row>
    <row r="752" spans="1:5" ht="25.5" x14ac:dyDescent="0.25">
      <c r="A752" s="119">
        <v>789</v>
      </c>
      <c r="B752" s="119" t="s">
        <v>6429</v>
      </c>
      <c r="C752" s="119" t="s">
        <v>6546</v>
      </c>
      <c r="D752" s="119" t="s">
        <v>1128</v>
      </c>
      <c r="E752" s="119" t="s">
        <v>6431</v>
      </c>
    </row>
    <row r="753" spans="1:5" ht="25.5" x14ac:dyDescent="0.25">
      <c r="A753" s="119">
        <v>793</v>
      </c>
      <c r="B753" s="119" t="s">
        <v>6429</v>
      </c>
      <c r="C753" s="119" t="s">
        <v>6547</v>
      </c>
      <c r="D753" s="119" t="s">
        <v>1136</v>
      </c>
      <c r="E753" s="119" t="s">
        <v>6431</v>
      </c>
    </row>
    <row r="754" spans="1:5" ht="25.5" x14ac:dyDescent="0.25">
      <c r="A754" s="119">
        <v>794</v>
      </c>
      <c r="B754" s="119" t="s">
        <v>6429</v>
      </c>
      <c r="C754" s="119" t="s">
        <v>6548</v>
      </c>
      <c r="D754" s="119" t="s">
        <v>1138</v>
      </c>
      <c r="E754" s="119" t="s">
        <v>6431</v>
      </c>
    </row>
    <row r="755" spans="1:5" ht="25.5" x14ac:dyDescent="0.25">
      <c r="A755" s="119">
        <v>799</v>
      </c>
      <c r="B755" s="119" t="s">
        <v>6429</v>
      </c>
      <c r="C755" s="119" t="s">
        <v>6549</v>
      </c>
      <c r="D755" s="119" t="s">
        <v>1148</v>
      </c>
      <c r="E755" s="119" t="s">
        <v>6431</v>
      </c>
    </row>
    <row r="756" spans="1:5" ht="25.5" x14ac:dyDescent="0.25">
      <c r="A756" s="119">
        <v>800</v>
      </c>
      <c r="B756" s="119" t="s">
        <v>6429</v>
      </c>
      <c r="C756" s="119" t="s">
        <v>6550</v>
      </c>
      <c r="D756" s="119" t="s">
        <v>1150</v>
      </c>
      <c r="E756" s="119" t="s">
        <v>6431</v>
      </c>
    </row>
    <row r="757" spans="1:5" ht="25.5" x14ac:dyDescent="0.25">
      <c r="A757" s="119">
        <v>801</v>
      </c>
      <c r="B757" s="119" t="s">
        <v>6429</v>
      </c>
      <c r="C757" s="119" t="s">
        <v>6551</v>
      </c>
      <c r="D757" s="119" t="s">
        <v>1152</v>
      </c>
      <c r="E757" s="119" t="s">
        <v>6431</v>
      </c>
    </row>
    <row r="758" spans="1:5" ht="25.5" x14ac:dyDescent="0.25">
      <c r="A758" s="119">
        <v>807</v>
      </c>
      <c r="B758" s="119" t="s">
        <v>6429</v>
      </c>
      <c r="C758" s="119" t="s">
        <v>6552</v>
      </c>
      <c r="D758" s="119" t="s">
        <v>1164</v>
      </c>
      <c r="E758" s="119" t="s">
        <v>6431</v>
      </c>
    </row>
    <row r="759" spans="1:5" ht="25.5" x14ac:dyDescent="0.25">
      <c r="A759" s="119">
        <v>808</v>
      </c>
      <c r="B759" s="119" t="s">
        <v>6429</v>
      </c>
      <c r="C759" s="119" t="s">
        <v>6553</v>
      </c>
      <c r="D759" s="119" t="s">
        <v>1166</v>
      </c>
      <c r="E759" s="119" t="s">
        <v>6431</v>
      </c>
    </row>
    <row r="760" spans="1:5" ht="25.5" x14ac:dyDescent="0.25">
      <c r="A760" s="119">
        <v>809</v>
      </c>
      <c r="B760" s="119" t="s">
        <v>6429</v>
      </c>
      <c r="C760" s="119" t="s">
        <v>6554</v>
      </c>
      <c r="D760" s="119" t="s">
        <v>1168</v>
      </c>
      <c r="E760" s="119" t="s">
        <v>6431</v>
      </c>
    </row>
    <row r="761" spans="1:5" ht="25.5" x14ac:dyDescent="0.25">
      <c r="A761" s="119">
        <v>810</v>
      </c>
      <c r="B761" s="119" t="s">
        <v>6429</v>
      </c>
      <c r="C761" s="119" t="s">
        <v>6555</v>
      </c>
      <c r="D761" s="119" t="s">
        <v>1170</v>
      </c>
      <c r="E761" s="119" t="s">
        <v>6431</v>
      </c>
    </row>
    <row r="762" spans="1:5" ht="25.5" x14ac:dyDescent="0.25">
      <c r="A762" s="119">
        <v>811</v>
      </c>
      <c r="B762" s="119" t="s">
        <v>6429</v>
      </c>
      <c r="C762" s="119" t="s">
        <v>6556</v>
      </c>
      <c r="D762" s="119" t="s">
        <v>1172</v>
      </c>
      <c r="E762" s="119" t="s">
        <v>6431</v>
      </c>
    </row>
    <row r="763" spans="1:5" ht="25.5" x14ac:dyDescent="0.25">
      <c r="A763" s="119">
        <v>815</v>
      </c>
      <c r="B763" s="119" t="s">
        <v>6429</v>
      </c>
      <c r="C763" s="119" t="s">
        <v>6557</v>
      </c>
      <c r="D763" s="119" t="s">
        <v>1180</v>
      </c>
      <c r="E763" s="119" t="s">
        <v>6431</v>
      </c>
    </row>
    <row r="764" spans="1:5" ht="25.5" x14ac:dyDescent="0.25">
      <c r="A764" s="119">
        <v>816</v>
      </c>
      <c r="B764" s="119" t="s">
        <v>6429</v>
      </c>
      <c r="C764" s="119" t="s">
        <v>6558</v>
      </c>
      <c r="D764" s="119" t="s">
        <v>1182</v>
      </c>
      <c r="E764" s="119" t="s">
        <v>6431</v>
      </c>
    </row>
    <row r="765" spans="1:5" ht="25.5" x14ac:dyDescent="0.25">
      <c r="A765" s="119">
        <v>817</v>
      </c>
      <c r="B765" s="119" t="s">
        <v>6429</v>
      </c>
      <c r="C765" s="119" t="s">
        <v>6559</v>
      </c>
      <c r="D765" s="119" t="s">
        <v>1184</v>
      </c>
      <c r="E765" s="119" t="s">
        <v>6431</v>
      </c>
    </row>
    <row r="766" spans="1:5" ht="25.5" x14ac:dyDescent="0.25">
      <c r="A766" s="119">
        <v>818</v>
      </c>
      <c r="B766" s="119" t="s">
        <v>6429</v>
      </c>
      <c r="C766" s="119" t="s">
        <v>6560</v>
      </c>
      <c r="D766" s="119" t="s">
        <v>1186</v>
      </c>
      <c r="E766" s="119" t="s">
        <v>6431</v>
      </c>
    </row>
    <row r="767" spans="1:5" ht="25.5" x14ac:dyDescent="0.25">
      <c r="A767" s="119">
        <v>821</v>
      </c>
      <c r="B767" s="119" t="s">
        <v>6429</v>
      </c>
      <c r="C767" s="119" t="s">
        <v>6561</v>
      </c>
      <c r="D767" s="119" t="s">
        <v>1192</v>
      </c>
      <c r="E767" s="119" t="s">
        <v>6431</v>
      </c>
    </row>
    <row r="768" spans="1:5" ht="25.5" x14ac:dyDescent="0.25">
      <c r="A768" s="119">
        <v>823</v>
      </c>
      <c r="B768" s="119" t="s">
        <v>6429</v>
      </c>
      <c r="C768" s="119" t="s">
        <v>6562</v>
      </c>
      <c r="D768" s="119" t="s">
        <v>1196</v>
      </c>
      <c r="E768" s="119" t="s">
        <v>6431</v>
      </c>
    </row>
    <row r="769" spans="1:5" ht="25.5" x14ac:dyDescent="0.25">
      <c r="A769" s="119">
        <v>824</v>
      </c>
      <c r="B769" s="119" t="s">
        <v>6429</v>
      </c>
      <c r="C769" s="119" t="s">
        <v>6563</v>
      </c>
      <c r="D769" s="119" t="s">
        <v>1198</v>
      </c>
      <c r="E769" s="119" t="s">
        <v>6431</v>
      </c>
    </row>
    <row r="770" spans="1:5" ht="25.5" x14ac:dyDescent="0.25">
      <c r="A770" s="119">
        <v>828</v>
      </c>
      <c r="B770" s="119" t="s">
        <v>6429</v>
      </c>
      <c r="C770" s="119" t="s">
        <v>6564</v>
      </c>
      <c r="D770" s="119" t="s">
        <v>1205</v>
      </c>
      <c r="E770" s="119" t="s">
        <v>6431</v>
      </c>
    </row>
    <row r="771" spans="1:5" ht="25.5" x14ac:dyDescent="0.25">
      <c r="A771" s="119">
        <v>829</v>
      </c>
      <c r="B771" s="119" t="s">
        <v>6429</v>
      </c>
      <c r="C771" s="119" t="s">
        <v>6565</v>
      </c>
      <c r="D771" s="119" t="s">
        <v>1207</v>
      </c>
      <c r="E771" s="119" t="s">
        <v>6431</v>
      </c>
    </row>
    <row r="772" spans="1:5" ht="25.5" x14ac:dyDescent="0.25">
      <c r="A772" s="119">
        <v>831</v>
      </c>
      <c r="B772" s="119" t="s">
        <v>6429</v>
      </c>
      <c r="C772" s="119" t="s">
        <v>6566</v>
      </c>
      <c r="D772" s="119" t="s">
        <v>1211</v>
      </c>
      <c r="E772" s="119" t="s">
        <v>6431</v>
      </c>
    </row>
    <row r="773" spans="1:5" ht="25.5" x14ac:dyDescent="0.25">
      <c r="A773" s="119">
        <v>832</v>
      </c>
      <c r="B773" s="119" t="s">
        <v>6429</v>
      </c>
      <c r="C773" s="119" t="s">
        <v>6567</v>
      </c>
      <c r="D773" s="119" t="s">
        <v>1213</v>
      </c>
      <c r="E773" s="119" t="s">
        <v>6431</v>
      </c>
    </row>
    <row r="774" spans="1:5" ht="25.5" x14ac:dyDescent="0.25">
      <c r="A774" s="119">
        <v>839</v>
      </c>
      <c r="B774" s="119" t="s">
        <v>6429</v>
      </c>
      <c r="C774" s="119" t="s">
        <v>6568</v>
      </c>
      <c r="D774" s="119" t="s">
        <v>1226</v>
      </c>
      <c r="E774" s="119" t="s">
        <v>6431</v>
      </c>
    </row>
    <row r="775" spans="1:5" ht="25.5" x14ac:dyDescent="0.25">
      <c r="A775" s="119">
        <v>840</v>
      </c>
      <c r="B775" s="119" t="s">
        <v>6429</v>
      </c>
      <c r="C775" s="119" t="s">
        <v>6569</v>
      </c>
      <c r="D775" s="119" t="s">
        <v>1228</v>
      </c>
      <c r="E775" s="119" t="s">
        <v>6431</v>
      </c>
    </row>
    <row r="776" spans="1:5" ht="25.5" x14ac:dyDescent="0.25">
      <c r="A776" s="119">
        <v>841</v>
      </c>
      <c r="B776" s="119" t="s">
        <v>6429</v>
      </c>
      <c r="C776" s="119" t="s">
        <v>6570</v>
      </c>
      <c r="D776" s="119" t="s">
        <v>1230</v>
      </c>
      <c r="E776" s="119" t="s">
        <v>6431</v>
      </c>
    </row>
    <row r="777" spans="1:5" ht="25.5" x14ac:dyDescent="0.25">
      <c r="A777" s="119">
        <v>843</v>
      </c>
      <c r="B777" s="119" t="s">
        <v>6429</v>
      </c>
      <c r="C777" s="119" t="s">
        <v>6571</v>
      </c>
      <c r="D777" s="119" t="s">
        <v>1234</v>
      </c>
      <c r="E777" s="119" t="s">
        <v>6431</v>
      </c>
    </row>
    <row r="778" spans="1:5" ht="25.5" x14ac:dyDescent="0.25">
      <c r="A778" s="119">
        <v>844</v>
      </c>
      <c r="B778" s="119" t="s">
        <v>6429</v>
      </c>
      <c r="C778" s="119" t="s">
        <v>6572</v>
      </c>
      <c r="D778" s="119" t="s">
        <v>1236</v>
      </c>
      <c r="E778" s="119" t="s">
        <v>6431</v>
      </c>
    </row>
    <row r="779" spans="1:5" ht="25.5" x14ac:dyDescent="0.25">
      <c r="A779" s="119">
        <v>845</v>
      </c>
      <c r="B779" s="119" t="s">
        <v>6429</v>
      </c>
      <c r="C779" s="119" t="s">
        <v>6573</v>
      </c>
      <c r="D779" s="119" t="s">
        <v>1238</v>
      </c>
      <c r="E779" s="119" t="s">
        <v>6431</v>
      </c>
    </row>
    <row r="780" spans="1:5" ht="25.5" x14ac:dyDescent="0.25">
      <c r="A780" s="119">
        <v>846</v>
      </c>
      <c r="B780" s="119" t="s">
        <v>6429</v>
      </c>
      <c r="C780" s="119" t="s">
        <v>6574</v>
      </c>
      <c r="D780" s="119" t="s">
        <v>1239</v>
      </c>
      <c r="E780" s="119" t="s">
        <v>6431</v>
      </c>
    </row>
    <row r="781" spans="1:5" ht="25.5" x14ac:dyDescent="0.25">
      <c r="A781" s="119">
        <v>847</v>
      </c>
      <c r="B781" s="119" t="s">
        <v>6429</v>
      </c>
      <c r="C781" s="119" t="s">
        <v>6575</v>
      </c>
      <c r="D781" s="119" t="s">
        <v>1240</v>
      </c>
      <c r="E781" s="119" t="s">
        <v>6431</v>
      </c>
    </row>
    <row r="782" spans="1:5" ht="25.5" x14ac:dyDescent="0.25">
      <c r="A782" s="119">
        <v>848</v>
      </c>
      <c r="B782" s="119" t="s">
        <v>6429</v>
      </c>
      <c r="C782" s="119" t="s">
        <v>6576</v>
      </c>
      <c r="D782" s="119" t="s">
        <v>1242</v>
      </c>
      <c r="E782" s="119" t="s">
        <v>6431</v>
      </c>
    </row>
    <row r="783" spans="1:5" ht="25.5" x14ac:dyDescent="0.25">
      <c r="A783" s="119">
        <v>849</v>
      </c>
      <c r="B783" s="119" t="s">
        <v>6429</v>
      </c>
      <c r="C783" s="119" t="s">
        <v>6577</v>
      </c>
      <c r="D783" s="119" t="s">
        <v>1244</v>
      </c>
      <c r="E783" s="119" t="s">
        <v>6431</v>
      </c>
    </row>
    <row r="784" spans="1:5" ht="25.5" x14ac:dyDescent="0.25">
      <c r="A784" s="119">
        <v>850</v>
      </c>
      <c r="B784" s="119" t="s">
        <v>6429</v>
      </c>
      <c r="C784" s="119" t="s">
        <v>6578</v>
      </c>
      <c r="D784" s="119" t="s">
        <v>1246</v>
      </c>
      <c r="E784" s="119" t="s">
        <v>6431</v>
      </c>
    </row>
    <row r="785" spans="1:5" ht="25.5" x14ac:dyDescent="0.25">
      <c r="A785" s="119">
        <v>851</v>
      </c>
      <c r="B785" s="119" t="s">
        <v>6429</v>
      </c>
      <c r="C785" s="119" t="s">
        <v>6579</v>
      </c>
      <c r="D785" s="119" t="s">
        <v>1248</v>
      </c>
      <c r="E785" s="119" t="s">
        <v>6431</v>
      </c>
    </row>
    <row r="786" spans="1:5" ht="25.5" x14ac:dyDescent="0.25">
      <c r="A786" s="119">
        <v>852</v>
      </c>
      <c r="B786" s="119" t="s">
        <v>6429</v>
      </c>
      <c r="C786" s="119" t="s">
        <v>6580</v>
      </c>
      <c r="D786" s="119" t="s">
        <v>1250</v>
      </c>
      <c r="E786" s="119" t="s">
        <v>6431</v>
      </c>
    </row>
    <row r="787" spans="1:5" ht="25.5" x14ac:dyDescent="0.25">
      <c r="A787" s="119">
        <v>853</v>
      </c>
      <c r="B787" s="119" t="s">
        <v>6429</v>
      </c>
      <c r="C787" s="119" t="s">
        <v>6581</v>
      </c>
      <c r="D787" s="119" t="s">
        <v>1251</v>
      </c>
      <c r="E787" s="119" t="s">
        <v>6431</v>
      </c>
    </row>
    <row r="788" spans="1:5" ht="25.5" x14ac:dyDescent="0.25">
      <c r="A788" s="119">
        <v>860</v>
      </c>
      <c r="B788" s="119" t="s">
        <v>6429</v>
      </c>
      <c r="C788" s="119" t="s">
        <v>6582</v>
      </c>
      <c r="D788" s="119" t="s">
        <v>1264</v>
      </c>
      <c r="E788" s="119" t="s">
        <v>6431</v>
      </c>
    </row>
    <row r="789" spans="1:5" ht="25.5" x14ac:dyDescent="0.25">
      <c r="A789" s="119">
        <v>861</v>
      </c>
      <c r="B789" s="119" t="s">
        <v>6429</v>
      </c>
      <c r="C789" s="119" t="s">
        <v>6583</v>
      </c>
      <c r="D789" s="119" t="s">
        <v>1266</v>
      </c>
      <c r="E789" s="119" t="s">
        <v>6431</v>
      </c>
    </row>
    <row r="790" spans="1:5" ht="25.5" x14ac:dyDescent="0.25">
      <c r="A790" s="119">
        <v>862</v>
      </c>
      <c r="B790" s="119" t="s">
        <v>6429</v>
      </c>
      <c r="C790" s="119" t="s">
        <v>6584</v>
      </c>
      <c r="D790" s="119" t="s">
        <v>1268</v>
      </c>
      <c r="E790" s="119" t="s">
        <v>6431</v>
      </c>
    </row>
    <row r="791" spans="1:5" ht="25.5" x14ac:dyDescent="0.25">
      <c r="A791" s="119">
        <v>863</v>
      </c>
      <c r="B791" s="119" t="s">
        <v>6429</v>
      </c>
      <c r="C791" s="119" t="s">
        <v>6585</v>
      </c>
      <c r="D791" s="119" t="s">
        <v>1269</v>
      </c>
      <c r="E791" s="119" t="s">
        <v>6431</v>
      </c>
    </row>
    <row r="792" spans="1:5" ht="25.5" x14ac:dyDescent="0.25">
      <c r="A792" s="119">
        <v>864</v>
      </c>
      <c r="B792" s="119" t="s">
        <v>6429</v>
      </c>
      <c r="C792" s="119" t="s">
        <v>6586</v>
      </c>
      <c r="D792" s="119" t="s">
        <v>1270</v>
      </c>
      <c r="E792" s="119" t="s">
        <v>6431</v>
      </c>
    </row>
    <row r="793" spans="1:5" ht="25.5" x14ac:dyDescent="0.25">
      <c r="A793" s="119">
        <v>865</v>
      </c>
      <c r="B793" s="119" t="s">
        <v>6429</v>
      </c>
      <c r="C793" s="119" t="s">
        <v>6587</v>
      </c>
      <c r="D793" s="119" t="s">
        <v>1271</v>
      </c>
      <c r="E793" s="119" t="s">
        <v>6431</v>
      </c>
    </row>
    <row r="794" spans="1:5" ht="25.5" x14ac:dyDescent="0.25">
      <c r="A794" s="119">
        <v>871</v>
      </c>
      <c r="B794" s="119" t="s">
        <v>6429</v>
      </c>
      <c r="C794" s="119" t="s">
        <v>6588</v>
      </c>
      <c r="D794" s="119" t="s">
        <v>1283</v>
      </c>
      <c r="E794" s="119" t="s">
        <v>6431</v>
      </c>
    </row>
    <row r="795" spans="1:5" ht="25.5" x14ac:dyDescent="0.25">
      <c r="A795" s="119">
        <v>874</v>
      </c>
      <c r="B795" s="119" t="s">
        <v>6429</v>
      </c>
      <c r="C795" s="119" t="s">
        <v>6589</v>
      </c>
      <c r="D795" s="119" t="s">
        <v>1289</v>
      </c>
      <c r="E795" s="119" t="s">
        <v>6431</v>
      </c>
    </row>
    <row r="796" spans="1:5" ht="25.5" x14ac:dyDescent="0.25">
      <c r="A796" s="119">
        <v>879</v>
      </c>
      <c r="B796" s="119" t="s">
        <v>6429</v>
      </c>
      <c r="C796" s="119" t="s">
        <v>6590</v>
      </c>
      <c r="D796" s="119" t="s">
        <v>1299</v>
      </c>
      <c r="E796" s="119" t="s">
        <v>6431</v>
      </c>
    </row>
    <row r="797" spans="1:5" ht="25.5" x14ac:dyDescent="0.25">
      <c r="A797" s="119">
        <v>880</v>
      </c>
      <c r="B797" s="119" t="s">
        <v>6429</v>
      </c>
      <c r="C797" s="119" t="s">
        <v>6591</v>
      </c>
      <c r="D797" s="119" t="s">
        <v>1300</v>
      </c>
      <c r="E797" s="119" t="s">
        <v>6431</v>
      </c>
    </row>
    <row r="798" spans="1:5" ht="25.5" x14ac:dyDescent="0.25">
      <c r="A798" s="119">
        <v>881</v>
      </c>
      <c r="B798" s="119" t="s">
        <v>6429</v>
      </c>
      <c r="C798" s="119" t="s">
        <v>6592</v>
      </c>
      <c r="D798" s="119" t="s">
        <v>1302</v>
      </c>
      <c r="E798" s="119" t="s">
        <v>6431</v>
      </c>
    </row>
    <row r="799" spans="1:5" ht="25.5" x14ac:dyDescent="0.25">
      <c r="A799" s="119">
        <v>882</v>
      </c>
      <c r="B799" s="119" t="s">
        <v>6429</v>
      </c>
      <c r="C799" s="119" t="s">
        <v>6593</v>
      </c>
      <c r="D799" s="119" t="s">
        <v>1304</v>
      </c>
      <c r="E799" s="119" t="s">
        <v>6431</v>
      </c>
    </row>
    <row r="800" spans="1:5" ht="25.5" x14ac:dyDescent="0.25">
      <c r="A800" s="119">
        <v>883</v>
      </c>
      <c r="B800" s="119" t="s">
        <v>6429</v>
      </c>
      <c r="C800" s="119" t="s">
        <v>6594</v>
      </c>
      <c r="D800" s="119" t="s">
        <v>1306</v>
      </c>
      <c r="E800" s="119" t="s">
        <v>6431</v>
      </c>
    </row>
    <row r="801" spans="1:5" ht="25.5" x14ac:dyDescent="0.25">
      <c r="A801" s="119">
        <v>884</v>
      </c>
      <c r="B801" s="119" t="s">
        <v>6429</v>
      </c>
      <c r="C801" s="119" t="s">
        <v>6595</v>
      </c>
      <c r="D801" s="119" t="s">
        <v>1308</v>
      </c>
      <c r="E801" s="119" t="s">
        <v>6431</v>
      </c>
    </row>
    <row r="802" spans="1:5" ht="25.5" x14ac:dyDescent="0.25">
      <c r="A802" s="119">
        <v>885</v>
      </c>
      <c r="B802" s="119" t="s">
        <v>6429</v>
      </c>
      <c r="C802" s="119" t="s">
        <v>6596</v>
      </c>
      <c r="D802" s="119" t="s">
        <v>1310</v>
      </c>
      <c r="E802" s="119" t="s">
        <v>6431</v>
      </c>
    </row>
    <row r="803" spans="1:5" ht="25.5" x14ac:dyDescent="0.25">
      <c r="A803" s="119">
        <v>886</v>
      </c>
      <c r="B803" s="119" t="s">
        <v>6429</v>
      </c>
      <c r="C803" s="119" t="s">
        <v>6597</v>
      </c>
      <c r="D803" s="119" t="s">
        <v>1312</v>
      </c>
      <c r="E803" s="119" t="s">
        <v>6431</v>
      </c>
    </row>
    <row r="804" spans="1:5" ht="25.5" x14ac:dyDescent="0.25">
      <c r="A804" s="119">
        <v>887</v>
      </c>
      <c r="B804" s="119" t="s">
        <v>6429</v>
      </c>
      <c r="C804" s="119" t="s">
        <v>6598</v>
      </c>
      <c r="D804" s="119" t="s">
        <v>1314</v>
      </c>
      <c r="E804" s="119" t="s">
        <v>6431</v>
      </c>
    </row>
    <row r="805" spans="1:5" ht="25.5" x14ac:dyDescent="0.25">
      <c r="A805" s="119">
        <v>888</v>
      </c>
      <c r="B805" s="119" t="s">
        <v>6429</v>
      </c>
      <c r="C805" s="119" t="s">
        <v>6599</v>
      </c>
      <c r="D805" s="119" t="s">
        <v>1316</v>
      </c>
      <c r="E805" s="119" t="s">
        <v>6431</v>
      </c>
    </row>
    <row r="806" spans="1:5" ht="25.5" x14ac:dyDescent="0.25">
      <c r="A806" s="119">
        <v>897</v>
      </c>
      <c r="B806" s="119" t="s">
        <v>6429</v>
      </c>
      <c r="C806" s="119" t="s">
        <v>6600</v>
      </c>
      <c r="D806" s="119" t="s">
        <v>1333</v>
      </c>
      <c r="E806" s="119" t="s">
        <v>6431</v>
      </c>
    </row>
    <row r="807" spans="1:5" ht="25.5" x14ac:dyDescent="0.25">
      <c r="A807" s="119">
        <v>898</v>
      </c>
      <c r="B807" s="119" t="s">
        <v>6429</v>
      </c>
      <c r="C807" s="119" t="s">
        <v>6601</v>
      </c>
      <c r="D807" s="119" t="s">
        <v>1335</v>
      </c>
      <c r="E807" s="119" t="s">
        <v>6431</v>
      </c>
    </row>
    <row r="808" spans="1:5" ht="25.5" x14ac:dyDescent="0.25">
      <c r="A808" s="119">
        <v>899</v>
      </c>
      <c r="B808" s="119" t="s">
        <v>6429</v>
      </c>
      <c r="C808" s="119" t="s">
        <v>6602</v>
      </c>
      <c r="D808" s="119" t="s">
        <v>1337</v>
      </c>
      <c r="E808" s="119" t="s">
        <v>6431</v>
      </c>
    </row>
    <row r="809" spans="1:5" ht="25.5" x14ac:dyDescent="0.25">
      <c r="A809" s="119">
        <v>900</v>
      </c>
      <c r="B809" s="119" t="s">
        <v>6429</v>
      </c>
      <c r="C809" s="119" t="s">
        <v>6603</v>
      </c>
      <c r="D809" s="119" t="s">
        <v>1339</v>
      </c>
      <c r="E809" s="119" t="s">
        <v>6431</v>
      </c>
    </row>
    <row r="810" spans="1:5" ht="25.5" x14ac:dyDescent="0.25">
      <c r="A810" s="119">
        <v>901</v>
      </c>
      <c r="B810" s="119" t="s">
        <v>6429</v>
      </c>
      <c r="C810" s="119" t="s">
        <v>6604</v>
      </c>
      <c r="D810" s="119" t="s">
        <v>1341</v>
      </c>
      <c r="E810" s="119" t="s">
        <v>6431</v>
      </c>
    </row>
    <row r="811" spans="1:5" ht="25.5" x14ac:dyDescent="0.25">
      <c r="A811" s="119">
        <v>902</v>
      </c>
      <c r="B811" s="119" t="s">
        <v>6429</v>
      </c>
      <c r="C811" s="119" t="s">
        <v>6605</v>
      </c>
      <c r="D811" s="119" t="s">
        <v>1343</v>
      </c>
      <c r="E811" s="119" t="s">
        <v>6431</v>
      </c>
    </row>
    <row r="812" spans="1:5" ht="25.5" x14ac:dyDescent="0.25">
      <c r="A812" s="119">
        <v>909</v>
      </c>
      <c r="B812" s="119" t="s">
        <v>6429</v>
      </c>
      <c r="C812" s="119" t="s">
        <v>6606</v>
      </c>
      <c r="D812" s="119" t="s">
        <v>1356</v>
      </c>
      <c r="E812" s="119" t="s">
        <v>6431</v>
      </c>
    </row>
    <row r="813" spans="1:5" ht="25.5" x14ac:dyDescent="0.25">
      <c r="A813" s="119">
        <v>910</v>
      </c>
      <c r="B813" s="119" t="s">
        <v>6429</v>
      </c>
      <c r="C813" s="119" t="s">
        <v>6607</v>
      </c>
      <c r="D813" s="119" t="s">
        <v>1358</v>
      </c>
      <c r="E813" s="119" t="s">
        <v>6431</v>
      </c>
    </row>
    <row r="814" spans="1:5" ht="25.5" x14ac:dyDescent="0.25">
      <c r="A814" s="119">
        <v>911</v>
      </c>
      <c r="B814" s="119" t="s">
        <v>6429</v>
      </c>
      <c r="C814" s="119" t="s">
        <v>6608</v>
      </c>
      <c r="D814" s="119" t="s">
        <v>1360</v>
      </c>
      <c r="E814" s="119" t="s">
        <v>6431</v>
      </c>
    </row>
    <row r="815" spans="1:5" ht="25.5" x14ac:dyDescent="0.25">
      <c r="A815" s="119">
        <v>912</v>
      </c>
      <c r="B815" s="119" t="s">
        <v>6429</v>
      </c>
      <c r="C815" s="119" t="s">
        <v>6609</v>
      </c>
      <c r="D815" s="119" t="s">
        <v>1362</v>
      </c>
      <c r="E815" s="119" t="s">
        <v>6431</v>
      </c>
    </row>
    <row r="816" spans="1:5" ht="25.5" x14ac:dyDescent="0.25">
      <c r="A816" s="119">
        <v>913</v>
      </c>
      <c r="B816" s="119" t="s">
        <v>6429</v>
      </c>
      <c r="C816" s="119" t="s">
        <v>6610</v>
      </c>
      <c r="D816" s="119" t="s">
        <v>1364</v>
      </c>
      <c r="E816" s="119" t="s">
        <v>6431</v>
      </c>
    </row>
    <row r="817" spans="1:5" ht="25.5" x14ac:dyDescent="0.25">
      <c r="A817" s="119">
        <v>914</v>
      </c>
      <c r="B817" s="119" t="s">
        <v>6429</v>
      </c>
      <c r="C817" s="119" t="s">
        <v>6611</v>
      </c>
      <c r="D817" s="119" t="s">
        <v>1366</v>
      </c>
      <c r="E817" s="119" t="s">
        <v>6431</v>
      </c>
    </row>
    <row r="818" spans="1:5" ht="25.5" x14ac:dyDescent="0.25">
      <c r="A818" s="119">
        <v>915</v>
      </c>
      <c r="B818" s="119" t="s">
        <v>6429</v>
      </c>
      <c r="C818" s="119" t="s">
        <v>6612</v>
      </c>
      <c r="D818" s="119" t="s">
        <v>1368</v>
      </c>
      <c r="E818" s="119" t="s">
        <v>6431</v>
      </c>
    </row>
    <row r="819" spans="1:5" ht="25.5" x14ac:dyDescent="0.25">
      <c r="A819" s="119">
        <v>916</v>
      </c>
      <c r="B819" s="119" t="s">
        <v>6429</v>
      </c>
      <c r="C819" s="119" t="s">
        <v>6613</v>
      </c>
      <c r="D819" s="119" t="s">
        <v>1370</v>
      </c>
      <c r="E819" s="119" t="s">
        <v>6431</v>
      </c>
    </row>
    <row r="820" spans="1:5" ht="25.5" x14ac:dyDescent="0.25">
      <c r="A820" s="119">
        <v>922</v>
      </c>
      <c r="B820" s="119" t="s">
        <v>6429</v>
      </c>
      <c r="C820" s="119" t="s">
        <v>6614</v>
      </c>
      <c r="D820" s="119" t="s">
        <v>1382</v>
      </c>
      <c r="E820" s="119" t="s">
        <v>6431</v>
      </c>
    </row>
    <row r="821" spans="1:5" ht="25.5" x14ac:dyDescent="0.25">
      <c r="A821" s="119">
        <v>923</v>
      </c>
      <c r="B821" s="119" t="s">
        <v>6429</v>
      </c>
      <c r="C821" s="119" t="s">
        <v>6615</v>
      </c>
      <c r="D821" s="119" t="s">
        <v>1384</v>
      </c>
      <c r="E821" s="119" t="s">
        <v>6431</v>
      </c>
    </row>
    <row r="822" spans="1:5" ht="25.5" x14ac:dyDescent="0.25">
      <c r="A822" s="119">
        <v>932</v>
      </c>
      <c r="B822" s="119" t="s">
        <v>6429</v>
      </c>
      <c r="C822" s="119" t="s">
        <v>6616</v>
      </c>
      <c r="D822" s="119" t="s">
        <v>1397</v>
      </c>
      <c r="E822" s="119" t="s">
        <v>6431</v>
      </c>
    </row>
    <row r="823" spans="1:5" ht="25.5" x14ac:dyDescent="0.25">
      <c r="A823" s="119">
        <v>933</v>
      </c>
      <c r="B823" s="119" t="s">
        <v>6429</v>
      </c>
      <c r="C823" s="119" t="s">
        <v>6617</v>
      </c>
      <c r="D823" s="119" t="s">
        <v>1399</v>
      </c>
      <c r="E823" s="119" t="s">
        <v>6431</v>
      </c>
    </row>
    <row r="824" spans="1:5" ht="25.5" x14ac:dyDescent="0.25">
      <c r="A824" s="119">
        <v>934</v>
      </c>
      <c r="B824" s="119" t="s">
        <v>6429</v>
      </c>
      <c r="C824" s="119" t="s">
        <v>6618</v>
      </c>
      <c r="D824" s="119" t="s">
        <v>1401</v>
      </c>
      <c r="E824" s="119" t="s">
        <v>6431</v>
      </c>
    </row>
    <row r="825" spans="1:5" ht="25.5" x14ac:dyDescent="0.25">
      <c r="A825" s="119">
        <v>935</v>
      </c>
      <c r="B825" s="119" t="s">
        <v>6429</v>
      </c>
      <c r="C825" s="119" t="s">
        <v>6619</v>
      </c>
      <c r="D825" s="119" t="s">
        <v>1403</v>
      </c>
      <c r="E825" s="119" t="s">
        <v>6431</v>
      </c>
    </row>
    <row r="826" spans="1:5" ht="25.5" x14ac:dyDescent="0.25">
      <c r="A826" s="119">
        <v>936</v>
      </c>
      <c r="B826" s="119" t="s">
        <v>6429</v>
      </c>
      <c r="C826" s="119" t="s">
        <v>6620</v>
      </c>
      <c r="D826" s="119" t="s">
        <v>1405</v>
      </c>
      <c r="E826" s="119" t="s">
        <v>6431</v>
      </c>
    </row>
    <row r="827" spans="1:5" ht="25.5" x14ac:dyDescent="0.25">
      <c r="A827" s="119">
        <v>937</v>
      </c>
      <c r="B827" s="119" t="s">
        <v>6429</v>
      </c>
      <c r="C827" s="119" t="s">
        <v>6621</v>
      </c>
      <c r="D827" s="119" t="s">
        <v>1407</v>
      </c>
      <c r="E827" s="119" t="s">
        <v>6431</v>
      </c>
    </row>
    <row r="828" spans="1:5" ht="25.5" x14ac:dyDescent="0.25">
      <c r="A828" s="119">
        <v>938</v>
      </c>
      <c r="B828" s="119" t="s">
        <v>6429</v>
      </c>
      <c r="C828" s="119" t="s">
        <v>6622</v>
      </c>
      <c r="D828" s="119" t="s">
        <v>1408</v>
      </c>
      <c r="E828" s="119" t="s">
        <v>6431</v>
      </c>
    </row>
    <row r="829" spans="1:5" ht="25.5" x14ac:dyDescent="0.25">
      <c r="A829" s="119">
        <v>939</v>
      </c>
      <c r="B829" s="119" t="s">
        <v>6429</v>
      </c>
      <c r="C829" s="119" t="s">
        <v>6623</v>
      </c>
      <c r="D829" s="119" t="s">
        <v>1410</v>
      </c>
      <c r="E829" s="119" t="s">
        <v>6431</v>
      </c>
    </row>
    <row r="830" spans="1:5" ht="25.5" x14ac:dyDescent="0.25">
      <c r="A830" s="119">
        <v>940</v>
      </c>
      <c r="B830" s="119" t="s">
        <v>6429</v>
      </c>
      <c r="C830" s="119" t="s">
        <v>6624</v>
      </c>
      <c r="D830" s="119" t="s">
        <v>1412</v>
      </c>
      <c r="E830" s="119" t="s">
        <v>6431</v>
      </c>
    </row>
    <row r="831" spans="1:5" ht="25.5" x14ac:dyDescent="0.25">
      <c r="A831" s="119">
        <v>941</v>
      </c>
      <c r="B831" s="119" t="s">
        <v>6429</v>
      </c>
      <c r="C831" s="119" t="s">
        <v>6625</v>
      </c>
      <c r="D831" s="119" t="s">
        <v>1414</v>
      </c>
      <c r="E831" s="119" t="s">
        <v>6431</v>
      </c>
    </row>
    <row r="832" spans="1:5" ht="25.5" x14ac:dyDescent="0.25">
      <c r="A832" s="119">
        <v>942</v>
      </c>
      <c r="B832" s="119" t="s">
        <v>6429</v>
      </c>
      <c r="C832" s="119" t="s">
        <v>6626</v>
      </c>
      <c r="D832" s="119" t="s">
        <v>1416</v>
      </c>
      <c r="E832" s="119" t="s">
        <v>6431</v>
      </c>
    </row>
    <row r="833" spans="1:5" ht="25.5" x14ac:dyDescent="0.25">
      <c r="A833" s="119">
        <v>943</v>
      </c>
      <c r="B833" s="119" t="s">
        <v>6429</v>
      </c>
      <c r="C833" s="119" t="s">
        <v>6627</v>
      </c>
      <c r="D833" s="119" t="s">
        <v>1418</v>
      </c>
      <c r="E833" s="119" t="s">
        <v>6431</v>
      </c>
    </row>
    <row r="834" spans="1:5" ht="25.5" x14ac:dyDescent="0.25">
      <c r="A834" s="119">
        <v>944</v>
      </c>
      <c r="B834" s="119" t="s">
        <v>6429</v>
      </c>
      <c r="C834" s="119" t="s">
        <v>6628</v>
      </c>
      <c r="D834" s="119" t="s">
        <v>1419</v>
      </c>
      <c r="E834" s="119" t="s">
        <v>6431</v>
      </c>
    </row>
    <row r="835" spans="1:5" ht="25.5" x14ac:dyDescent="0.25">
      <c r="A835" s="119">
        <v>945</v>
      </c>
      <c r="B835" s="119" t="s">
        <v>6429</v>
      </c>
      <c r="C835" s="119" t="s">
        <v>6629</v>
      </c>
      <c r="D835" s="119" t="s">
        <v>1420</v>
      </c>
      <c r="E835" s="119" t="s">
        <v>6431</v>
      </c>
    </row>
    <row r="836" spans="1:5" ht="25.5" x14ac:dyDescent="0.25">
      <c r="A836" s="119">
        <v>946</v>
      </c>
      <c r="B836" s="119" t="s">
        <v>6429</v>
      </c>
      <c r="C836" s="119" t="s">
        <v>6630</v>
      </c>
      <c r="D836" s="119" t="s">
        <v>1422</v>
      </c>
      <c r="E836" s="119" t="s">
        <v>6431</v>
      </c>
    </row>
    <row r="837" spans="1:5" ht="25.5" x14ac:dyDescent="0.25">
      <c r="A837" s="119">
        <v>947</v>
      </c>
      <c r="B837" s="119" t="s">
        <v>6429</v>
      </c>
      <c r="C837" s="119" t="s">
        <v>6631</v>
      </c>
      <c r="D837" s="119" t="s">
        <v>1424</v>
      </c>
      <c r="E837" s="119" t="s">
        <v>6431</v>
      </c>
    </row>
    <row r="838" spans="1:5" ht="25.5" x14ac:dyDescent="0.25">
      <c r="A838" s="119">
        <v>948</v>
      </c>
      <c r="B838" s="119" t="s">
        <v>6429</v>
      </c>
      <c r="C838" s="119" t="s">
        <v>6632</v>
      </c>
      <c r="D838" s="119" t="s">
        <v>1426</v>
      </c>
      <c r="E838" s="119" t="s">
        <v>6431</v>
      </c>
    </row>
    <row r="839" spans="1:5" ht="25.5" x14ac:dyDescent="0.25">
      <c r="A839" s="119">
        <v>949</v>
      </c>
      <c r="B839" s="119" t="s">
        <v>6429</v>
      </c>
      <c r="C839" s="119" t="s">
        <v>6633</v>
      </c>
      <c r="D839" s="119" t="s">
        <v>1428</v>
      </c>
      <c r="E839" s="119" t="s">
        <v>6431</v>
      </c>
    </row>
    <row r="840" spans="1:5" ht="25.5" x14ac:dyDescent="0.25">
      <c r="A840" s="119">
        <v>950</v>
      </c>
      <c r="B840" s="119" t="s">
        <v>6429</v>
      </c>
      <c r="C840" s="119" t="s">
        <v>6634</v>
      </c>
      <c r="D840" s="119" t="s">
        <v>1430</v>
      </c>
      <c r="E840" s="119" t="s">
        <v>6431</v>
      </c>
    </row>
    <row r="841" spans="1:5" ht="25.5" x14ac:dyDescent="0.25">
      <c r="A841" s="119">
        <v>951</v>
      </c>
      <c r="B841" s="119" t="s">
        <v>6429</v>
      </c>
      <c r="C841" s="119" t="s">
        <v>6635</v>
      </c>
      <c r="D841" s="119" t="s">
        <v>1432</v>
      </c>
      <c r="E841" s="119" t="s">
        <v>6431</v>
      </c>
    </row>
    <row r="842" spans="1:5" ht="25.5" x14ac:dyDescent="0.25">
      <c r="A842" s="119">
        <v>952</v>
      </c>
      <c r="B842" s="119" t="s">
        <v>6429</v>
      </c>
      <c r="C842" s="119" t="s">
        <v>6636</v>
      </c>
      <c r="D842" s="119" t="s">
        <v>1434</v>
      </c>
      <c r="E842" s="119" t="s">
        <v>6431</v>
      </c>
    </row>
    <row r="843" spans="1:5" ht="25.5" x14ac:dyDescent="0.25">
      <c r="A843" s="119">
        <v>953</v>
      </c>
      <c r="B843" s="119" t="s">
        <v>6429</v>
      </c>
      <c r="C843" s="119" t="s">
        <v>6637</v>
      </c>
      <c r="D843" s="119" t="s">
        <v>1436</v>
      </c>
      <c r="E843" s="119" t="s">
        <v>6431</v>
      </c>
    </row>
    <row r="844" spans="1:5" ht="25.5" x14ac:dyDescent="0.25">
      <c r="A844" s="119">
        <v>954</v>
      </c>
      <c r="B844" s="119" t="s">
        <v>6429</v>
      </c>
      <c r="C844" s="119" t="s">
        <v>6638</v>
      </c>
      <c r="D844" s="119" t="s">
        <v>1438</v>
      </c>
      <c r="E844" s="119" t="s">
        <v>6431</v>
      </c>
    </row>
    <row r="845" spans="1:5" ht="25.5" x14ac:dyDescent="0.25">
      <c r="A845" s="119">
        <v>955</v>
      </c>
      <c r="B845" s="119" t="s">
        <v>6429</v>
      </c>
      <c r="C845" s="119" t="s">
        <v>6639</v>
      </c>
      <c r="D845" s="119" t="s">
        <v>1440</v>
      </c>
      <c r="E845" s="119" t="s">
        <v>6431</v>
      </c>
    </row>
    <row r="846" spans="1:5" ht="25.5" x14ac:dyDescent="0.25">
      <c r="A846" s="119">
        <v>956</v>
      </c>
      <c r="B846" s="119" t="s">
        <v>6429</v>
      </c>
      <c r="C846" s="119" t="s">
        <v>6640</v>
      </c>
      <c r="D846" s="119" t="s">
        <v>1441</v>
      </c>
      <c r="E846" s="119" t="s">
        <v>6431</v>
      </c>
    </row>
    <row r="847" spans="1:5" ht="25.5" x14ac:dyDescent="0.25">
      <c r="A847" s="119">
        <v>957</v>
      </c>
      <c r="B847" s="119" t="s">
        <v>6429</v>
      </c>
      <c r="C847" s="119" t="s">
        <v>6641</v>
      </c>
      <c r="D847" s="119" t="s">
        <v>1443</v>
      </c>
      <c r="E847" s="119" t="s">
        <v>6431</v>
      </c>
    </row>
    <row r="848" spans="1:5" ht="25.5" x14ac:dyDescent="0.25">
      <c r="A848" s="119">
        <v>958</v>
      </c>
      <c r="B848" s="119" t="s">
        <v>6429</v>
      </c>
      <c r="C848" s="119" t="s">
        <v>6642</v>
      </c>
      <c r="D848" s="119" t="s">
        <v>1445</v>
      </c>
      <c r="E848" s="119" t="s">
        <v>6431</v>
      </c>
    </row>
    <row r="849" spans="1:5" ht="25.5" x14ac:dyDescent="0.25">
      <c r="A849" s="119">
        <v>959</v>
      </c>
      <c r="B849" s="119" t="s">
        <v>6429</v>
      </c>
      <c r="C849" s="119" t="s">
        <v>6643</v>
      </c>
      <c r="D849" s="119" t="s">
        <v>1447</v>
      </c>
      <c r="E849" s="119" t="s">
        <v>6431</v>
      </c>
    </row>
    <row r="850" spans="1:5" ht="25.5" x14ac:dyDescent="0.25">
      <c r="A850" s="119">
        <v>960</v>
      </c>
      <c r="B850" s="119" t="s">
        <v>6429</v>
      </c>
      <c r="C850" s="119" t="s">
        <v>6644</v>
      </c>
      <c r="D850" s="119" t="s">
        <v>1449</v>
      </c>
      <c r="E850" s="119" t="s">
        <v>6431</v>
      </c>
    </row>
    <row r="851" spans="1:5" ht="25.5" x14ac:dyDescent="0.25">
      <c r="A851" s="119">
        <v>961</v>
      </c>
      <c r="B851" s="119" t="s">
        <v>6429</v>
      </c>
      <c r="C851" s="119" t="s">
        <v>6645</v>
      </c>
      <c r="D851" s="119" t="s">
        <v>1451</v>
      </c>
      <c r="E851" s="119" t="s">
        <v>6431</v>
      </c>
    </row>
    <row r="852" spans="1:5" ht="25.5" x14ac:dyDescent="0.25">
      <c r="A852" s="119">
        <v>962</v>
      </c>
      <c r="B852" s="119" t="s">
        <v>6429</v>
      </c>
      <c r="C852" s="119" t="s">
        <v>6646</v>
      </c>
      <c r="D852" s="119" t="s">
        <v>1453</v>
      </c>
      <c r="E852" s="119" t="s">
        <v>6431</v>
      </c>
    </row>
    <row r="853" spans="1:5" ht="25.5" x14ac:dyDescent="0.25">
      <c r="A853" s="119">
        <v>963</v>
      </c>
      <c r="B853" s="119" t="s">
        <v>6429</v>
      </c>
      <c r="C853" s="119" t="s">
        <v>6647</v>
      </c>
      <c r="D853" s="119" t="s">
        <v>1455</v>
      </c>
      <c r="E853" s="119" t="s">
        <v>6431</v>
      </c>
    </row>
    <row r="854" spans="1:5" ht="25.5" x14ac:dyDescent="0.25">
      <c r="A854" s="119">
        <v>964</v>
      </c>
      <c r="B854" s="119" t="s">
        <v>6429</v>
      </c>
      <c r="C854" s="119" t="s">
        <v>6648</v>
      </c>
      <c r="D854" s="119" t="s">
        <v>1457</v>
      </c>
      <c r="E854" s="119" t="s">
        <v>6431</v>
      </c>
    </row>
    <row r="855" spans="1:5" ht="25.5" x14ac:dyDescent="0.25">
      <c r="A855" s="119">
        <v>965</v>
      </c>
      <c r="B855" s="119" t="s">
        <v>6429</v>
      </c>
      <c r="C855" s="119" t="s">
        <v>6649</v>
      </c>
      <c r="D855" s="119" t="s">
        <v>1459</v>
      </c>
      <c r="E855" s="119" t="s">
        <v>6431</v>
      </c>
    </row>
    <row r="856" spans="1:5" ht="25.5" x14ac:dyDescent="0.25">
      <c r="A856" s="119">
        <v>966</v>
      </c>
      <c r="B856" s="119" t="s">
        <v>6429</v>
      </c>
      <c r="C856" s="119" t="s">
        <v>6650</v>
      </c>
      <c r="D856" s="119" t="s">
        <v>1461</v>
      </c>
      <c r="E856" s="119" t="s">
        <v>6431</v>
      </c>
    </row>
    <row r="857" spans="1:5" ht="25.5" x14ac:dyDescent="0.25">
      <c r="A857" s="119">
        <v>967</v>
      </c>
      <c r="B857" s="119" t="s">
        <v>6429</v>
      </c>
      <c r="C857" s="119" t="s">
        <v>6651</v>
      </c>
      <c r="D857" s="119" t="s">
        <v>1463</v>
      </c>
      <c r="E857" s="119" t="s">
        <v>6431</v>
      </c>
    </row>
    <row r="858" spans="1:5" ht="25.5" x14ac:dyDescent="0.25">
      <c r="A858" s="119">
        <v>968</v>
      </c>
      <c r="B858" s="119" t="s">
        <v>6429</v>
      </c>
      <c r="C858" s="119" t="s">
        <v>6652</v>
      </c>
      <c r="D858" s="119" t="s">
        <v>1465</v>
      </c>
      <c r="E858" s="119" t="s">
        <v>6431</v>
      </c>
    </row>
    <row r="859" spans="1:5" ht="25.5" x14ac:dyDescent="0.25">
      <c r="A859" s="119">
        <v>969</v>
      </c>
      <c r="B859" s="119" t="s">
        <v>6429</v>
      </c>
      <c r="C859" s="119" t="s">
        <v>6653</v>
      </c>
      <c r="D859" s="119" t="s">
        <v>1467</v>
      </c>
      <c r="E859" s="119" t="s">
        <v>6431</v>
      </c>
    </row>
    <row r="860" spans="1:5" ht="25.5" x14ac:dyDescent="0.25">
      <c r="A860" s="119">
        <v>996</v>
      </c>
      <c r="B860" s="119" t="s">
        <v>6429</v>
      </c>
      <c r="C860" s="119" t="s">
        <v>6654</v>
      </c>
      <c r="D860" s="119" t="s">
        <v>1517</v>
      </c>
      <c r="E860" s="119" t="s">
        <v>6431</v>
      </c>
    </row>
    <row r="861" spans="1:5" ht="25.5" x14ac:dyDescent="0.25">
      <c r="A861" s="119">
        <v>997</v>
      </c>
      <c r="B861" s="119" t="s">
        <v>6429</v>
      </c>
      <c r="C861" s="119" t="s">
        <v>6655</v>
      </c>
      <c r="D861" s="119" t="s">
        <v>1518</v>
      </c>
      <c r="E861" s="119" t="s">
        <v>6431</v>
      </c>
    </row>
    <row r="862" spans="1:5" ht="25.5" x14ac:dyDescent="0.25">
      <c r="A862" s="119">
        <v>998</v>
      </c>
      <c r="B862" s="119" t="s">
        <v>6429</v>
      </c>
      <c r="C862" s="119" t="s">
        <v>6656</v>
      </c>
      <c r="D862" s="119" t="s">
        <v>1520</v>
      </c>
      <c r="E862" s="119" t="s">
        <v>6431</v>
      </c>
    </row>
    <row r="863" spans="1:5" ht="25.5" x14ac:dyDescent="0.25">
      <c r="A863" s="119">
        <v>999</v>
      </c>
      <c r="B863" s="119" t="s">
        <v>6429</v>
      </c>
      <c r="C863" s="119" t="s">
        <v>6657</v>
      </c>
      <c r="D863" s="119" t="s">
        <v>1522</v>
      </c>
      <c r="E863" s="119" t="s">
        <v>6431</v>
      </c>
    </row>
    <row r="864" spans="1:5" ht="25.5" x14ac:dyDescent="0.25">
      <c r="A864" s="119">
        <v>1000</v>
      </c>
      <c r="B864" s="119" t="s">
        <v>6429</v>
      </c>
      <c r="C864" s="119" t="s">
        <v>6658</v>
      </c>
      <c r="D864" s="119" t="s">
        <v>1524</v>
      </c>
      <c r="E864" s="119" t="s">
        <v>6431</v>
      </c>
    </row>
    <row r="865" spans="1:5" ht="25.5" x14ac:dyDescent="0.25">
      <c r="A865" s="119">
        <v>1001</v>
      </c>
      <c r="B865" s="119" t="s">
        <v>6429</v>
      </c>
      <c r="C865" s="119" t="s">
        <v>6659</v>
      </c>
      <c r="D865" s="119" t="s">
        <v>1526</v>
      </c>
      <c r="E865" s="119" t="s">
        <v>6431</v>
      </c>
    </row>
    <row r="866" spans="1:5" ht="25.5" x14ac:dyDescent="0.25">
      <c r="A866" s="119">
        <v>1002</v>
      </c>
      <c r="B866" s="119" t="s">
        <v>6429</v>
      </c>
      <c r="C866" s="119" t="s">
        <v>6660</v>
      </c>
      <c r="D866" s="119" t="s">
        <v>1528</v>
      </c>
      <c r="E866" s="119" t="s">
        <v>6431</v>
      </c>
    </row>
    <row r="867" spans="1:5" ht="25.5" x14ac:dyDescent="0.25">
      <c r="A867" s="119">
        <v>1003</v>
      </c>
      <c r="B867" s="119" t="s">
        <v>6429</v>
      </c>
      <c r="C867" s="119" t="s">
        <v>6661</v>
      </c>
      <c r="D867" s="119" t="s">
        <v>1530</v>
      </c>
      <c r="E867" s="119" t="s">
        <v>6431</v>
      </c>
    </row>
    <row r="868" spans="1:5" ht="25.5" x14ac:dyDescent="0.25">
      <c r="A868" s="119">
        <v>1004</v>
      </c>
      <c r="B868" s="119" t="s">
        <v>6429</v>
      </c>
      <c r="C868" s="119" t="s">
        <v>6662</v>
      </c>
      <c r="D868" s="119" t="s">
        <v>1532</v>
      </c>
      <c r="E868" s="119" t="s">
        <v>6431</v>
      </c>
    </row>
    <row r="869" spans="1:5" ht="25.5" x14ac:dyDescent="0.25">
      <c r="A869" s="119">
        <v>1005</v>
      </c>
      <c r="B869" s="119" t="s">
        <v>6429</v>
      </c>
      <c r="C869" s="119" t="s">
        <v>6663</v>
      </c>
      <c r="D869" s="119" t="s">
        <v>1534</v>
      </c>
      <c r="E869" s="119" t="s">
        <v>6431</v>
      </c>
    </row>
    <row r="870" spans="1:5" ht="25.5" x14ac:dyDescent="0.25">
      <c r="A870" s="119">
        <v>1006</v>
      </c>
      <c r="B870" s="119" t="s">
        <v>6429</v>
      </c>
      <c r="C870" s="119" t="s">
        <v>6664</v>
      </c>
      <c r="D870" s="119" t="s">
        <v>1536</v>
      </c>
      <c r="E870" s="119" t="s">
        <v>6431</v>
      </c>
    </row>
    <row r="871" spans="1:5" ht="25.5" x14ac:dyDescent="0.25">
      <c r="A871" s="119">
        <v>1007</v>
      </c>
      <c r="B871" s="119" t="s">
        <v>6429</v>
      </c>
      <c r="C871" s="119" t="s">
        <v>6665</v>
      </c>
      <c r="D871" s="119" t="s">
        <v>1538</v>
      </c>
      <c r="E871" s="119" t="s">
        <v>6431</v>
      </c>
    </row>
    <row r="872" spans="1:5" ht="25.5" x14ac:dyDescent="0.25">
      <c r="A872" s="119">
        <v>1008</v>
      </c>
      <c r="B872" s="119" t="s">
        <v>6429</v>
      </c>
      <c r="C872" s="119" t="s">
        <v>6666</v>
      </c>
      <c r="D872" s="119" t="s">
        <v>1540</v>
      </c>
      <c r="E872" s="119" t="s">
        <v>6431</v>
      </c>
    </row>
    <row r="873" spans="1:5" ht="25.5" x14ac:dyDescent="0.25">
      <c r="A873" s="119">
        <v>1009</v>
      </c>
      <c r="B873" s="119" t="s">
        <v>6429</v>
      </c>
      <c r="C873" s="119" t="s">
        <v>6667</v>
      </c>
      <c r="D873" s="119" t="s">
        <v>1542</v>
      </c>
      <c r="E873" s="119" t="s">
        <v>6431</v>
      </c>
    </row>
    <row r="874" spans="1:5" ht="25.5" x14ac:dyDescent="0.25">
      <c r="A874" s="119">
        <v>1010</v>
      </c>
      <c r="B874" s="119" t="s">
        <v>6429</v>
      </c>
      <c r="C874" s="119" t="s">
        <v>6668</v>
      </c>
      <c r="D874" s="119" t="s">
        <v>1544</v>
      </c>
      <c r="E874" s="119" t="s">
        <v>6431</v>
      </c>
    </row>
    <row r="875" spans="1:5" ht="25.5" x14ac:dyDescent="0.25">
      <c r="A875" s="119">
        <v>1011</v>
      </c>
      <c r="B875" s="119" t="s">
        <v>6429</v>
      </c>
      <c r="C875" s="119" t="s">
        <v>6669</v>
      </c>
      <c r="D875" s="119" t="s">
        <v>1546</v>
      </c>
      <c r="E875" s="119" t="s">
        <v>6431</v>
      </c>
    </row>
    <row r="876" spans="1:5" ht="25.5" x14ac:dyDescent="0.25">
      <c r="A876" s="119">
        <v>1012</v>
      </c>
      <c r="B876" s="119" t="s">
        <v>6429</v>
      </c>
      <c r="C876" s="119" t="s">
        <v>6670</v>
      </c>
      <c r="D876" s="119" t="s">
        <v>1548</v>
      </c>
      <c r="E876" s="119" t="s">
        <v>6431</v>
      </c>
    </row>
    <row r="877" spans="1:5" ht="25.5" x14ac:dyDescent="0.25">
      <c r="A877" s="119">
        <v>1013</v>
      </c>
      <c r="B877" s="119" t="s">
        <v>6429</v>
      </c>
      <c r="C877" s="119" t="s">
        <v>6671</v>
      </c>
      <c r="D877" s="119" t="s">
        <v>1550</v>
      </c>
      <c r="E877" s="119" t="s">
        <v>6431</v>
      </c>
    </row>
    <row r="878" spans="1:5" ht="25.5" x14ac:dyDescent="0.25">
      <c r="A878" s="119">
        <v>1014</v>
      </c>
      <c r="B878" s="119" t="s">
        <v>6429</v>
      </c>
      <c r="C878" s="119" t="s">
        <v>6672</v>
      </c>
      <c r="D878" s="119" t="s">
        <v>1552</v>
      </c>
      <c r="E878" s="119" t="s">
        <v>6431</v>
      </c>
    </row>
    <row r="879" spans="1:5" ht="25.5" x14ac:dyDescent="0.25">
      <c r="A879" s="119">
        <v>1015</v>
      </c>
      <c r="B879" s="119" t="s">
        <v>6429</v>
      </c>
      <c r="C879" s="119" t="s">
        <v>6673</v>
      </c>
      <c r="D879" s="119" t="s">
        <v>1554</v>
      </c>
      <c r="E879" s="119" t="s">
        <v>6431</v>
      </c>
    </row>
    <row r="880" spans="1:5" ht="25.5" x14ac:dyDescent="0.25">
      <c r="A880" s="119">
        <v>1016</v>
      </c>
      <c r="B880" s="119" t="s">
        <v>6429</v>
      </c>
      <c r="C880" s="119" t="s">
        <v>6674</v>
      </c>
      <c r="D880" s="119" t="s">
        <v>1556</v>
      </c>
      <c r="E880" s="119" t="s">
        <v>6431</v>
      </c>
    </row>
    <row r="881" spans="1:5" ht="25.5" x14ac:dyDescent="0.25">
      <c r="A881" s="119">
        <v>1017</v>
      </c>
      <c r="B881" s="119" t="s">
        <v>6429</v>
      </c>
      <c r="C881" s="119" t="s">
        <v>6675</v>
      </c>
      <c r="D881" s="119" t="s">
        <v>1558</v>
      </c>
      <c r="E881" s="119" t="s">
        <v>6431</v>
      </c>
    </row>
    <row r="882" spans="1:5" ht="25.5" x14ac:dyDescent="0.25">
      <c r="A882" s="119">
        <v>1018</v>
      </c>
      <c r="B882" s="119" t="s">
        <v>6429</v>
      </c>
      <c r="C882" s="119" t="s">
        <v>6676</v>
      </c>
      <c r="D882" s="119" t="s">
        <v>1560</v>
      </c>
      <c r="E882" s="119" t="s">
        <v>6431</v>
      </c>
    </row>
    <row r="883" spans="1:5" ht="25.5" x14ac:dyDescent="0.25">
      <c r="A883" s="119">
        <v>1019</v>
      </c>
      <c r="B883" s="119" t="s">
        <v>6429</v>
      </c>
      <c r="C883" s="119" t="s">
        <v>6677</v>
      </c>
      <c r="D883" s="119" t="s">
        <v>1562</v>
      </c>
      <c r="E883" s="119" t="s">
        <v>6431</v>
      </c>
    </row>
    <row r="884" spans="1:5" ht="25.5" x14ac:dyDescent="0.25">
      <c r="A884" s="119">
        <v>1020</v>
      </c>
      <c r="B884" s="119" t="s">
        <v>6429</v>
      </c>
      <c r="C884" s="119" t="s">
        <v>6678</v>
      </c>
      <c r="D884" s="119" t="s">
        <v>1564</v>
      </c>
      <c r="E884" s="119" t="s">
        <v>6431</v>
      </c>
    </row>
    <row r="885" spans="1:5" ht="25.5" x14ac:dyDescent="0.25">
      <c r="A885" s="119">
        <v>1021</v>
      </c>
      <c r="B885" s="119" t="s">
        <v>6429</v>
      </c>
      <c r="C885" s="119" t="s">
        <v>6679</v>
      </c>
      <c r="D885" s="119" t="s">
        <v>1566</v>
      </c>
      <c r="E885" s="119" t="s">
        <v>6431</v>
      </c>
    </row>
    <row r="886" spans="1:5" ht="25.5" x14ac:dyDescent="0.25">
      <c r="A886" s="119">
        <v>1022</v>
      </c>
      <c r="B886" s="119" t="s">
        <v>6429</v>
      </c>
      <c r="C886" s="119" t="s">
        <v>6680</v>
      </c>
      <c r="D886" s="119" t="s">
        <v>1568</v>
      </c>
      <c r="E886" s="119" t="s">
        <v>6431</v>
      </c>
    </row>
    <row r="887" spans="1:5" ht="25.5" x14ac:dyDescent="0.25">
      <c r="A887" s="119">
        <v>1023</v>
      </c>
      <c r="B887" s="119" t="s">
        <v>6429</v>
      </c>
      <c r="C887" s="119" t="s">
        <v>6681</v>
      </c>
      <c r="D887" s="119" t="s">
        <v>1570</v>
      </c>
      <c r="E887" s="119" t="s">
        <v>6431</v>
      </c>
    </row>
    <row r="888" spans="1:5" ht="25.5" x14ac:dyDescent="0.25">
      <c r="A888" s="119">
        <v>1024</v>
      </c>
      <c r="B888" s="119" t="s">
        <v>6429</v>
      </c>
      <c r="C888" s="119" t="s">
        <v>6682</v>
      </c>
      <c r="D888" s="119" t="s">
        <v>1571</v>
      </c>
      <c r="E888" s="119" t="s">
        <v>6431</v>
      </c>
    </row>
    <row r="889" spans="1:5" ht="25.5" x14ac:dyDescent="0.25">
      <c r="A889" s="119">
        <v>1025</v>
      </c>
      <c r="B889" s="119" t="s">
        <v>6429</v>
      </c>
      <c r="C889" s="119" t="s">
        <v>6683</v>
      </c>
      <c r="D889" s="119" t="s">
        <v>1573</v>
      </c>
      <c r="E889" s="119" t="s">
        <v>6431</v>
      </c>
    </row>
    <row r="890" spans="1:5" ht="25.5" x14ac:dyDescent="0.25">
      <c r="A890" s="119">
        <v>1026</v>
      </c>
      <c r="B890" s="119" t="s">
        <v>6429</v>
      </c>
      <c r="C890" s="119" t="s">
        <v>6684</v>
      </c>
      <c r="D890" s="119" t="s">
        <v>1575</v>
      </c>
      <c r="E890" s="119" t="s">
        <v>6431</v>
      </c>
    </row>
    <row r="891" spans="1:5" ht="25.5" x14ac:dyDescent="0.25">
      <c r="A891" s="119">
        <v>1027</v>
      </c>
      <c r="B891" s="119" t="s">
        <v>6429</v>
      </c>
      <c r="C891" s="119" t="s">
        <v>6685</v>
      </c>
      <c r="D891" s="119" t="s">
        <v>1577</v>
      </c>
      <c r="E891" s="119" t="s">
        <v>6431</v>
      </c>
    </row>
    <row r="892" spans="1:5" ht="25.5" x14ac:dyDescent="0.25">
      <c r="A892" s="119">
        <v>1028</v>
      </c>
      <c r="B892" s="119" t="s">
        <v>6429</v>
      </c>
      <c r="C892" s="119" t="s">
        <v>6686</v>
      </c>
      <c r="D892" s="119" t="s">
        <v>1578</v>
      </c>
      <c r="E892" s="119" t="s">
        <v>6431</v>
      </c>
    </row>
    <row r="893" spans="1:5" ht="25.5" x14ac:dyDescent="0.25">
      <c r="A893" s="119">
        <v>1029</v>
      </c>
      <c r="B893" s="119" t="s">
        <v>6429</v>
      </c>
      <c r="C893" s="119" t="s">
        <v>6687</v>
      </c>
      <c r="D893" s="119" t="s">
        <v>1580</v>
      </c>
      <c r="E893" s="119" t="s">
        <v>6431</v>
      </c>
    </row>
    <row r="894" spans="1:5" ht="25.5" x14ac:dyDescent="0.25">
      <c r="A894" s="119">
        <v>1030</v>
      </c>
      <c r="B894" s="119" t="s">
        <v>6429</v>
      </c>
      <c r="C894" s="119" t="s">
        <v>6688</v>
      </c>
      <c r="D894" s="119" t="s">
        <v>1582</v>
      </c>
      <c r="E894" s="119" t="s">
        <v>6431</v>
      </c>
    </row>
    <row r="895" spans="1:5" ht="25.5" x14ac:dyDescent="0.25">
      <c r="A895" s="119">
        <v>1031</v>
      </c>
      <c r="B895" s="119" t="s">
        <v>6429</v>
      </c>
      <c r="C895" s="119" t="s">
        <v>6689</v>
      </c>
      <c r="D895" s="119" t="s">
        <v>1584</v>
      </c>
      <c r="E895" s="119" t="s">
        <v>6431</v>
      </c>
    </row>
    <row r="896" spans="1:5" ht="25.5" x14ac:dyDescent="0.25">
      <c r="A896" s="119">
        <v>1032</v>
      </c>
      <c r="B896" s="119" t="s">
        <v>6429</v>
      </c>
      <c r="C896" s="119" t="s">
        <v>6690</v>
      </c>
      <c r="D896" s="119" t="s">
        <v>1586</v>
      </c>
      <c r="E896" s="119" t="s">
        <v>6431</v>
      </c>
    </row>
    <row r="897" spans="1:5" ht="25.5" x14ac:dyDescent="0.25">
      <c r="A897" s="119">
        <v>1033</v>
      </c>
      <c r="B897" s="119" t="s">
        <v>6429</v>
      </c>
      <c r="C897" s="119" t="s">
        <v>6691</v>
      </c>
      <c r="D897" s="119" t="s">
        <v>1588</v>
      </c>
      <c r="E897" s="119" t="s">
        <v>6431</v>
      </c>
    </row>
    <row r="898" spans="1:5" ht="25.5" x14ac:dyDescent="0.25">
      <c r="A898" s="119">
        <v>1034</v>
      </c>
      <c r="B898" s="119" t="s">
        <v>6429</v>
      </c>
      <c r="C898" s="119" t="s">
        <v>6692</v>
      </c>
      <c r="D898" s="119" t="s">
        <v>1590</v>
      </c>
      <c r="E898" s="119" t="s">
        <v>6431</v>
      </c>
    </row>
    <row r="899" spans="1:5" ht="25.5" x14ac:dyDescent="0.25">
      <c r="A899" s="119">
        <v>1035</v>
      </c>
      <c r="B899" s="119" t="s">
        <v>6429</v>
      </c>
      <c r="C899" s="119" t="s">
        <v>6693</v>
      </c>
      <c r="D899" s="119" t="s">
        <v>1592</v>
      </c>
      <c r="E899" s="119" t="s">
        <v>6431</v>
      </c>
    </row>
    <row r="900" spans="1:5" ht="25.5" x14ac:dyDescent="0.25">
      <c r="A900" s="119">
        <v>1036</v>
      </c>
      <c r="B900" s="119" t="s">
        <v>6429</v>
      </c>
      <c r="C900" s="119" t="s">
        <v>6694</v>
      </c>
      <c r="D900" s="119" t="s">
        <v>1594</v>
      </c>
      <c r="E900" s="119" t="s">
        <v>6431</v>
      </c>
    </row>
    <row r="901" spans="1:5" ht="25.5" x14ac:dyDescent="0.25">
      <c r="A901" s="119">
        <v>1037</v>
      </c>
      <c r="B901" s="119" t="s">
        <v>6429</v>
      </c>
      <c r="C901" s="119" t="s">
        <v>6695</v>
      </c>
      <c r="D901" s="119" t="s">
        <v>1596</v>
      </c>
      <c r="E901" s="119" t="s">
        <v>6431</v>
      </c>
    </row>
    <row r="902" spans="1:5" ht="25.5" x14ac:dyDescent="0.25">
      <c r="A902" s="119">
        <v>1038</v>
      </c>
      <c r="B902" s="119" t="s">
        <v>6429</v>
      </c>
      <c r="C902" s="119" t="s">
        <v>6696</v>
      </c>
      <c r="D902" s="119" t="s">
        <v>1598</v>
      </c>
      <c r="E902" s="119" t="s">
        <v>6431</v>
      </c>
    </row>
    <row r="903" spans="1:5" ht="25.5" x14ac:dyDescent="0.25">
      <c r="A903" s="119">
        <v>1039</v>
      </c>
      <c r="B903" s="119" t="s">
        <v>6429</v>
      </c>
      <c r="C903" s="119" t="s">
        <v>6697</v>
      </c>
      <c r="D903" s="119" t="s">
        <v>1600</v>
      </c>
      <c r="E903" s="119" t="s">
        <v>6431</v>
      </c>
    </row>
    <row r="904" spans="1:5" ht="25.5" x14ac:dyDescent="0.25">
      <c r="A904" s="119">
        <v>1040</v>
      </c>
      <c r="B904" s="119" t="s">
        <v>6429</v>
      </c>
      <c r="C904" s="119" t="s">
        <v>6698</v>
      </c>
      <c r="D904" s="119" t="s">
        <v>1602</v>
      </c>
      <c r="E904" s="119" t="s">
        <v>6431</v>
      </c>
    </row>
    <row r="905" spans="1:5" ht="25.5" x14ac:dyDescent="0.25">
      <c r="A905" s="119">
        <v>1041</v>
      </c>
      <c r="B905" s="119" t="s">
        <v>6429</v>
      </c>
      <c r="C905" s="119" t="s">
        <v>6699</v>
      </c>
      <c r="D905" s="119" t="s">
        <v>1604</v>
      </c>
      <c r="E905" s="119" t="s">
        <v>6431</v>
      </c>
    </row>
    <row r="906" spans="1:5" ht="25.5" x14ac:dyDescent="0.25">
      <c r="A906" s="119">
        <v>1042</v>
      </c>
      <c r="B906" s="119" t="s">
        <v>6429</v>
      </c>
      <c r="C906" s="119" t="s">
        <v>6700</v>
      </c>
      <c r="D906" s="119" t="s">
        <v>1606</v>
      </c>
      <c r="E906" s="119" t="s">
        <v>6431</v>
      </c>
    </row>
    <row r="907" spans="1:5" ht="25.5" x14ac:dyDescent="0.25">
      <c r="A907" s="119">
        <v>1043</v>
      </c>
      <c r="B907" s="119" t="s">
        <v>6429</v>
      </c>
      <c r="C907" s="119" t="s">
        <v>6701</v>
      </c>
      <c r="D907" s="119" t="s">
        <v>1608</v>
      </c>
      <c r="E907" s="119" t="s">
        <v>6431</v>
      </c>
    </row>
    <row r="908" spans="1:5" ht="25.5" x14ac:dyDescent="0.25">
      <c r="A908" s="119">
        <v>1044</v>
      </c>
      <c r="B908" s="119" t="s">
        <v>6429</v>
      </c>
      <c r="C908" s="119" t="s">
        <v>6702</v>
      </c>
      <c r="D908" s="119" t="s">
        <v>1610</v>
      </c>
      <c r="E908" s="119" t="s">
        <v>6431</v>
      </c>
    </row>
    <row r="909" spans="1:5" ht="25.5" x14ac:dyDescent="0.25">
      <c r="A909" s="119">
        <v>1045</v>
      </c>
      <c r="B909" s="119" t="s">
        <v>6429</v>
      </c>
      <c r="C909" s="119" t="s">
        <v>6703</v>
      </c>
      <c r="D909" s="119" t="s">
        <v>1612</v>
      </c>
      <c r="E909" s="119" t="s">
        <v>6431</v>
      </c>
    </row>
    <row r="910" spans="1:5" ht="25.5" x14ac:dyDescent="0.25">
      <c r="A910" s="119">
        <v>1046</v>
      </c>
      <c r="B910" s="119" t="s">
        <v>6429</v>
      </c>
      <c r="C910" s="119" t="s">
        <v>6704</v>
      </c>
      <c r="D910" s="119" t="s">
        <v>1613</v>
      </c>
      <c r="E910" s="119" t="s">
        <v>6431</v>
      </c>
    </row>
    <row r="911" spans="1:5" ht="25.5" x14ac:dyDescent="0.25">
      <c r="A911" s="119">
        <v>1047</v>
      </c>
      <c r="B911" s="119" t="s">
        <v>6429</v>
      </c>
      <c r="C911" s="119" t="s">
        <v>6705</v>
      </c>
      <c r="D911" s="119" t="s">
        <v>1615</v>
      </c>
      <c r="E911" s="119" t="s">
        <v>6431</v>
      </c>
    </row>
    <row r="912" spans="1:5" ht="25.5" x14ac:dyDescent="0.25">
      <c r="A912" s="119">
        <v>1048</v>
      </c>
      <c r="B912" s="119" t="s">
        <v>6429</v>
      </c>
      <c r="C912" s="119" t="s">
        <v>6706</v>
      </c>
      <c r="D912" s="119" t="s">
        <v>1617</v>
      </c>
      <c r="E912" s="119" t="s">
        <v>6431</v>
      </c>
    </row>
    <row r="913" spans="1:5" ht="25.5" x14ac:dyDescent="0.25">
      <c r="A913" s="119">
        <v>1049</v>
      </c>
      <c r="B913" s="119" t="s">
        <v>6429</v>
      </c>
      <c r="C913" s="119" t="s">
        <v>6707</v>
      </c>
      <c r="D913" s="119" t="s">
        <v>1619</v>
      </c>
      <c r="E913" s="119" t="s">
        <v>6431</v>
      </c>
    </row>
    <row r="914" spans="1:5" ht="25.5" x14ac:dyDescent="0.25">
      <c r="A914" s="119">
        <v>1050</v>
      </c>
      <c r="B914" s="119" t="s">
        <v>6429</v>
      </c>
      <c r="C914" s="119" t="s">
        <v>6708</v>
      </c>
      <c r="D914" s="119" t="s">
        <v>1621</v>
      </c>
      <c r="E914" s="119" t="s">
        <v>6431</v>
      </c>
    </row>
    <row r="915" spans="1:5" ht="25.5" x14ac:dyDescent="0.25">
      <c r="A915" s="119">
        <v>1051</v>
      </c>
      <c r="B915" s="119" t="s">
        <v>6429</v>
      </c>
      <c r="C915" s="119" t="s">
        <v>6709</v>
      </c>
      <c r="D915" s="119" t="s">
        <v>1623</v>
      </c>
      <c r="E915" s="119" t="s">
        <v>6431</v>
      </c>
    </row>
    <row r="916" spans="1:5" ht="25.5" x14ac:dyDescent="0.25">
      <c r="A916" s="119">
        <v>1052</v>
      </c>
      <c r="B916" s="119" t="s">
        <v>6429</v>
      </c>
      <c r="C916" s="119" t="s">
        <v>6710</v>
      </c>
      <c r="D916" s="119" t="s">
        <v>1625</v>
      </c>
      <c r="E916" s="119" t="s">
        <v>6431</v>
      </c>
    </row>
    <row r="917" spans="1:5" ht="25.5" x14ac:dyDescent="0.25">
      <c r="A917" s="119">
        <v>1053</v>
      </c>
      <c r="B917" s="119" t="s">
        <v>6429</v>
      </c>
      <c r="C917" s="119" t="s">
        <v>6711</v>
      </c>
      <c r="D917" s="119" t="s">
        <v>1627</v>
      </c>
      <c r="E917" s="119" t="s">
        <v>6431</v>
      </c>
    </row>
    <row r="918" spans="1:5" ht="25.5" x14ac:dyDescent="0.25">
      <c r="A918" s="119">
        <v>1054</v>
      </c>
      <c r="B918" s="119" t="s">
        <v>6429</v>
      </c>
      <c r="C918" s="119" t="s">
        <v>6712</v>
      </c>
      <c r="D918" s="119" t="s">
        <v>1629</v>
      </c>
      <c r="E918" s="119" t="s">
        <v>6431</v>
      </c>
    </row>
    <row r="919" spans="1:5" ht="25.5" x14ac:dyDescent="0.25">
      <c r="A919" s="119">
        <v>1055</v>
      </c>
      <c r="B919" s="119" t="s">
        <v>6429</v>
      </c>
      <c r="C919" s="119" t="s">
        <v>6713</v>
      </c>
      <c r="D919" s="119" t="s">
        <v>1631</v>
      </c>
      <c r="E919" s="119" t="s">
        <v>6431</v>
      </c>
    </row>
    <row r="920" spans="1:5" ht="25.5" x14ac:dyDescent="0.25">
      <c r="A920" s="119">
        <v>1056</v>
      </c>
      <c r="B920" s="119" t="s">
        <v>6429</v>
      </c>
      <c r="C920" s="119" t="s">
        <v>6714</v>
      </c>
      <c r="D920" s="119" t="s">
        <v>1633</v>
      </c>
      <c r="E920" s="119" t="s">
        <v>6431</v>
      </c>
    </row>
    <row r="921" spans="1:5" ht="25.5" x14ac:dyDescent="0.25">
      <c r="A921" s="119">
        <v>1057</v>
      </c>
      <c r="B921" s="119" t="s">
        <v>6429</v>
      </c>
      <c r="C921" s="119" t="s">
        <v>6715</v>
      </c>
      <c r="D921" s="119" t="s">
        <v>1635</v>
      </c>
      <c r="E921" s="119" t="s">
        <v>6431</v>
      </c>
    </row>
    <row r="922" spans="1:5" ht="25.5" x14ac:dyDescent="0.25">
      <c r="A922" s="119">
        <v>1058</v>
      </c>
      <c r="B922" s="119" t="s">
        <v>6429</v>
      </c>
      <c r="C922" s="119" t="s">
        <v>6716</v>
      </c>
      <c r="D922" s="119" t="s">
        <v>1637</v>
      </c>
      <c r="E922" s="119" t="s">
        <v>6431</v>
      </c>
    </row>
    <row r="923" spans="1:5" ht="25.5" x14ac:dyDescent="0.25">
      <c r="A923" s="119">
        <v>1059</v>
      </c>
      <c r="B923" s="119" t="s">
        <v>6429</v>
      </c>
      <c r="C923" s="119" t="s">
        <v>6717</v>
      </c>
      <c r="D923" s="119" t="s">
        <v>1639</v>
      </c>
      <c r="E923" s="119" t="s">
        <v>6431</v>
      </c>
    </row>
    <row r="924" spans="1:5" ht="25.5" x14ac:dyDescent="0.25">
      <c r="A924" s="119">
        <v>1060</v>
      </c>
      <c r="B924" s="119" t="s">
        <v>6429</v>
      </c>
      <c r="C924" s="119" t="s">
        <v>6718</v>
      </c>
      <c r="D924" s="119" t="s">
        <v>1641</v>
      </c>
      <c r="E924" s="119" t="s">
        <v>6431</v>
      </c>
    </row>
    <row r="925" spans="1:5" ht="25.5" x14ac:dyDescent="0.25">
      <c r="A925" s="119">
        <v>1061</v>
      </c>
      <c r="B925" s="119" t="s">
        <v>6429</v>
      </c>
      <c r="C925" s="119" t="s">
        <v>6719</v>
      </c>
      <c r="D925" s="119" t="s">
        <v>1643</v>
      </c>
      <c r="E925" s="119" t="s">
        <v>6431</v>
      </c>
    </row>
    <row r="926" spans="1:5" ht="25.5" x14ac:dyDescent="0.25">
      <c r="A926" s="119">
        <v>1062</v>
      </c>
      <c r="B926" s="119" t="s">
        <v>6429</v>
      </c>
      <c r="C926" s="119" t="s">
        <v>6720</v>
      </c>
      <c r="D926" s="119" t="s">
        <v>1645</v>
      </c>
      <c r="E926" s="119" t="s">
        <v>6431</v>
      </c>
    </row>
    <row r="927" spans="1:5" ht="25.5" x14ac:dyDescent="0.25">
      <c r="A927" s="119">
        <v>1063</v>
      </c>
      <c r="B927" s="119" t="s">
        <v>6429</v>
      </c>
      <c r="C927" s="119" t="s">
        <v>6721</v>
      </c>
      <c r="D927" s="119" t="s">
        <v>1647</v>
      </c>
      <c r="E927" s="119" t="s">
        <v>6431</v>
      </c>
    </row>
    <row r="928" spans="1:5" ht="25.5" x14ac:dyDescent="0.25">
      <c r="A928" s="119">
        <v>1064</v>
      </c>
      <c r="B928" s="119" t="s">
        <v>6429</v>
      </c>
      <c r="C928" s="119" t="s">
        <v>6722</v>
      </c>
      <c r="D928" s="119" t="s">
        <v>1649</v>
      </c>
      <c r="E928" s="119" t="s">
        <v>6431</v>
      </c>
    </row>
    <row r="929" spans="1:5" ht="25.5" x14ac:dyDescent="0.25">
      <c r="A929" s="119">
        <v>1065</v>
      </c>
      <c r="B929" s="119" t="s">
        <v>6429</v>
      </c>
      <c r="C929" s="119" t="s">
        <v>6723</v>
      </c>
      <c r="D929" s="119" t="s">
        <v>1650</v>
      </c>
      <c r="E929" s="119" t="s">
        <v>6431</v>
      </c>
    </row>
    <row r="930" spans="1:5" ht="25.5" x14ac:dyDescent="0.25">
      <c r="A930" s="119">
        <v>1066</v>
      </c>
      <c r="B930" s="119" t="s">
        <v>6429</v>
      </c>
      <c r="C930" s="119" t="s">
        <v>6724</v>
      </c>
      <c r="D930" s="119" t="s">
        <v>1652</v>
      </c>
      <c r="E930" s="119" t="s">
        <v>6431</v>
      </c>
    </row>
    <row r="931" spans="1:5" ht="25.5" x14ac:dyDescent="0.25">
      <c r="A931" s="119">
        <v>1067</v>
      </c>
      <c r="B931" s="119" t="s">
        <v>6429</v>
      </c>
      <c r="C931" s="119" t="s">
        <v>6725</v>
      </c>
      <c r="D931" s="119" t="s">
        <v>1653</v>
      </c>
      <c r="E931" s="119" t="s">
        <v>6431</v>
      </c>
    </row>
    <row r="932" spans="1:5" ht="25.5" x14ac:dyDescent="0.25">
      <c r="A932" s="119">
        <v>1068</v>
      </c>
      <c r="B932" s="119" t="s">
        <v>6429</v>
      </c>
      <c r="C932" s="119" t="s">
        <v>6726</v>
      </c>
      <c r="D932" s="119" t="s">
        <v>1655</v>
      </c>
      <c r="E932" s="119" t="s">
        <v>6431</v>
      </c>
    </row>
    <row r="933" spans="1:5" ht="25.5" x14ac:dyDescent="0.25">
      <c r="A933" s="119">
        <v>1086</v>
      </c>
      <c r="B933" s="119" t="s">
        <v>6429</v>
      </c>
      <c r="C933" s="119" t="s">
        <v>6727</v>
      </c>
      <c r="D933" s="119" t="s">
        <v>1682</v>
      </c>
      <c r="E933" s="119" t="s">
        <v>6431</v>
      </c>
    </row>
    <row r="934" spans="1:5" ht="25.5" x14ac:dyDescent="0.25">
      <c r="A934" s="119">
        <v>1087</v>
      </c>
      <c r="B934" s="119" t="s">
        <v>6429</v>
      </c>
      <c r="C934" s="119" t="s">
        <v>6728</v>
      </c>
      <c r="D934" s="119" t="s">
        <v>1684</v>
      </c>
      <c r="E934" s="119" t="s">
        <v>6431</v>
      </c>
    </row>
    <row r="935" spans="1:5" ht="25.5" x14ac:dyDescent="0.25">
      <c r="A935" s="119">
        <v>1088</v>
      </c>
      <c r="B935" s="119" t="s">
        <v>6429</v>
      </c>
      <c r="C935" s="119" t="s">
        <v>6729</v>
      </c>
      <c r="D935" s="119" t="s">
        <v>1686</v>
      </c>
      <c r="E935" s="119" t="s">
        <v>6431</v>
      </c>
    </row>
    <row r="936" spans="1:5" ht="25.5" x14ac:dyDescent="0.25">
      <c r="A936" s="119">
        <v>1089</v>
      </c>
      <c r="B936" s="119" t="s">
        <v>6429</v>
      </c>
      <c r="C936" s="119" t="s">
        <v>6730</v>
      </c>
      <c r="D936" s="119" t="s">
        <v>1688</v>
      </c>
      <c r="E936" s="119" t="s">
        <v>6431</v>
      </c>
    </row>
    <row r="937" spans="1:5" ht="25.5" x14ac:dyDescent="0.25">
      <c r="A937" s="119">
        <v>1090</v>
      </c>
      <c r="B937" s="119" t="s">
        <v>6429</v>
      </c>
      <c r="C937" s="119" t="s">
        <v>6731</v>
      </c>
      <c r="D937" s="119" t="s">
        <v>1690</v>
      </c>
      <c r="E937" s="119" t="s">
        <v>6431</v>
      </c>
    </row>
    <row r="938" spans="1:5" ht="25.5" x14ac:dyDescent="0.25">
      <c r="A938" s="119">
        <v>1091</v>
      </c>
      <c r="B938" s="119" t="s">
        <v>6429</v>
      </c>
      <c r="C938" s="119" t="s">
        <v>6732</v>
      </c>
      <c r="D938" s="119" t="s">
        <v>1692</v>
      </c>
      <c r="E938" s="119" t="s">
        <v>6431</v>
      </c>
    </row>
    <row r="939" spans="1:5" ht="25.5" x14ac:dyDescent="0.25">
      <c r="A939" s="119">
        <v>1092</v>
      </c>
      <c r="B939" s="119" t="s">
        <v>6429</v>
      </c>
      <c r="C939" s="119" t="s">
        <v>6733</v>
      </c>
      <c r="D939" s="119" t="s">
        <v>1694</v>
      </c>
      <c r="E939" s="119" t="s">
        <v>6431</v>
      </c>
    </row>
    <row r="940" spans="1:5" ht="25.5" x14ac:dyDescent="0.25">
      <c r="A940" s="119">
        <v>1093</v>
      </c>
      <c r="B940" s="119" t="s">
        <v>6429</v>
      </c>
      <c r="C940" s="119" t="s">
        <v>6734</v>
      </c>
      <c r="D940" s="119" t="s">
        <v>1696</v>
      </c>
      <c r="E940" s="119" t="s">
        <v>6431</v>
      </c>
    </row>
    <row r="941" spans="1:5" ht="25.5" x14ac:dyDescent="0.25">
      <c r="A941" s="119">
        <v>1094</v>
      </c>
      <c r="B941" s="119" t="s">
        <v>6429</v>
      </c>
      <c r="C941" s="119" t="s">
        <v>6735</v>
      </c>
      <c r="D941" s="119" t="s">
        <v>1698</v>
      </c>
      <c r="E941" s="119" t="s">
        <v>6431</v>
      </c>
    </row>
    <row r="942" spans="1:5" ht="25.5" x14ac:dyDescent="0.25">
      <c r="A942" s="119">
        <v>1095</v>
      </c>
      <c r="B942" s="119" t="s">
        <v>6429</v>
      </c>
      <c r="C942" s="119" t="s">
        <v>6736</v>
      </c>
      <c r="D942" s="119" t="s">
        <v>1700</v>
      </c>
      <c r="E942" s="119" t="s">
        <v>6431</v>
      </c>
    </row>
    <row r="943" spans="1:5" ht="25.5" x14ac:dyDescent="0.25">
      <c r="A943" s="119">
        <v>1096</v>
      </c>
      <c r="B943" s="119" t="s">
        <v>6429</v>
      </c>
      <c r="C943" s="119" t="s">
        <v>6737</v>
      </c>
      <c r="D943" s="119" t="s">
        <v>1702</v>
      </c>
      <c r="E943" s="119" t="s">
        <v>6431</v>
      </c>
    </row>
    <row r="944" spans="1:5" ht="25.5" x14ac:dyDescent="0.25">
      <c r="A944" s="119">
        <v>1097</v>
      </c>
      <c r="B944" s="119" t="s">
        <v>6429</v>
      </c>
      <c r="C944" s="119" t="s">
        <v>6738</v>
      </c>
      <c r="D944" s="119" t="s">
        <v>1704</v>
      </c>
      <c r="E944" s="119" t="s">
        <v>6431</v>
      </c>
    </row>
    <row r="945" spans="1:5" ht="25.5" x14ac:dyDescent="0.25">
      <c r="A945" s="119">
        <v>1098</v>
      </c>
      <c r="B945" s="119" t="s">
        <v>6429</v>
      </c>
      <c r="C945" s="119" t="s">
        <v>6739</v>
      </c>
      <c r="D945" s="119" t="s">
        <v>1705</v>
      </c>
      <c r="E945" s="119" t="s">
        <v>6431</v>
      </c>
    </row>
    <row r="946" spans="1:5" ht="25.5" x14ac:dyDescent="0.25">
      <c r="A946" s="119">
        <v>1099</v>
      </c>
      <c r="B946" s="119" t="s">
        <v>6429</v>
      </c>
      <c r="C946" s="119" t="s">
        <v>6740</v>
      </c>
      <c r="D946" s="119" t="s">
        <v>1707</v>
      </c>
      <c r="E946" s="119" t="s">
        <v>6431</v>
      </c>
    </row>
    <row r="947" spans="1:5" ht="25.5" x14ac:dyDescent="0.25">
      <c r="A947" s="119">
        <v>1100</v>
      </c>
      <c r="B947" s="119" t="s">
        <v>6429</v>
      </c>
      <c r="C947" s="119" t="s">
        <v>6741</v>
      </c>
      <c r="D947" s="119" t="s">
        <v>1709</v>
      </c>
      <c r="E947" s="119" t="s">
        <v>6431</v>
      </c>
    </row>
    <row r="948" spans="1:5" ht="25.5" x14ac:dyDescent="0.25">
      <c r="A948" s="119">
        <v>1101</v>
      </c>
      <c r="B948" s="119" t="s">
        <v>6429</v>
      </c>
      <c r="C948" s="119" t="s">
        <v>6742</v>
      </c>
      <c r="D948" s="119" t="s">
        <v>1711</v>
      </c>
      <c r="E948" s="119" t="s">
        <v>6431</v>
      </c>
    </row>
    <row r="949" spans="1:5" ht="25.5" x14ac:dyDescent="0.25">
      <c r="A949" s="119">
        <v>1102</v>
      </c>
      <c r="B949" s="119" t="s">
        <v>6429</v>
      </c>
      <c r="C949" s="119" t="s">
        <v>6743</v>
      </c>
      <c r="D949" s="119" t="s">
        <v>1713</v>
      </c>
      <c r="E949" s="119" t="s">
        <v>6431</v>
      </c>
    </row>
    <row r="950" spans="1:5" ht="25.5" x14ac:dyDescent="0.25">
      <c r="A950" s="119">
        <v>1103</v>
      </c>
      <c r="B950" s="119" t="s">
        <v>6429</v>
      </c>
      <c r="C950" s="119" t="s">
        <v>6744</v>
      </c>
      <c r="D950" s="119" t="s">
        <v>1715</v>
      </c>
      <c r="E950" s="119" t="s">
        <v>6431</v>
      </c>
    </row>
    <row r="951" spans="1:5" ht="25.5" x14ac:dyDescent="0.25">
      <c r="A951" s="119">
        <v>1105</v>
      </c>
      <c r="B951" s="119" t="s">
        <v>6429</v>
      </c>
      <c r="C951" s="119" t="s">
        <v>6745</v>
      </c>
      <c r="D951" s="119" t="s">
        <v>1718</v>
      </c>
      <c r="E951" s="119" t="s">
        <v>6431</v>
      </c>
    </row>
    <row r="952" spans="1:5" ht="25.5" x14ac:dyDescent="0.25">
      <c r="A952" s="119">
        <v>1106</v>
      </c>
      <c r="B952" s="119" t="s">
        <v>6429</v>
      </c>
      <c r="C952" s="119" t="s">
        <v>6746</v>
      </c>
      <c r="D952" s="119" t="s">
        <v>1719</v>
      </c>
      <c r="E952" s="119" t="s">
        <v>6431</v>
      </c>
    </row>
    <row r="953" spans="1:5" ht="25.5" x14ac:dyDescent="0.25">
      <c r="A953" s="119">
        <v>1107</v>
      </c>
      <c r="B953" s="119" t="s">
        <v>6429</v>
      </c>
      <c r="C953" s="119" t="s">
        <v>6747</v>
      </c>
      <c r="D953" s="119" t="s">
        <v>1720</v>
      </c>
      <c r="E953" s="119" t="s">
        <v>6431</v>
      </c>
    </row>
    <row r="954" spans="1:5" ht="25.5" x14ac:dyDescent="0.25">
      <c r="A954" s="119">
        <v>1108</v>
      </c>
      <c r="B954" s="119" t="s">
        <v>6429</v>
      </c>
      <c r="C954" s="119" t="s">
        <v>6748</v>
      </c>
      <c r="D954" s="119" t="s">
        <v>1721</v>
      </c>
      <c r="E954" s="119" t="s">
        <v>6431</v>
      </c>
    </row>
    <row r="955" spans="1:5" ht="25.5" x14ac:dyDescent="0.25">
      <c r="A955" s="119">
        <v>1109</v>
      </c>
      <c r="B955" s="119" t="s">
        <v>6429</v>
      </c>
      <c r="C955" s="119" t="s">
        <v>6749</v>
      </c>
      <c r="D955" s="119" t="s">
        <v>1722</v>
      </c>
      <c r="E955" s="119" t="s">
        <v>6431</v>
      </c>
    </row>
    <row r="956" spans="1:5" ht="25.5" x14ac:dyDescent="0.25">
      <c r="A956" s="119">
        <v>1110</v>
      </c>
      <c r="B956" s="119" t="s">
        <v>6429</v>
      </c>
      <c r="C956" s="119" t="s">
        <v>6750</v>
      </c>
      <c r="D956" s="119" t="s">
        <v>1724</v>
      </c>
      <c r="E956" s="119" t="s">
        <v>6431</v>
      </c>
    </row>
    <row r="957" spans="1:5" ht="25.5" x14ac:dyDescent="0.25">
      <c r="A957" s="119">
        <v>1111</v>
      </c>
      <c r="B957" s="119" t="s">
        <v>6429</v>
      </c>
      <c r="C957" s="119" t="s">
        <v>6751</v>
      </c>
      <c r="D957" s="119" t="s">
        <v>1726</v>
      </c>
      <c r="E957" s="119" t="s">
        <v>6431</v>
      </c>
    </row>
    <row r="958" spans="1:5" ht="25.5" x14ac:dyDescent="0.25">
      <c r="A958" s="119">
        <v>1112</v>
      </c>
      <c r="B958" s="119" t="s">
        <v>6429</v>
      </c>
      <c r="C958" s="119" t="s">
        <v>6752</v>
      </c>
      <c r="D958" s="119" t="s">
        <v>1728</v>
      </c>
      <c r="E958" s="119" t="s">
        <v>6431</v>
      </c>
    </row>
    <row r="959" spans="1:5" ht="25.5" x14ac:dyDescent="0.25">
      <c r="A959" s="119">
        <v>1114</v>
      </c>
      <c r="B959" s="119" t="s">
        <v>6429</v>
      </c>
      <c r="C959" s="119" t="s">
        <v>6753</v>
      </c>
      <c r="D959" s="119" t="s">
        <v>1732</v>
      </c>
      <c r="E959" s="119" t="s">
        <v>6431</v>
      </c>
    </row>
    <row r="960" spans="1:5" ht="25.5" x14ac:dyDescent="0.25">
      <c r="A960" s="119">
        <v>1115</v>
      </c>
      <c r="B960" s="119" t="s">
        <v>6429</v>
      </c>
      <c r="C960" s="119" t="s">
        <v>6754</v>
      </c>
      <c r="D960" s="119" t="s">
        <v>1734</v>
      </c>
      <c r="E960" s="119" t="s">
        <v>6431</v>
      </c>
    </row>
    <row r="961" spans="1:5" ht="25.5" x14ac:dyDescent="0.25">
      <c r="A961" s="119">
        <v>1116</v>
      </c>
      <c r="B961" s="119" t="s">
        <v>6429</v>
      </c>
      <c r="C961" s="119" t="s">
        <v>6755</v>
      </c>
      <c r="D961" s="119" t="s">
        <v>1735</v>
      </c>
      <c r="E961" s="119" t="s">
        <v>6431</v>
      </c>
    </row>
    <row r="962" spans="1:5" ht="25.5" x14ac:dyDescent="0.25">
      <c r="A962" s="119">
        <v>1117</v>
      </c>
      <c r="B962" s="119" t="s">
        <v>6429</v>
      </c>
      <c r="C962" s="119" t="s">
        <v>6756</v>
      </c>
      <c r="D962" s="119" t="s">
        <v>1737</v>
      </c>
      <c r="E962" s="119" t="s">
        <v>6431</v>
      </c>
    </row>
    <row r="963" spans="1:5" ht="25.5" x14ac:dyDescent="0.25">
      <c r="A963" s="119">
        <v>1118</v>
      </c>
      <c r="B963" s="119" t="s">
        <v>6429</v>
      </c>
      <c r="C963" s="119" t="s">
        <v>6757</v>
      </c>
      <c r="D963" s="119" t="s">
        <v>1739</v>
      </c>
      <c r="E963" s="119" t="s">
        <v>6431</v>
      </c>
    </row>
    <row r="964" spans="1:5" ht="25.5" x14ac:dyDescent="0.25">
      <c r="A964" s="119">
        <v>1119</v>
      </c>
      <c r="B964" s="119" t="s">
        <v>6429</v>
      </c>
      <c r="C964" s="119" t="s">
        <v>6758</v>
      </c>
      <c r="D964" s="119" t="s">
        <v>1741</v>
      </c>
      <c r="E964" s="119" t="s">
        <v>6431</v>
      </c>
    </row>
    <row r="965" spans="1:5" ht="25.5" x14ac:dyDescent="0.25">
      <c r="A965" s="119">
        <v>1120</v>
      </c>
      <c r="B965" s="119" t="s">
        <v>6429</v>
      </c>
      <c r="C965" s="119" t="s">
        <v>6759</v>
      </c>
      <c r="D965" s="119" t="s">
        <v>1743</v>
      </c>
      <c r="E965" s="119" t="s">
        <v>6431</v>
      </c>
    </row>
    <row r="966" spans="1:5" ht="25.5" x14ac:dyDescent="0.25">
      <c r="A966" s="119">
        <v>1121</v>
      </c>
      <c r="B966" s="119" t="s">
        <v>6429</v>
      </c>
      <c r="C966" s="119" t="s">
        <v>6760</v>
      </c>
      <c r="D966" s="119" t="s">
        <v>1745</v>
      </c>
      <c r="E966" s="119" t="s">
        <v>6431</v>
      </c>
    </row>
    <row r="967" spans="1:5" ht="25.5" x14ac:dyDescent="0.25">
      <c r="A967" s="119">
        <v>1122</v>
      </c>
      <c r="B967" s="119" t="s">
        <v>6429</v>
      </c>
      <c r="C967" s="119" t="s">
        <v>6761</v>
      </c>
      <c r="D967" s="119" t="s">
        <v>1747</v>
      </c>
      <c r="E967" s="119" t="s">
        <v>6431</v>
      </c>
    </row>
    <row r="968" spans="1:5" ht="25.5" x14ac:dyDescent="0.25">
      <c r="A968" s="119">
        <v>1123</v>
      </c>
      <c r="B968" s="119" t="s">
        <v>6429</v>
      </c>
      <c r="C968" s="119" t="s">
        <v>6762</v>
      </c>
      <c r="D968" s="119" t="s">
        <v>1749</v>
      </c>
      <c r="E968" s="119" t="s">
        <v>6431</v>
      </c>
    </row>
    <row r="969" spans="1:5" ht="25.5" x14ac:dyDescent="0.25">
      <c r="A969" s="119">
        <v>1124</v>
      </c>
      <c r="B969" s="119" t="s">
        <v>6429</v>
      </c>
      <c r="C969" s="119" t="s">
        <v>6763</v>
      </c>
      <c r="D969" s="119" t="s">
        <v>1751</v>
      </c>
      <c r="E969" s="119" t="s">
        <v>6431</v>
      </c>
    </row>
    <row r="970" spans="1:5" ht="25.5" x14ac:dyDescent="0.25">
      <c r="A970" s="119">
        <v>1137</v>
      </c>
      <c r="B970" s="119" t="s">
        <v>6412</v>
      </c>
      <c r="C970" s="119" t="s">
        <v>6764</v>
      </c>
      <c r="D970" s="119" t="s">
        <v>1763</v>
      </c>
      <c r="E970" s="119" t="s">
        <v>6431</v>
      </c>
    </row>
    <row r="971" spans="1:5" ht="25.5" x14ac:dyDescent="0.25">
      <c r="A971" s="119">
        <v>1138</v>
      </c>
      <c r="B971" s="119" t="s">
        <v>6412</v>
      </c>
      <c r="C971" s="119" t="s">
        <v>6765</v>
      </c>
      <c r="D971" s="119" t="s">
        <v>1766</v>
      </c>
      <c r="E971" s="119" t="s">
        <v>6431</v>
      </c>
    </row>
    <row r="972" spans="1:5" ht="25.5" x14ac:dyDescent="0.25">
      <c r="A972" s="119">
        <v>1139</v>
      </c>
      <c r="B972" s="119" t="s">
        <v>6412</v>
      </c>
      <c r="C972" s="119" t="s">
        <v>6766</v>
      </c>
      <c r="D972" s="119" t="s">
        <v>1768</v>
      </c>
      <c r="E972" s="119" t="s">
        <v>6431</v>
      </c>
    </row>
    <row r="973" spans="1:5" ht="25.5" x14ac:dyDescent="0.25">
      <c r="A973" s="119">
        <v>1140</v>
      </c>
      <c r="B973" s="119" t="s">
        <v>6412</v>
      </c>
      <c r="C973" s="119" t="s">
        <v>6767</v>
      </c>
      <c r="D973" s="119" t="s">
        <v>1770</v>
      </c>
      <c r="E973" s="119" t="s">
        <v>6431</v>
      </c>
    </row>
    <row r="974" spans="1:5" ht="25.5" x14ac:dyDescent="0.25">
      <c r="A974" s="119">
        <v>1141</v>
      </c>
      <c r="B974" s="119" t="s">
        <v>6412</v>
      </c>
      <c r="C974" s="119" t="s">
        <v>6768</v>
      </c>
      <c r="D974" s="119" t="s">
        <v>1772</v>
      </c>
      <c r="E974" s="119" t="s">
        <v>6431</v>
      </c>
    </row>
    <row r="975" spans="1:5" ht="25.5" x14ac:dyDescent="0.25">
      <c r="A975" s="119">
        <v>1142</v>
      </c>
      <c r="B975" s="119" t="s">
        <v>6412</v>
      </c>
      <c r="C975" s="119" t="s">
        <v>6769</v>
      </c>
      <c r="D975" s="119" t="s">
        <v>1774</v>
      </c>
      <c r="E975" s="119" t="s">
        <v>6431</v>
      </c>
    </row>
    <row r="976" spans="1:5" ht="25.5" x14ac:dyDescent="0.25">
      <c r="A976" s="119">
        <v>1143</v>
      </c>
      <c r="B976" s="119" t="s">
        <v>6412</v>
      </c>
      <c r="C976" s="119" t="s">
        <v>6770</v>
      </c>
      <c r="D976" s="119" t="s">
        <v>1776</v>
      </c>
      <c r="E976" s="119" t="s">
        <v>6431</v>
      </c>
    </row>
    <row r="977" spans="1:5" ht="25.5" x14ac:dyDescent="0.25">
      <c r="A977" s="119">
        <v>1144</v>
      </c>
      <c r="B977" s="119" t="s">
        <v>6412</v>
      </c>
      <c r="C977" s="119" t="s">
        <v>6771</v>
      </c>
      <c r="D977" s="119" t="s">
        <v>1778</v>
      </c>
      <c r="E977" s="119" t="s">
        <v>6431</v>
      </c>
    </row>
    <row r="978" spans="1:5" ht="51" x14ac:dyDescent="0.25">
      <c r="A978" s="119">
        <v>1228</v>
      </c>
      <c r="B978" s="119" t="s">
        <v>6429</v>
      </c>
      <c r="C978" s="119" t="s">
        <v>6139</v>
      </c>
      <c r="D978" s="119" t="s">
        <v>1883</v>
      </c>
      <c r="E978" s="119" t="s">
        <v>6431</v>
      </c>
    </row>
    <row r="979" spans="1:5" ht="51" x14ac:dyDescent="0.25">
      <c r="A979" s="119">
        <v>1229</v>
      </c>
      <c r="B979" s="119" t="s">
        <v>6429</v>
      </c>
      <c r="C979" s="119" t="s">
        <v>6139</v>
      </c>
      <c r="D979" s="119" t="s">
        <v>1883</v>
      </c>
      <c r="E979" s="119" t="s">
        <v>6431</v>
      </c>
    </row>
    <row r="980" spans="1:5" ht="51" x14ac:dyDescent="0.25">
      <c r="A980" s="119">
        <v>1230</v>
      </c>
      <c r="B980" s="119" t="s">
        <v>6429</v>
      </c>
      <c r="C980" s="119" t="s">
        <v>6139</v>
      </c>
      <c r="D980" s="119" t="s">
        <v>1883</v>
      </c>
      <c r="E980" s="119" t="s">
        <v>6431</v>
      </c>
    </row>
    <row r="981" spans="1:5" ht="25.5" x14ac:dyDescent="0.25">
      <c r="A981" s="119">
        <v>1247</v>
      </c>
      <c r="B981" s="119" t="s">
        <v>6429</v>
      </c>
      <c r="C981" s="119" t="s">
        <v>6772</v>
      </c>
      <c r="D981" s="119" t="s">
        <v>1939</v>
      </c>
      <c r="E981" s="119" t="s">
        <v>6431</v>
      </c>
    </row>
    <row r="982" spans="1:5" ht="25.5" x14ac:dyDescent="0.25">
      <c r="A982" s="119">
        <v>1266</v>
      </c>
      <c r="B982" s="119" t="s">
        <v>6429</v>
      </c>
      <c r="C982" s="119" t="s">
        <v>6773</v>
      </c>
      <c r="D982" s="119" t="s">
        <v>1992</v>
      </c>
      <c r="E982" s="119" t="s">
        <v>6431</v>
      </c>
    </row>
    <row r="983" spans="1:5" ht="25.5" x14ac:dyDescent="0.25">
      <c r="A983" s="119">
        <v>1283</v>
      </c>
      <c r="B983" s="119" t="s">
        <v>6429</v>
      </c>
      <c r="C983" s="119" t="s">
        <v>6774</v>
      </c>
      <c r="D983" s="119" t="s">
        <v>2034</v>
      </c>
      <c r="E983" s="119" t="s">
        <v>6431</v>
      </c>
    </row>
    <row r="984" spans="1:5" ht="25.5" x14ac:dyDescent="0.25">
      <c r="A984" s="119">
        <v>1306</v>
      </c>
      <c r="B984" s="119" t="s">
        <v>6429</v>
      </c>
      <c r="C984" s="119" t="s">
        <v>6775</v>
      </c>
      <c r="D984" s="119" t="s">
        <v>2083</v>
      </c>
      <c r="E984" s="119" t="s">
        <v>6431</v>
      </c>
    </row>
    <row r="985" spans="1:5" ht="38.25" x14ac:dyDescent="0.25">
      <c r="A985" s="119">
        <v>1357</v>
      </c>
      <c r="B985" s="119" t="s">
        <v>6429</v>
      </c>
      <c r="C985" s="119" t="s">
        <v>6776</v>
      </c>
      <c r="D985" s="119" t="s">
        <v>2168</v>
      </c>
      <c r="E985" s="119" t="s">
        <v>6431</v>
      </c>
    </row>
    <row r="986" spans="1:5" ht="25.5" x14ac:dyDescent="0.25">
      <c r="A986" s="119">
        <v>1357</v>
      </c>
      <c r="B986" s="119" t="s">
        <v>6412</v>
      </c>
      <c r="C986" s="119" t="s">
        <v>6777</v>
      </c>
      <c r="D986" s="119" t="s">
        <v>2169</v>
      </c>
      <c r="E986" s="119" t="s">
        <v>6431</v>
      </c>
    </row>
    <row r="987" spans="1:5" ht="25.5" x14ac:dyDescent="0.25">
      <c r="A987" s="119">
        <v>1512</v>
      </c>
      <c r="B987" s="119" t="s">
        <v>6429</v>
      </c>
      <c r="C987" s="119" t="s">
        <v>6778</v>
      </c>
      <c r="D987" s="119" t="s">
        <v>2514</v>
      </c>
      <c r="E987" s="119" t="s">
        <v>6431</v>
      </c>
    </row>
    <row r="988" spans="1:5" ht="51" x14ac:dyDescent="0.25">
      <c r="A988" s="119">
        <v>1520</v>
      </c>
      <c r="B988" s="119" t="s">
        <v>6429</v>
      </c>
      <c r="C988" s="119" t="s">
        <v>6779</v>
      </c>
      <c r="D988" s="119" t="s">
        <v>2527</v>
      </c>
      <c r="E988" s="119" t="s">
        <v>6431</v>
      </c>
    </row>
    <row r="989" spans="1:5" ht="25.5" x14ac:dyDescent="0.25">
      <c r="A989" s="119">
        <v>1544</v>
      </c>
      <c r="B989" s="119" t="s">
        <v>6429</v>
      </c>
      <c r="C989" s="119" t="s">
        <v>6780</v>
      </c>
      <c r="D989" s="119" t="s">
        <v>2614</v>
      </c>
      <c r="E989" s="119" t="s">
        <v>6431</v>
      </c>
    </row>
    <row r="990" spans="1:5" ht="25.5" x14ac:dyDescent="0.25">
      <c r="A990" s="119">
        <v>1550</v>
      </c>
      <c r="B990" s="119" t="s">
        <v>6429</v>
      </c>
      <c r="C990" s="119" t="s">
        <v>6781</v>
      </c>
      <c r="D990" s="119" t="s">
        <v>2634</v>
      </c>
      <c r="E990" s="119" t="s">
        <v>6431</v>
      </c>
    </row>
    <row r="991" spans="1:5" ht="38.25" x14ac:dyDescent="0.25">
      <c r="A991" s="119">
        <v>1552</v>
      </c>
      <c r="B991" s="119" t="s">
        <v>6429</v>
      </c>
      <c r="C991" s="119" t="s">
        <v>6782</v>
      </c>
      <c r="D991" s="119" t="s">
        <v>2638</v>
      </c>
      <c r="E991" s="119" t="s">
        <v>6431</v>
      </c>
    </row>
    <row r="992" spans="1:5" ht="25.5" x14ac:dyDescent="0.25">
      <c r="A992" s="119">
        <v>1554</v>
      </c>
      <c r="B992" s="119" t="s">
        <v>6429</v>
      </c>
      <c r="C992" s="119" t="s">
        <v>6781</v>
      </c>
      <c r="D992" s="119" t="s">
        <v>2634</v>
      </c>
      <c r="E992" s="119" t="s">
        <v>6431</v>
      </c>
    </row>
    <row r="993" spans="1:5" ht="25.5" x14ac:dyDescent="0.25">
      <c r="A993" s="119">
        <v>1562</v>
      </c>
      <c r="B993" s="119" t="s">
        <v>6429</v>
      </c>
      <c r="C993" s="119" t="s">
        <v>6783</v>
      </c>
      <c r="D993" s="119" t="s">
        <v>2661</v>
      </c>
      <c r="E993" s="119" t="s">
        <v>6431</v>
      </c>
    </row>
    <row r="994" spans="1:5" ht="25.5" x14ac:dyDescent="0.25">
      <c r="A994" s="119">
        <v>1566</v>
      </c>
      <c r="B994" s="119" t="s">
        <v>6429</v>
      </c>
      <c r="C994" s="119" t="s">
        <v>6784</v>
      </c>
      <c r="D994" s="119" t="s">
        <v>2674</v>
      </c>
      <c r="E994" s="119" t="s">
        <v>6431</v>
      </c>
    </row>
    <row r="995" spans="1:5" ht="38.25" x14ac:dyDescent="0.25">
      <c r="A995" s="119">
        <v>1568</v>
      </c>
      <c r="B995" s="119" t="s">
        <v>6429</v>
      </c>
      <c r="C995" s="119" t="s">
        <v>6785</v>
      </c>
      <c r="D995" s="119" t="s">
        <v>2679</v>
      </c>
      <c r="E995" s="119" t="s">
        <v>6431</v>
      </c>
    </row>
    <row r="996" spans="1:5" ht="25.5" x14ac:dyDescent="0.25">
      <c r="A996" s="119">
        <v>1568</v>
      </c>
      <c r="B996" s="119" t="s">
        <v>6412</v>
      </c>
      <c r="C996" s="119" t="s">
        <v>6786</v>
      </c>
      <c r="D996" s="119" t="s">
        <v>2680</v>
      </c>
      <c r="E996" s="119" t="s">
        <v>6431</v>
      </c>
    </row>
    <row r="997" spans="1:5" ht="89.25" x14ac:dyDescent="0.25">
      <c r="A997" s="119">
        <v>1576</v>
      </c>
      <c r="B997" s="119" t="s">
        <v>6429</v>
      </c>
      <c r="C997" s="119" t="s">
        <v>6787</v>
      </c>
      <c r="D997" s="119" t="s">
        <v>2697</v>
      </c>
      <c r="E997" s="119" t="s">
        <v>6431</v>
      </c>
    </row>
    <row r="998" spans="1:5" ht="51" x14ac:dyDescent="0.25">
      <c r="A998" s="119">
        <v>1578</v>
      </c>
      <c r="B998" s="119" t="s">
        <v>6429</v>
      </c>
      <c r="C998" s="119" t="s">
        <v>6788</v>
      </c>
      <c r="D998" s="119" t="s">
        <v>2702</v>
      </c>
      <c r="E998" s="119" t="s">
        <v>6431</v>
      </c>
    </row>
    <row r="999" spans="1:5" ht="25.5" x14ac:dyDescent="0.25">
      <c r="A999" s="119">
        <v>1599</v>
      </c>
      <c r="B999" s="119" t="s">
        <v>6429</v>
      </c>
      <c r="C999" s="119" t="s">
        <v>6781</v>
      </c>
      <c r="D999" s="119" t="s">
        <v>2634</v>
      </c>
      <c r="E999" s="119" t="s">
        <v>6431</v>
      </c>
    </row>
    <row r="1000" spans="1:5" ht="38.25" x14ac:dyDescent="0.25">
      <c r="A1000" s="119">
        <v>1601</v>
      </c>
      <c r="B1000" s="119" t="s">
        <v>6429</v>
      </c>
      <c r="C1000" s="119" t="s">
        <v>6789</v>
      </c>
      <c r="D1000" s="119" t="s">
        <v>2740</v>
      </c>
      <c r="E1000" s="119" t="s">
        <v>6431</v>
      </c>
    </row>
    <row r="1001" spans="1:5" ht="25.5" x14ac:dyDescent="0.25">
      <c r="A1001" s="119">
        <v>1603</v>
      </c>
      <c r="B1001" s="119" t="s">
        <v>6429</v>
      </c>
      <c r="C1001" s="119" t="s">
        <v>6781</v>
      </c>
      <c r="D1001" s="119" t="s">
        <v>2634</v>
      </c>
      <c r="E1001" s="119" t="s">
        <v>6431</v>
      </c>
    </row>
    <row r="1002" spans="1:5" ht="38.25" x14ac:dyDescent="0.25">
      <c r="A1002" s="119">
        <v>1605</v>
      </c>
      <c r="B1002" s="119" t="s">
        <v>6429</v>
      </c>
      <c r="C1002" s="119" t="s">
        <v>6782</v>
      </c>
      <c r="D1002" s="119" t="s">
        <v>2638</v>
      </c>
      <c r="E1002" s="119" t="s">
        <v>6431</v>
      </c>
    </row>
    <row r="1003" spans="1:5" ht="38.25" x14ac:dyDescent="0.25">
      <c r="A1003" s="119">
        <v>1609</v>
      </c>
      <c r="B1003" s="119" t="s">
        <v>6429</v>
      </c>
      <c r="C1003" s="119" t="s">
        <v>6790</v>
      </c>
      <c r="D1003" s="119" t="s">
        <v>2750</v>
      </c>
      <c r="E1003" s="119" t="s">
        <v>6431</v>
      </c>
    </row>
    <row r="1004" spans="1:5" ht="25.5" x14ac:dyDescent="0.25">
      <c r="A1004" s="119">
        <v>1625</v>
      </c>
      <c r="B1004" s="119" t="s">
        <v>6429</v>
      </c>
      <c r="C1004" s="119" t="s">
        <v>6791</v>
      </c>
      <c r="D1004" s="119" t="s">
        <v>2792</v>
      </c>
      <c r="E1004" s="119" t="s">
        <v>6431</v>
      </c>
    </row>
    <row r="1005" spans="1:5" ht="25.5" x14ac:dyDescent="0.25">
      <c r="A1005" s="119">
        <v>1626</v>
      </c>
      <c r="B1005" s="119" t="s">
        <v>6429</v>
      </c>
      <c r="C1005" s="119" t="s">
        <v>6792</v>
      </c>
      <c r="D1005" s="119" t="s">
        <v>2795</v>
      </c>
      <c r="E1005" s="119" t="s">
        <v>6431</v>
      </c>
    </row>
    <row r="1006" spans="1:5" ht="25.5" x14ac:dyDescent="0.25">
      <c r="A1006" s="119">
        <v>1626</v>
      </c>
      <c r="B1006" s="119" t="s">
        <v>6412</v>
      </c>
      <c r="C1006" s="119" t="s">
        <v>6793</v>
      </c>
      <c r="D1006" s="119" t="s">
        <v>2796</v>
      </c>
      <c r="E1006" s="119" t="s">
        <v>6431</v>
      </c>
    </row>
    <row r="1007" spans="1:5" ht="25.5" x14ac:dyDescent="0.25">
      <c r="A1007" s="119">
        <v>1627</v>
      </c>
      <c r="B1007" s="119" t="s">
        <v>6429</v>
      </c>
      <c r="C1007" s="119" t="s">
        <v>6794</v>
      </c>
      <c r="D1007" s="119" t="s">
        <v>2800</v>
      </c>
      <c r="E1007" s="119" t="s">
        <v>6431</v>
      </c>
    </row>
    <row r="1008" spans="1:5" ht="25.5" x14ac:dyDescent="0.25">
      <c r="A1008" s="119">
        <v>1628</v>
      </c>
      <c r="B1008" s="119" t="s">
        <v>6429</v>
      </c>
      <c r="C1008" s="119" t="s">
        <v>6795</v>
      </c>
      <c r="D1008" s="119" t="s">
        <v>2805</v>
      </c>
      <c r="E1008" s="119" t="s">
        <v>6431</v>
      </c>
    </row>
    <row r="1009" spans="1:5" ht="25.5" x14ac:dyDescent="0.25">
      <c r="A1009" s="119">
        <v>1688</v>
      </c>
      <c r="B1009" s="119" t="s">
        <v>6429</v>
      </c>
      <c r="C1009" s="119" t="s">
        <v>6796</v>
      </c>
      <c r="D1009" s="119" t="s">
        <v>2987</v>
      </c>
      <c r="E1009" s="119" t="s">
        <v>6431</v>
      </c>
    </row>
    <row r="1010" spans="1:5" ht="25.5" x14ac:dyDescent="0.25">
      <c r="A1010" s="119">
        <v>1693</v>
      </c>
      <c r="B1010" s="119" t="s">
        <v>6429</v>
      </c>
      <c r="C1010" s="119" t="s">
        <v>6797</v>
      </c>
      <c r="D1010" s="119" t="s">
        <v>3002</v>
      </c>
      <c r="E1010" s="119" t="s">
        <v>6431</v>
      </c>
    </row>
    <row r="1011" spans="1:5" ht="25.5" x14ac:dyDescent="0.25">
      <c r="A1011" s="119">
        <v>1712</v>
      </c>
      <c r="B1011" s="119" t="s">
        <v>6412</v>
      </c>
      <c r="C1011" s="119" t="s">
        <v>6798</v>
      </c>
      <c r="D1011" s="119" t="s">
        <v>3066</v>
      </c>
      <c r="E1011" s="119" t="s">
        <v>6431</v>
      </c>
    </row>
    <row r="1012" spans="1:5" ht="25.5" x14ac:dyDescent="0.25">
      <c r="A1012" s="119">
        <v>1729</v>
      </c>
      <c r="B1012" s="119" t="s">
        <v>6412</v>
      </c>
      <c r="C1012" s="119" t="s">
        <v>6799</v>
      </c>
      <c r="D1012" s="119" t="s">
        <v>3092</v>
      </c>
      <c r="E1012" s="119" t="s">
        <v>6431</v>
      </c>
    </row>
    <row r="1013" spans="1:5" ht="25.5" x14ac:dyDescent="0.25">
      <c r="A1013" s="119">
        <v>1887</v>
      </c>
      <c r="B1013" s="119" t="s">
        <v>6412</v>
      </c>
      <c r="C1013" s="119" t="s">
        <v>6800</v>
      </c>
      <c r="D1013" s="119" t="s">
        <v>3412</v>
      </c>
      <c r="E1013" s="119" t="s">
        <v>6431</v>
      </c>
    </row>
    <row r="1014" spans="1:5" ht="25.5" x14ac:dyDescent="0.25">
      <c r="A1014" s="119">
        <v>1892</v>
      </c>
      <c r="B1014" s="119" t="s">
        <v>6412</v>
      </c>
      <c r="C1014" s="119" t="s">
        <v>6801</v>
      </c>
      <c r="D1014" s="119" t="s">
        <v>3428</v>
      </c>
      <c r="E1014" s="119" t="s">
        <v>6431</v>
      </c>
    </row>
    <row r="1015" spans="1:5" ht="25.5" x14ac:dyDescent="0.25">
      <c r="A1015" s="119">
        <v>1893</v>
      </c>
      <c r="B1015" s="119" t="s">
        <v>6429</v>
      </c>
      <c r="C1015" s="119" t="s">
        <v>6802</v>
      </c>
      <c r="D1015" s="119" t="s">
        <v>3370</v>
      </c>
      <c r="E1015" s="119" t="s">
        <v>6431</v>
      </c>
    </row>
    <row r="1016" spans="1:5" ht="25.5" x14ac:dyDescent="0.25">
      <c r="A1016" s="119">
        <v>1900</v>
      </c>
      <c r="B1016" s="119" t="s">
        <v>6429</v>
      </c>
      <c r="C1016" s="119" t="s">
        <v>6803</v>
      </c>
      <c r="D1016" s="119" t="s">
        <v>3447</v>
      </c>
      <c r="E1016" s="119" t="s">
        <v>6431</v>
      </c>
    </row>
    <row r="1017" spans="1:5" ht="51" x14ac:dyDescent="0.25">
      <c r="A1017" s="119">
        <v>1903</v>
      </c>
      <c r="B1017" s="119" t="s">
        <v>6429</v>
      </c>
      <c r="C1017" s="119" t="s">
        <v>6804</v>
      </c>
      <c r="D1017" s="119" t="s">
        <v>3450</v>
      </c>
      <c r="E1017" s="119" t="s">
        <v>6431</v>
      </c>
    </row>
    <row r="1018" spans="1:5" ht="25.5" x14ac:dyDescent="0.25">
      <c r="A1018" s="119">
        <v>1921</v>
      </c>
      <c r="B1018" s="119" t="s">
        <v>6429</v>
      </c>
      <c r="C1018" s="119" t="s">
        <v>6781</v>
      </c>
      <c r="D1018" s="119" t="s">
        <v>2634</v>
      </c>
      <c r="E1018" s="119" t="s">
        <v>6431</v>
      </c>
    </row>
    <row r="1019" spans="1:5" ht="25.5" x14ac:dyDescent="0.25">
      <c r="A1019" s="119">
        <v>1935</v>
      </c>
      <c r="B1019" s="119" t="s">
        <v>6429</v>
      </c>
      <c r="C1019" s="119" t="s">
        <v>6781</v>
      </c>
      <c r="D1019" s="119" t="s">
        <v>2634</v>
      </c>
      <c r="E1019" s="119" t="s">
        <v>6431</v>
      </c>
    </row>
    <row r="1020" spans="1:5" ht="25.5" x14ac:dyDescent="0.25">
      <c r="A1020" s="119">
        <v>1940</v>
      </c>
      <c r="B1020" s="119" t="s">
        <v>6429</v>
      </c>
      <c r="C1020" s="119" t="s">
        <v>6805</v>
      </c>
      <c r="D1020" s="119" t="s">
        <v>3478</v>
      </c>
      <c r="E1020" s="119" t="s">
        <v>6431</v>
      </c>
    </row>
    <row r="1021" spans="1:5" ht="25.5" x14ac:dyDescent="0.25">
      <c r="A1021" s="119">
        <v>1952</v>
      </c>
      <c r="B1021" s="119" t="s">
        <v>6429</v>
      </c>
      <c r="C1021" s="119" t="s">
        <v>6781</v>
      </c>
      <c r="D1021" s="119" t="s">
        <v>2634</v>
      </c>
      <c r="E1021" s="119" t="s">
        <v>6431</v>
      </c>
    </row>
    <row r="1022" spans="1:5" ht="63.75" x14ac:dyDescent="0.25">
      <c r="A1022" s="119">
        <v>1958</v>
      </c>
      <c r="B1022" s="119" t="s">
        <v>6429</v>
      </c>
      <c r="C1022" s="119" t="s">
        <v>6806</v>
      </c>
      <c r="D1022" s="119" t="s">
        <v>3491</v>
      </c>
      <c r="E1022" s="119" t="s">
        <v>6431</v>
      </c>
    </row>
    <row r="1023" spans="1:5" ht="25.5" x14ac:dyDescent="0.25">
      <c r="A1023" s="119">
        <v>1993</v>
      </c>
      <c r="B1023" s="119" t="s">
        <v>6429</v>
      </c>
      <c r="C1023" s="119" t="s">
        <v>6792</v>
      </c>
      <c r="D1023" s="119" t="s">
        <v>2795</v>
      </c>
      <c r="E1023" s="119" t="s">
        <v>6431</v>
      </c>
    </row>
    <row r="1024" spans="1:5" ht="25.5" x14ac:dyDescent="0.25">
      <c r="A1024" s="119">
        <v>1993</v>
      </c>
      <c r="B1024" s="119" t="s">
        <v>6412</v>
      </c>
      <c r="C1024" s="119" t="s">
        <v>6793</v>
      </c>
      <c r="D1024" s="119" t="s">
        <v>2796</v>
      </c>
      <c r="E1024" s="119" t="s">
        <v>6431</v>
      </c>
    </row>
    <row r="1025" spans="1:5" ht="25.5" x14ac:dyDescent="0.25">
      <c r="A1025" s="119">
        <v>1994</v>
      </c>
      <c r="B1025" s="119" t="s">
        <v>6429</v>
      </c>
      <c r="C1025" s="119" t="s">
        <v>6795</v>
      </c>
      <c r="D1025" s="119" t="s">
        <v>2805</v>
      </c>
      <c r="E1025" s="119" t="s">
        <v>6431</v>
      </c>
    </row>
    <row r="1026" spans="1:5" ht="102" x14ac:dyDescent="0.25">
      <c r="A1026" s="119">
        <v>2046</v>
      </c>
      <c r="B1026" s="119" t="s">
        <v>6429</v>
      </c>
      <c r="C1026" s="119" t="s">
        <v>6807</v>
      </c>
      <c r="D1026" s="119" t="s">
        <v>3619</v>
      </c>
      <c r="E1026" s="119" t="s">
        <v>6431</v>
      </c>
    </row>
    <row r="1027" spans="1:5" ht="25.5" x14ac:dyDescent="0.25">
      <c r="A1027" s="119">
        <v>2055</v>
      </c>
      <c r="B1027" s="119" t="s">
        <v>6412</v>
      </c>
      <c r="C1027" s="119" t="s">
        <v>6798</v>
      </c>
      <c r="D1027" s="119" t="s">
        <v>3066</v>
      </c>
      <c r="E1027" s="119" t="s">
        <v>6431</v>
      </c>
    </row>
    <row r="1028" spans="1:5" ht="25.5" x14ac:dyDescent="0.25">
      <c r="A1028" s="119">
        <v>2056</v>
      </c>
      <c r="B1028" s="119" t="s">
        <v>6412</v>
      </c>
      <c r="C1028" s="119" t="s">
        <v>6799</v>
      </c>
      <c r="D1028" s="119" t="s">
        <v>3092</v>
      </c>
      <c r="E1028" s="119" t="s">
        <v>6431</v>
      </c>
    </row>
    <row r="1029" spans="1:5" ht="25.5" x14ac:dyDescent="0.25">
      <c r="A1029" s="119">
        <v>2057</v>
      </c>
      <c r="B1029" s="119" t="s">
        <v>6412</v>
      </c>
      <c r="C1029" s="119" t="s">
        <v>6808</v>
      </c>
      <c r="D1029" s="119" t="s">
        <v>3636</v>
      </c>
      <c r="E1029" s="119" t="s">
        <v>6431</v>
      </c>
    </row>
    <row r="1030" spans="1:5" ht="25.5" x14ac:dyDescent="0.25">
      <c r="A1030" s="119">
        <v>2058</v>
      </c>
      <c r="B1030" s="119" t="s">
        <v>6412</v>
      </c>
      <c r="C1030" s="119" t="s">
        <v>6809</v>
      </c>
      <c r="D1030" s="119" t="s">
        <v>3639</v>
      </c>
      <c r="E1030" s="119" t="s">
        <v>6431</v>
      </c>
    </row>
    <row r="1031" spans="1:5" ht="25.5" x14ac:dyDescent="0.25">
      <c r="A1031" s="119">
        <v>2130</v>
      </c>
      <c r="B1031" s="119" t="s">
        <v>6412</v>
      </c>
      <c r="C1031" s="119" t="s">
        <v>6798</v>
      </c>
      <c r="D1031" s="119" t="s">
        <v>3066</v>
      </c>
      <c r="E1031" s="119" t="s">
        <v>6431</v>
      </c>
    </row>
    <row r="1032" spans="1:5" ht="25.5" x14ac:dyDescent="0.25">
      <c r="A1032" s="119">
        <v>2131</v>
      </c>
      <c r="B1032" s="119" t="s">
        <v>6412</v>
      </c>
      <c r="C1032" s="119" t="s">
        <v>6799</v>
      </c>
      <c r="D1032" s="119" t="s">
        <v>3092</v>
      </c>
      <c r="E1032" s="119" t="s">
        <v>6431</v>
      </c>
    </row>
    <row r="1033" spans="1:5" ht="25.5" x14ac:dyDescent="0.25">
      <c r="A1033" s="119">
        <v>2132</v>
      </c>
      <c r="B1033" s="119" t="s">
        <v>6412</v>
      </c>
      <c r="C1033" s="119" t="s">
        <v>6810</v>
      </c>
      <c r="D1033" s="119" t="s">
        <v>3712</v>
      </c>
      <c r="E1033" s="119" t="s">
        <v>6431</v>
      </c>
    </row>
    <row r="1034" spans="1:5" ht="25.5" x14ac:dyDescent="0.25">
      <c r="A1034" s="119">
        <v>2207</v>
      </c>
      <c r="B1034" s="119" t="s">
        <v>6429</v>
      </c>
      <c r="C1034" s="119" t="s">
        <v>6811</v>
      </c>
      <c r="D1034" s="119" t="s">
        <v>3847</v>
      </c>
      <c r="E1034" s="119" t="s">
        <v>6431</v>
      </c>
    </row>
    <row r="1035" spans="1:5" ht="25.5" x14ac:dyDescent="0.25">
      <c r="A1035" s="119">
        <v>2250</v>
      </c>
      <c r="B1035" s="119" t="s">
        <v>6429</v>
      </c>
      <c r="C1035" s="119" t="s">
        <v>6811</v>
      </c>
      <c r="D1035" s="119" t="s">
        <v>3847</v>
      </c>
      <c r="E1035" s="119" t="s">
        <v>6431</v>
      </c>
    </row>
    <row r="1036" spans="1:5" ht="63.75" x14ac:dyDescent="0.25">
      <c r="A1036" s="119">
        <v>2317</v>
      </c>
      <c r="B1036" s="119" t="s">
        <v>6429</v>
      </c>
      <c r="C1036" s="119" t="s">
        <v>6812</v>
      </c>
      <c r="D1036" s="119" t="s">
        <v>3967</v>
      </c>
      <c r="E1036" s="119" t="s">
        <v>6431</v>
      </c>
    </row>
    <row r="1037" spans="1:5" ht="76.5" x14ac:dyDescent="0.25">
      <c r="A1037" s="119">
        <v>2320</v>
      </c>
      <c r="B1037" s="119" t="s">
        <v>6429</v>
      </c>
      <c r="C1037" s="119" t="s">
        <v>6813</v>
      </c>
      <c r="D1037" s="119" t="s">
        <v>3975</v>
      </c>
      <c r="E1037" s="119" t="s">
        <v>6431</v>
      </c>
    </row>
    <row r="1038" spans="1:5" ht="25.5" x14ac:dyDescent="0.25">
      <c r="A1038" s="119">
        <v>2330</v>
      </c>
      <c r="B1038" s="119" t="s">
        <v>6412</v>
      </c>
      <c r="C1038" s="119" t="s">
        <v>6814</v>
      </c>
      <c r="D1038" s="119" t="s">
        <v>4002</v>
      </c>
      <c r="E1038" s="119" t="s">
        <v>6431</v>
      </c>
    </row>
    <row r="1039" spans="1:5" ht="25.5" x14ac:dyDescent="0.25">
      <c r="A1039" s="119">
        <v>2332</v>
      </c>
      <c r="B1039" s="119" t="s">
        <v>6412</v>
      </c>
      <c r="C1039" s="119" t="s">
        <v>6815</v>
      </c>
      <c r="D1039" s="119" t="s">
        <v>4005</v>
      </c>
      <c r="E1039" s="119" t="s">
        <v>6431</v>
      </c>
    </row>
    <row r="1040" spans="1:5" ht="25.5" x14ac:dyDescent="0.25">
      <c r="A1040" s="119">
        <v>2420</v>
      </c>
      <c r="B1040" s="119" t="s">
        <v>6429</v>
      </c>
      <c r="C1040" s="119" t="s">
        <v>6816</v>
      </c>
      <c r="D1040" s="119" t="s">
        <v>4095</v>
      </c>
      <c r="E1040" s="119" t="s">
        <v>6431</v>
      </c>
    </row>
    <row r="1041" spans="1:5" ht="25.5" x14ac:dyDescent="0.25">
      <c r="A1041" s="119">
        <v>2463</v>
      </c>
      <c r="B1041" s="119" t="s">
        <v>6429</v>
      </c>
      <c r="C1041" s="119" t="s">
        <v>6817</v>
      </c>
      <c r="D1041" s="119" t="s">
        <v>4172</v>
      </c>
      <c r="E1041" s="119" t="s">
        <v>6431</v>
      </c>
    </row>
    <row r="1042" spans="1:5" ht="25.5" x14ac:dyDescent="0.25">
      <c r="A1042" s="119">
        <v>2464</v>
      </c>
      <c r="B1042" s="119" t="s">
        <v>6429</v>
      </c>
      <c r="C1042" s="119" t="s">
        <v>6818</v>
      </c>
      <c r="D1042" s="119" t="s">
        <v>4174</v>
      </c>
      <c r="E1042" s="119" t="s">
        <v>6431</v>
      </c>
    </row>
    <row r="1043" spans="1:5" ht="25.5" x14ac:dyDescent="0.25">
      <c r="A1043" s="119">
        <v>2465</v>
      </c>
      <c r="B1043" s="119" t="s">
        <v>6429</v>
      </c>
      <c r="C1043" s="119" t="s">
        <v>6819</v>
      </c>
      <c r="D1043" s="119" t="s">
        <v>4176</v>
      </c>
      <c r="E1043" s="119" t="s">
        <v>6431</v>
      </c>
    </row>
    <row r="1044" spans="1:5" ht="25.5" x14ac:dyDescent="0.25">
      <c r="A1044" s="119">
        <v>2466</v>
      </c>
      <c r="B1044" s="119" t="s">
        <v>6429</v>
      </c>
      <c r="C1044" s="119" t="s">
        <v>6820</v>
      </c>
      <c r="D1044" s="119" t="s">
        <v>4178</v>
      </c>
      <c r="E1044" s="119" t="s">
        <v>6431</v>
      </c>
    </row>
    <row r="1045" spans="1:5" ht="25.5" x14ac:dyDescent="0.25">
      <c r="A1045" s="119">
        <v>2467</v>
      </c>
      <c r="B1045" s="119" t="s">
        <v>6429</v>
      </c>
      <c r="C1045" s="119" t="s">
        <v>6821</v>
      </c>
      <c r="D1045" s="119" t="s">
        <v>4180</v>
      </c>
      <c r="E1045" s="119" t="s">
        <v>6431</v>
      </c>
    </row>
    <row r="1046" spans="1:5" ht="25.5" x14ac:dyDescent="0.25">
      <c r="A1046" s="119">
        <v>2468</v>
      </c>
      <c r="B1046" s="119" t="s">
        <v>6429</v>
      </c>
      <c r="C1046" s="119" t="s">
        <v>6822</v>
      </c>
      <c r="D1046" s="119" t="s">
        <v>4182</v>
      </c>
      <c r="E1046" s="119" t="s">
        <v>6431</v>
      </c>
    </row>
    <row r="1047" spans="1:5" ht="25.5" x14ac:dyDescent="0.25">
      <c r="A1047" s="119">
        <v>2469</v>
      </c>
      <c r="B1047" s="119" t="s">
        <v>6429</v>
      </c>
      <c r="C1047" s="119" t="s">
        <v>6823</v>
      </c>
      <c r="D1047" s="119" t="s">
        <v>4184</v>
      </c>
      <c r="E1047" s="119" t="s">
        <v>6431</v>
      </c>
    </row>
    <row r="1048" spans="1:5" ht="25.5" x14ac:dyDescent="0.25">
      <c r="A1048" s="119">
        <v>2470</v>
      </c>
      <c r="B1048" s="119" t="s">
        <v>6429</v>
      </c>
      <c r="C1048" s="119" t="s">
        <v>6824</v>
      </c>
      <c r="D1048" s="119" t="s">
        <v>4186</v>
      </c>
      <c r="E1048" s="119" t="s">
        <v>6431</v>
      </c>
    </row>
    <row r="1049" spans="1:5" ht="38.25" x14ac:dyDescent="0.25">
      <c r="A1049" s="119">
        <v>2471</v>
      </c>
      <c r="B1049" s="119" t="s">
        <v>6429</v>
      </c>
      <c r="C1049" s="119" t="s">
        <v>6825</v>
      </c>
      <c r="D1049" s="119" t="s">
        <v>4187</v>
      </c>
      <c r="E1049" s="119" t="s">
        <v>6431</v>
      </c>
    </row>
    <row r="1050" spans="1:5" ht="38.25" x14ac:dyDescent="0.25">
      <c r="A1050" s="119">
        <v>2472</v>
      </c>
      <c r="B1050" s="119" t="s">
        <v>6429</v>
      </c>
      <c r="C1050" s="119" t="s">
        <v>6826</v>
      </c>
      <c r="D1050" s="119" t="s">
        <v>4189</v>
      </c>
      <c r="E1050" s="119" t="s">
        <v>6431</v>
      </c>
    </row>
    <row r="1051" spans="1:5" ht="25.5" x14ac:dyDescent="0.25">
      <c r="A1051" s="119">
        <v>2485</v>
      </c>
      <c r="B1051" s="119" t="s">
        <v>6429</v>
      </c>
      <c r="C1051" s="119" t="s">
        <v>6827</v>
      </c>
      <c r="D1051" s="119" t="s">
        <v>4204</v>
      </c>
      <c r="E1051" s="119" t="s">
        <v>6431</v>
      </c>
    </row>
    <row r="1052" spans="1:5" ht="25.5" x14ac:dyDescent="0.25">
      <c r="A1052" s="119">
        <v>2486</v>
      </c>
      <c r="B1052" s="119" t="s">
        <v>6429</v>
      </c>
      <c r="C1052" s="119" t="s">
        <v>6828</v>
      </c>
      <c r="D1052" s="119" t="s">
        <v>4205</v>
      </c>
      <c r="E1052" s="119" t="s">
        <v>6431</v>
      </c>
    </row>
    <row r="1053" spans="1:5" ht="25.5" x14ac:dyDescent="0.25">
      <c r="A1053" s="119">
        <v>2592</v>
      </c>
      <c r="B1053" s="119" t="s">
        <v>6429</v>
      </c>
      <c r="C1053" s="119" t="s">
        <v>6394</v>
      </c>
      <c r="D1053" s="119" t="s">
        <v>4341</v>
      </c>
      <c r="E1053" s="119" t="s">
        <v>6431</v>
      </c>
    </row>
    <row r="1054" spans="1:5" ht="25.5" x14ac:dyDescent="0.25">
      <c r="A1054" s="119">
        <v>2792</v>
      </c>
      <c r="B1054" s="119" t="s">
        <v>6412</v>
      </c>
      <c r="C1054" s="119" t="s">
        <v>6829</v>
      </c>
      <c r="D1054" s="119" t="s">
        <v>4567</v>
      </c>
      <c r="E1054" s="119" t="s">
        <v>6431</v>
      </c>
    </row>
    <row r="1055" spans="1:5" ht="25.5" x14ac:dyDescent="0.25">
      <c r="A1055" s="119">
        <v>2823</v>
      </c>
      <c r="B1055" s="119" t="s">
        <v>6412</v>
      </c>
      <c r="C1055" s="119" t="s">
        <v>6829</v>
      </c>
      <c r="D1055" s="119" t="s">
        <v>4567</v>
      </c>
      <c r="E1055" s="119" t="s">
        <v>6431</v>
      </c>
    </row>
    <row r="1056" spans="1:5" ht="25.5" x14ac:dyDescent="0.25">
      <c r="A1056" s="119">
        <v>2854</v>
      </c>
      <c r="B1056" s="119" t="s">
        <v>6412</v>
      </c>
      <c r="C1056" s="119" t="s">
        <v>6829</v>
      </c>
      <c r="D1056" s="119" t="s">
        <v>4567</v>
      </c>
      <c r="E1056" s="119" t="s">
        <v>6431</v>
      </c>
    </row>
    <row r="1057" spans="1:5" ht="25.5" x14ac:dyDescent="0.25">
      <c r="A1057" s="119">
        <v>2885</v>
      </c>
      <c r="B1057" s="119" t="s">
        <v>6412</v>
      </c>
      <c r="C1057" s="119" t="s">
        <v>6829</v>
      </c>
      <c r="D1057" s="119" t="s">
        <v>4567</v>
      </c>
      <c r="E1057" s="119" t="s">
        <v>6431</v>
      </c>
    </row>
    <row r="1058" spans="1:5" ht="25.5" x14ac:dyDescent="0.25">
      <c r="A1058" s="119">
        <v>2916</v>
      </c>
      <c r="B1058" s="119" t="s">
        <v>6412</v>
      </c>
      <c r="C1058" s="119" t="s">
        <v>6829</v>
      </c>
      <c r="D1058" s="119" t="s">
        <v>4567</v>
      </c>
      <c r="E1058" s="119" t="s">
        <v>6431</v>
      </c>
    </row>
    <row r="1059" spans="1:5" ht="25.5" x14ac:dyDescent="0.25">
      <c r="A1059" s="119">
        <v>2947</v>
      </c>
      <c r="B1059" s="119" t="s">
        <v>6412</v>
      </c>
      <c r="C1059" s="119" t="s">
        <v>6829</v>
      </c>
      <c r="D1059" s="119" t="s">
        <v>4567</v>
      </c>
      <c r="E1059" s="119" t="s">
        <v>6431</v>
      </c>
    </row>
    <row r="1060" spans="1:5" ht="38.25" x14ac:dyDescent="0.25">
      <c r="A1060" s="119">
        <v>3106</v>
      </c>
      <c r="B1060" s="119" t="s">
        <v>6429</v>
      </c>
      <c r="C1060" s="119" t="s">
        <v>6376</v>
      </c>
      <c r="D1060" s="119" t="s">
        <v>4820</v>
      </c>
      <c r="E1060" s="119" t="s">
        <v>6431</v>
      </c>
    </row>
    <row r="1061" spans="1:5" ht="38.25" x14ac:dyDescent="0.25">
      <c r="A1061" s="119">
        <v>3275</v>
      </c>
      <c r="B1061" s="119" t="s">
        <v>6429</v>
      </c>
      <c r="C1061" s="119" t="s">
        <v>6396</v>
      </c>
      <c r="D1061" s="119" t="s">
        <v>4985</v>
      </c>
      <c r="E1061" s="119" t="s">
        <v>6431</v>
      </c>
    </row>
    <row r="1062" spans="1:5" ht="25.5" x14ac:dyDescent="0.25">
      <c r="A1062" s="119">
        <v>3275</v>
      </c>
      <c r="B1062" s="119" t="s">
        <v>6412</v>
      </c>
      <c r="C1062" s="119" t="s">
        <v>6830</v>
      </c>
      <c r="D1062" s="119" t="s">
        <v>4986</v>
      </c>
      <c r="E1062" s="119" t="s">
        <v>6431</v>
      </c>
    </row>
    <row r="1063" spans="1:5" ht="38.25" x14ac:dyDescent="0.25">
      <c r="A1063" s="119">
        <v>3558</v>
      </c>
      <c r="B1063" s="119" t="s">
        <v>6429</v>
      </c>
      <c r="C1063" s="119" t="s">
        <v>6397</v>
      </c>
      <c r="D1063" s="119" t="s">
        <v>5134</v>
      </c>
      <c r="E1063" s="119" t="s">
        <v>6431</v>
      </c>
    </row>
    <row r="1064" spans="1:5" ht="25.5" x14ac:dyDescent="0.25">
      <c r="A1064" s="119">
        <v>3565</v>
      </c>
      <c r="B1064" s="119" t="s">
        <v>6429</v>
      </c>
      <c r="C1064" s="119" t="s">
        <v>6363</v>
      </c>
      <c r="D1064" s="119" t="s">
        <v>5146</v>
      </c>
      <c r="E1064" s="119" t="s">
        <v>6431</v>
      </c>
    </row>
    <row r="1065" spans="1:5" ht="63.75" x14ac:dyDescent="0.25">
      <c r="A1065" s="119">
        <v>3575</v>
      </c>
      <c r="B1065" s="119" t="s">
        <v>6429</v>
      </c>
      <c r="C1065" s="119" t="s">
        <v>6398</v>
      </c>
      <c r="D1065" s="119" t="s">
        <v>5160</v>
      </c>
      <c r="E1065" s="119" t="s">
        <v>6431</v>
      </c>
    </row>
    <row r="1066" spans="1:5" ht="127.5" x14ac:dyDescent="0.25">
      <c r="A1066" s="119">
        <v>3581</v>
      </c>
      <c r="B1066" s="119" t="s">
        <v>6429</v>
      </c>
      <c r="C1066" s="119" t="s">
        <v>6399</v>
      </c>
      <c r="D1066" s="119" t="s">
        <v>5175</v>
      </c>
      <c r="E1066" s="119" t="s">
        <v>6431</v>
      </c>
    </row>
    <row r="1067" spans="1:5" ht="25.5" x14ac:dyDescent="0.25">
      <c r="A1067" s="119">
        <v>3612</v>
      </c>
      <c r="B1067" s="119" t="s">
        <v>6429</v>
      </c>
      <c r="C1067" s="119" t="s">
        <v>6400</v>
      </c>
      <c r="D1067" s="119" t="s">
        <v>5207</v>
      </c>
      <c r="E1067" s="119" t="s">
        <v>6431</v>
      </c>
    </row>
    <row r="1068" spans="1:5" ht="25.5" x14ac:dyDescent="0.25">
      <c r="A1068" s="119">
        <v>3628</v>
      </c>
      <c r="B1068" s="119" t="s">
        <v>6429</v>
      </c>
      <c r="C1068" s="119" t="s">
        <v>6382</v>
      </c>
      <c r="D1068" s="119" t="s">
        <v>5230</v>
      </c>
      <c r="E1068" s="119" t="s">
        <v>6431</v>
      </c>
    </row>
    <row r="1069" spans="1:5" ht="25.5" x14ac:dyDescent="0.25">
      <c r="A1069" s="119">
        <v>3664</v>
      </c>
      <c r="B1069" s="119" t="s">
        <v>6429</v>
      </c>
      <c r="C1069" s="119" t="s">
        <v>6401</v>
      </c>
      <c r="D1069" s="119" t="s">
        <v>5261</v>
      </c>
      <c r="E1069" s="119" t="s">
        <v>6431</v>
      </c>
    </row>
    <row r="1070" spans="1:5" ht="25.5" x14ac:dyDescent="0.25">
      <c r="A1070" s="119">
        <v>3664</v>
      </c>
      <c r="B1070" s="119" t="s">
        <v>6412</v>
      </c>
      <c r="C1070" s="119" t="s">
        <v>6831</v>
      </c>
      <c r="D1070" s="119" t="s">
        <v>5262</v>
      </c>
      <c r="E1070" s="119" t="s">
        <v>6431</v>
      </c>
    </row>
    <row r="1071" spans="1:5" ht="38.25" x14ac:dyDescent="0.25">
      <c r="A1071" s="119">
        <v>3677</v>
      </c>
      <c r="B1071" s="119" t="s">
        <v>6429</v>
      </c>
      <c r="C1071" s="119" t="s">
        <v>6354</v>
      </c>
      <c r="D1071" s="119" t="s">
        <v>5277</v>
      </c>
      <c r="E1071" s="119" t="s">
        <v>6431</v>
      </c>
    </row>
    <row r="1072" spans="1:5" ht="38.25" x14ac:dyDescent="0.25">
      <c r="A1072" s="119">
        <v>3696</v>
      </c>
      <c r="B1072" s="119" t="s">
        <v>6429</v>
      </c>
      <c r="C1072" s="119" t="s">
        <v>6354</v>
      </c>
      <c r="D1072" s="119" t="s">
        <v>5277</v>
      </c>
      <c r="E1072" s="119" t="s">
        <v>6431</v>
      </c>
    </row>
    <row r="1073" spans="1:5" ht="38.25" x14ac:dyDescent="0.25">
      <c r="A1073" s="119">
        <v>3715</v>
      </c>
      <c r="B1073" s="119" t="s">
        <v>6429</v>
      </c>
      <c r="C1073" s="119" t="s">
        <v>6354</v>
      </c>
      <c r="D1073" s="119" t="s">
        <v>5277</v>
      </c>
      <c r="E1073" s="119" t="s">
        <v>6431</v>
      </c>
    </row>
    <row r="1074" spans="1:5" ht="38.25" x14ac:dyDescent="0.25">
      <c r="A1074" s="119">
        <v>3731</v>
      </c>
      <c r="B1074" s="119" t="s">
        <v>6429</v>
      </c>
      <c r="C1074" s="119" t="s">
        <v>6354</v>
      </c>
      <c r="D1074" s="119" t="s">
        <v>5277</v>
      </c>
      <c r="E1074" s="119" t="s">
        <v>6431</v>
      </c>
    </row>
    <row r="1075" spans="1:5" ht="38.25" x14ac:dyDescent="0.25">
      <c r="A1075" s="119">
        <v>3816</v>
      </c>
      <c r="B1075" s="119" t="s">
        <v>6429</v>
      </c>
      <c r="C1075" s="119" t="s">
        <v>6376</v>
      </c>
      <c r="D1075" s="119" t="s">
        <v>4820</v>
      </c>
      <c r="E1075" s="119" t="s">
        <v>6431</v>
      </c>
    </row>
    <row r="1076" spans="1:5" ht="25.5" x14ac:dyDescent="0.25">
      <c r="A1076" s="119">
        <v>3888</v>
      </c>
      <c r="B1076" s="119" t="s">
        <v>6429</v>
      </c>
      <c r="C1076" s="119" t="s">
        <v>6832</v>
      </c>
      <c r="D1076" s="119" t="s">
        <v>5401</v>
      </c>
      <c r="E1076" s="119" t="s">
        <v>6431</v>
      </c>
    </row>
    <row r="1077" spans="1:5" ht="25.5" x14ac:dyDescent="0.25">
      <c r="A1077" s="119">
        <v>3909</v>
      </c>
      <c r="B1077" s="119" t="s">
        <v>6429</v>
      </c>
      <c r="C1077" s="119" t="s">
        <v>6832</v>
      </c>
      <c r="D1077" s="119" t="s">
        <v>5401</v>
      </c>
      <c r="E1077" s="119" t="s">
        <v>6431</v>
      </c>
    </row>
    <row r="1078" spans="1:5" ht="25.5" x14ac:dyDescent="0.25">
      <c r="A1078" s="119">
        <v>4017</v>
      </c>
      <c r="B1078" s="119" t="s">
        <v>6429</v>
      </c>
      <c r="C1078" s="119" t="s">
        <v>6833</v>
      </c>
      <c r="D1078" s="119" t="s">
        <v>5505</v>
      </c>
      <c r="E1078" s="119" t="s">
        <v>6431</v>
      </c>
    </row>
    <row r="1079" spans="1:5" ht="25.5" x14ac:dyDescent="0.25">
      <c r="A1079" s="119">
        <v>4018</v>
      </c>
      <c r="B1079" s="119" t="s">
        <v>6429</v>
      </c>
      <c r="C1079" s="119" t="s">
        <v>6834</v>
      </c>
      <c r="D1079" s="119" t="s">
        <v>5506</v>
      </c>
      <c r="E1079" s="119" t="s">
        <v>6431</v>
      </c>
    </row>
    <row r="1080" spans="1:5" ht="25.5" x14ac:dyDescent="0.25">
      <c r="A1080" s="119">
        <v>4057</v>
      </c>
      <c r="B1080" s="119" t="s">
        <v>6412</v>
      </c>
      <c r="C1080" s="119" t="s">
        <v>6835</v>
      </c>
      <c r="D1080" s="119" t="s">
        <v>5542</v>
      </c>
      <c r="E1080" s="119" t="s">
        <v>6431</v>
      </c>
    </row>
    <row r="1081" spans="1:5" ht="25.5" x14ac:dyDescent="0.25">
      <c r="A1081" s="119">
        <v>4058</v>
      </c>
      <c r="B1081" s="119" t="s">
        <v>6412</v>
      </c>
      <c r="C1081" s="119" t="s">
        <v>6835</v>
      </c>
      <c r="D1081" s="119" t="s">
        <v>5542</v>
      </c>
      <c r="E1081" s="119" t="s">
        <v>6431</v>
      </c>
    </row>
    <row r="1082" spans="1:5" ht="25.5" x14ac:dyDescent="0.25">
      <c r="A1082" s="119">
        <v>4059</v>
      </c>
      <c r="B1082" s="119" t="s">
        <v>6412</v>
      </c>
      <c r="C1082" s="119" t="s">
        <v>6836</v>
      </c>
      <c r="D1082" s="119" t="s">
        <v>5546</v>
      </c>
      <c r="E1082" s="119" t="s">
        <v>6431</v>
      </c>
    </row>
    <row r="1083" spans="1:5" ht="25.5" x14ac:dyDescent="0.25">
      <c r="A1083" s="119">
        <v>4060</v>
      </c>
      <c r="B1083" s="119" t="s">
        <v>6412</v>
      </c>
      <c r="C1083" s="119" t="s">
        <v>6836</v>
      </c>
      <c r="D1083" s="119" t="s">
        <v>5546</v>
      </c>
      <c r="E1083" s="119" t="s">
        <v>6431</v>
      </c>
    </row>
    <row r="1084" spans="1:5" ht="25.5" x14ac:dyDescent="0.25">
      <c r="A1084" s="119">
        <v>4061</v>
      </c>
      <c r="B1084" s="119" t="s">
        <v>6412</v>
      </c>
      <c r="C1084" s="119" t="s">
        <v>6836</v>
      </c>
      <c r="D1084" s="119" t="s">
        <v>5546</v>
      </c>
      <c r="E1084" s="119" t="s">
        <v>6431</v>
      </c>
    </row>
    <row r="1085" spans="1:5" ht="25.5" x14ac:dyDescent="0.25">
      <c r="A1085" s="119">
        <v>4062</v>
      </c>
      <c r="B1085" s="119" t="s">
        <v>6412</v>
      </c>
      <c r="C1085" s="119" t="s">
        <v>6837</v>
      </c>
      <c r="D1085" s="119" t="s">
        <v>5551</v>
      </c>
      <c r="E1085" s="119" t="s">
        <v>6431</v>
      </c>
    </row>
    <row r="1086" spans="1:5" ht="25.5" x14ac:dyDescent="0.25">
      <c r="A1086" s="119">
        <v>4065</v>
      </c>
      <c r="B1086" s="119" t="s">
        <v>6429</v>
      </c>
      <c r="C1086" s="119" t="s">
        <v>6838</v>
      </c>
      <c r="D1086" s="119" t="s">
        <v>5556</v>
      </c>
      <c r="E1086" s="119" t="s">
        <v>6431</v>
      </c>
    </row>
    <row r="1087" spans="1:5" ht="25.5" x14ac:dyDescent="0.25">
      <c r="A1087" s="119">
        <v>4066</v>
      </c>
      <c r="B1087" s="119" t="s">
        <v>6429</v>
      </c>
      <c r="C1087" s="119" t="s">
        <v>6839</v>
      </c>
      <c r="D1087" s="119" t="s">
        <v>5558</v>
      </c>
      <c r="E1087" s="119" t="s">
        <v>6431</v>
      </c>
    </row>
    <row r="1088" spans="1:5" ht="25.5" x14ac:dyDescent="0.25">
      <c r="A1088" s="119">
        <v>4067</v>
      </c>
      <c r="B1088" s="119" t="s">
        <v>6429</v>
      </c>
      <c r="C1088" s="119" t="s">
        <v>6840</v>
      </c>
      <c r="D1088" s="119" t="s">
        <v>5560</v>
      </c>
      <c r="E1088" s="119" t="s">
        <v>6431</v>
      </c>
    </row>
    <row r="1089" spans="1:5" ht="25.5" x14ac:dyDescent="0.25">
      <c r="A1089" s="119">
        <v>4068</v>
      </c>
      <c r="B1089" s="119" t="s">
        <v>6429</v>
      </c>
      <c r="C1089" s="119" t="s">
        <v>6841</v>
      </c>
      <c r="D1089" s="119" t="s">
        <v>5561</v>
      </c>
      <c r="E1089" s="119" t="s">
        <v>6431</v>
      </c>
    </row>
    <row r="1090" spans="1:5" ht="25.5" x14ac:dyDescent="0.25">
      <c r="A1090" s="119">
        <v>4091</v>
      </c>
      <c r="B1090" s="119" t="s">
        <v>6429</v>
      </c>
      <c r="C1090" s="119" t="s">
        <v>6842</v>
      </c>
      <c r="D1090" s="119" t="s">
        <v>5588</v>
      </c>
      <c r="E1090" s="119" t="s">
        <v>6431</v>
      </c>
    </row>
    <row r="1091" spans="1:5" ht="51" x14ac:dyDescent="0.25">
      <c r="A1091" s="119">
        <v>4128</v>
      </c>
      <c r="B1091" s="119" t="s">
        <v>6429</v>
      </c>
      <c r="C1091" s="119" t="s">
        <v>6201</v>
      </c>
      <c r="D1091" s="119" t="s">
        <v>5684</v>
      </c>
      <c r="E1091" s="119" t="s">
        <v>6431</v>
      </c>
    </row>
    <row r="1092" spans="1:5" ht="63.75" x14ac:dyDescent="0.25">
      <c r="A1092" s="119">
        <v>4129</v>
      </c>
      <c r="B1092" s="119" t="s">
        <v>6429</v>
      </c>
      <c r="C1092" s="119" t="s">
        <v>6202</v>
      </c>
      <c r="D1092" s="119" t="s">
        <v>5686</v>
      </c>
      <c r="E1092" s="119" t="s">
        <v>6431</v>
      </c>
    </row>
    <row r="1093" spans="1:5" ht="51" x14ac:dyDescent="0.25">
      <c r="A1093" s="119">
        <v>4184</v>
      </c>
      <c r="B1093" s="119" t="s">
        <v>6429</v>
      </c>
      <c r="C1093" s="119" t="s">
        <v>6232</v>
      </c>
      <c r="D1093" s="119" t="s">
        <v>5818</v>
      </c>
      <c r="E1093" s="119" t="s">
        <v>6431</v>
      </c>
    </row>
    <row r="1094" spans="1:5" ht="51" x14ac:dyDescent="0.25">
      <c r="A1094" s="119">
        <v>4185</v>
      </c>
      <c r="B1094" s="119" t="s">
        <v>6429</v>
      </c>
      <c r="C1094" s="119" t="s">
        <v>6234</v>
      </c>
      <c r="D1094" s="119" t="s">
        <v>5821</v>
      </c>
      <c r="E1094" s="119" t="s">
        <v>6431</v>
      </c>
    </row>
    <row r="1095" spans="1:5" ht="51" x14ac:dyDescent="0.25">
      <c r="A1095" s="119">
        <v>4186</v>
      </c>
      <c r="B1095" s="119" t="s">
        <v>6429</v>
      </c>
      <c r="C1095" s="119" t="s">
        <v>6236</v>
      </c>
      <c r="D1095" s="119" t="s">
        <v>5824</v>
      </c>
      <c r="E1095" s="119" t="s">
        <v>6431</v>
      </c>
    </row>
    <row r="1096" spans="1:5" ht="51" x14ac:dyDescent="0.25">
      <c r="A1096" s="119">
        <v>4187</v>
      </c>
      <c r="B1096" s="119" t="s">
        <v>6429</v>
      </c>
      <c r="C1096" s="119" t="s">
        <v>6237</v>
      </c>
      <c r="D1096" s="119" t="s">
        <v>5826</v>
      </c>
      <c r="E1096" s="119" t="s">
        <v>6431</v>
      </c>
    </row>
    <row r="1097" spans="1:5" ht="51" x14ac:dyDescent="0.25">
      <c r="A1097" s="119">
        <v>4188</v>
      </c>
      <c r="B1097" s="119" t="s">
        <v>6429</v>
      </c>
      <c r="C1097" s="119" t="s">
        <v>6239</v>
      </c>
      <c r="D1097" s="119" t="s">
        <v>5829</v>
      </c>
      <c r="E1097" s="119" t="s">
        <v>6431</v>
      </c>
    </row>
    <row r="1098" spans="1:5" ht="51" x14ac:dyDescent="0.25">
      <c r="A1098" s="119">
        <v>4189</v>
      </c>
      <c r="B1098" s="119" t="s">
        <v>6429</v>
      </c>
      <c r="C1098" s="119" t="s">
        <v>6240</v>
      </c>
      <c r="D1098" s="119" t="s">
        <v>5831</v>
      </c>
      <c r="E1098" s="119" t="s">
        <v>6431</v>
      </c>
    </row>
    <row r="1099" spans="1:5" ht="51" x14ac:dyDescent="0.25">
      <c r="A1099" s="119">
        <v>4190</v>
      </c>
      <c r="B1099" s="119" t="s">
        <v>6429</v>
      </c>
      <c r="C1099" s="119" t="s">
        <v>6241</v>
      </c>
      <c r="D1099" s="119" t="s">
        <v>5833</v>
      </c>
      <c r="E1099" s="119" t="s">
        <v>6431</v>
      </c>
    </row>
    <row r="1100" spans="1:5" ht="51" x14ac:dyDescent="0.25">
      <c r="A1100" s="119">
        <v>4193</v>
      </c>
      <c r="B1100" s="119" t="s">
        <v>6429</v>
      </c>
      <c r="C1100" s="119" t="s">
        <v>6242</v>
      </c>
      <c r="D1100" s="119" t="s">
        <v>5839</v>
      </c>
      <c r="E1100" s="119" t="s">
        <v>6431</v>
      </c>
    </row>
    <row r="1101" spans="1:5" ht="51" x14ac:dyDescent="0.25">
      <c r="A1101" s="119">
        <v>4198</v>
      </c>
      <c r="B1101" s="119" t="s">
        <v>6429</v>
      </c>
      <c r="C1101" s="119" t="s">
        <v>6247</v>
      </c>
      <c r="D1101" s="119" t="s">
        <v>5852</v>
      </c>
      <c r="E1101" s="119" t="s">
        <v>6431</v>
      </c>
    </row>
    <row r="1102" spans="1:5" ht="89.25" x14ac:dyDescent="0.25">
      <c r="A1102" s="119">
        <v>4234</v>
      </c>
      <c r="B1102" s="119" t="s">
        <v>6429</v>
      </c>
      <c r="C1102" s="119" t="s">
        <v>6275</v>
      </c>
      <c r="D1102" s="119" t="s">
        <v>5939</v>
      </c>
      <c r="E1102" s="119" t="s">
        <v>6431</v>
      </c>
    </row>
    <row r="1103" spans="1:5" ht="25.5" x14ac:dyDescent="0.25">
      <c r="A1103" s="119">
        <v>4246</v>
      </c>
      <c r="B1103" s="119" t="s">
        <v>6429</v>
      </c>
      <c r="C1103" s="119" t="s">
        <v>6292</v>
      </c>
      <c r="D1103" s="119" t="s">
        <v>5962</v>
      </c>
      <c r="E1103" s="119" t="s">
        <v>6431</v>
      </c>
    </row>
    <row r="1104" spans="1:5" ht="25.5" x14ac:dyDescent="0.25">
      <c r="A1104" s="119">
        <v>4249</v>
      </c>
      <c r="B1104" s="119" t="s">
        <v>6429</v>
      </c>
      <c r="C1104" s="119" t="s">
        <v>6296</v>
      </c>
      <c r="D1104" s="119" t="s">
        <v>5967</v>
      </c>
      <c r="E1104" s="119" t="s">
        <v>6431</v>
      </c>
    </row>
    <row r="1105" spans="1:5" ht="25.5" x14ac:dyDescent="0.25">
      <c r="A1105" s="119">
        <v>2676</v>
      </c>
      <c r="B1105" s="119" t="s">
        <v>6412</v>
      </c>
      <c r="C1105" s="119" t="s">
        <v>6843</v>
      </c>
      <c r="D1105" s="119" t="s">
        <v>4479</v>
      </c>
      <c r="E1105" s="119" t="s">
        <v>6844</v>
      </c>
    </row>
    <row r="1106" spans="1:5" x14ac:dyDescent="0.25">
      <c r="A1106" s="119">
        <v>2676</v>
      </c>
      <c r="B1106" s="119" t="s">
        <v>6429</v>
      </c>
      <c r="C1106" s="119" t="s">
        <v>6395</v>
      </c>
      <c r="D1106" s="119" t="s">
        <v>4478</v>
      </c>
      <c r="E1106" s="119" t="s">
        <v>6845</v>
      </c>
    </row>
    <row r="1107" spans="1:5" ht="25.5" x14ac:dyDescent="0.25">
      <c r="A1107" s="119">
        <v>2778</v>
      </c>
      <c r="B1107" s="119" t="s">
        <v>6412</v>
      </c>
      <c r="C1107" s="119" t="s">
        <v>6843</v>
      </c>
      <c r="D1107" s="119" t="s">
        <v>4479</v>
      </c>
      <c r="E1107" s="119" t="s">
        <v>6844</v>
      </c>
    </row>
    <row r="1108" spans="1:5" x14ac:dyDescent="0.25">
      <c r="A1108" s="119">
        <v>2778</v>
      </c>
      <c r="B1108" s="119" t="s">
        <v>6429</v>
      </c>
      <c r="C1108" s="119" t="s">
        <v>6395</v>
      </c>
      <c r="D1108" s="119" t="s">
        <v>4478</v>
      </c>
      <c r="E1108" s="119" t="s">
        <v>6845</v>
      </c>
    </row>
    <row r="1109" spans="1:5" ht="25.5" x14ac:dyDescent="0.25">
      <c r="A1109" s="119">
        <v>2779</v>
      </c>
      <c r="B1109" s="119" t="s">
        <v>6412</v>
      </c>
      <c r="C1109" s="119" t="s">
        <v>6846</v>
      </c>
      <c r="D1109" s="119"/>
      <c r="E1109" s="119" t="s">
        <v>6847</v>
      </c>
    </row>
    <row r="1110" spans="1:5" ht="25.5" x14ac:dyDescent="0.25">
      <c r="A1110" s="119">
        <v>2807</v>
      </c>
      <c r="B1110" s="119" t="s">
        <v>6412</v>
      </c>
      <c r="C1110" s="119" t="s">
        <v>6843</v>
      </c>
      <c r="D1110" s="119" t="s">
        <v>4479</v>
      </c>
      <c r="E1110" s="119" t="s">
        <v>6844</v>
      </c>
    </row>
    <row r="1111" spans="1:5" x14ac:dyDescent="0.25">
      <c r="A1111" s="119">
        <v>2807</v>
      </c>
      <c r="B1111" s="119" t="s">
        <v>6429</v>
      </c>
      <c r="C1111" s="119" t="s">
        <v>6395</v>
      </c>
      <c r="D1111" s="119" t="s">
        <v>4478</v>
      </c>
      <c r="E1111" s="119" t="s">
        <v>6845</v>
      </c>
    </row>
    <row r="1112" spans="1:5" ht="25.5" x14ac:dyDescent="0.25">
      <c r="A1112" s="119">
        <v>2808</v>
      </c>
      <c r="B1112" s="119" t="s">
        <v>6412</v>
      </c>
      <c r="C1112" s="119" t="s">
        <v>6846</v>
      </c>
      <c r="D1112" s="119"/>
      <c r="E1112" s="119" t="s">
        <v>6847</v>
      </c>
    </row>
    <row r="1113" spans="1:5" ht="25.5" x14ac:dyDescent="0.25">
      <c r="A1113" s="119">
        <v>2838</v>
      </c>
      <c r="B1113" s="119" t="s">
        <v>6412</v>
      </c>
      <c r="C1113" s="119" t="s">
        <v>6843</v>
      </c>
      <c r="D1113" s="119" t="s">
        <v>4479</v>
      </c>
      <c r="E1113" s="119" t="s">
        <v>6844</v>
      </c>
    </row>
    <row r="1114" spans="1:5" x14ac:dyDescent="0.25">
      <c r="A1114" s="119">
        <v>2838</v>
      </c>
      <c r="B1114" s="119" t="s">
        <v>6429</v>
      </c>
      <c r="C1114" s="119" t="s">
        <v>6395</v>
      </c>
      <c r="D1114" s="119" t="s">
        <v>4478</v>
      </c>
      <c r="E1114" s="119" t="s">
        <v>6845</v>
      </c>
    </row>
    <row r="1115" spans="1:5" ht="25.5" x14ac:dyDescent="0.25">
      <c r="A1115" s="119">
        <v>2869</v>
      </c>
      <c r="B1115" s="119" t="s">
        <v>6412</v>
      </c>
      <c r="C1115" s="119" t="s">
        <v>6843</v>
      </c>
      <c r="D1115" s="119" t="s">
        <v>4479</v>
      </c>
      <c r="E1115" s="119" t="s">
        <v>6844</v>
      </c>
    </row>
    <row r="1116" spans="1:5" x14ac:dyDescent="0.25">
      <c r="A1116" s="119">
        <v>2869</v>
      </c>
      <c r="B1116" s="119" t="s">
        <v>6429</v>
      </c>
      <c r="C1116" s="119" t="s">
        <v>6395</v>
      </c>
      <c r="D1116" s="119" t="s">
        <v>4478</v>
      </c>
      <c r="E1116" s="119" t="s">
        <v>6845</v>
      </c>
    </row>
    <row r="1117" spans="1:5" ht="25.5" x14ac:dyDescent="0.25">
      <c r="A1117" s="119">
        <v>2900</v>
      </c>
      <c r="B1117" s="119" t="s">
        <v>6412</v>
      </c>
      <c r="C1117" s="119" t="s">
        <v>6843</v>
      </c>
      <c r="D1117" s="119" t="s">
        <v>4479</v>
      </c>
      <c r="E1117" s="119" t="s">
        <v>6844</v>
      </c>
    </row>
    <row r="1118" spans="1:5" x14ac:dyDescent="0.25">
      <c r="A1118" s="119">
        <v>2900</v>
      </c>
      <c r="B1118" s="119" t="s">
        <v>6429</v>
      </c>
      <c r="C1118" s="119" t="s">
        <v>6395</v>
      </c>
      <c r="D1118" s="119" t="s">
        <v>4478</v>
      </c>
      <c r="E1118" s="119" t="s">
        <v>6845</v>
      </c>
    </row>
    <row r="1119" spans="1:5" ht="25.5" x14ac:dyDescent="0.25">
      <c r="A1119" s="119">
        <v>2931</v>
      </c>
      <c r="B1119" s="119" t="s">
        <v>6412</v>
      </c>
      <c r="C1119" s="119" t="s">
        <v>6843</v>
      </c>
      <c r="D1119" s="119" t="s">
        <v>4479</v>
      </c>
      <c r="E1119" s="119" t="s">
        <v>6844</v>
      </c>
    </row>
    <row r="1120" spans="1:5" x14ac:dyDescent="0.25">
      <c r="A1120" s="119">
        <v>2931</v>
      </c>
      <c r="B1120" s="119" t="s">
        <v>6429</v>
      </c>
      <c r="C1120" s="119" t="s">
        <v>6395</v>
      </c>
      <c r="D1120" s="119" t="s">
        <v>4478</v>
      </c>
      <c r="E1120" s="119" t="s">
        <v>6845</v>
      </c>
    </row>
    <row r="1121" spans="1:5" ht="25.5" x14ac:dyDescent="0.25">
      <c r="A1121" s="119">
        <v>3257</v>
      </c>
      <c r="B1121" s="119" t="s">
        <v>6412</v>
      </c>
      <c r="C1121" s="119" t="s">
        <v>6843</v>
      </c>
      <c r="D1121" s="119" t="s">
        <v>4479</v>
      </c>
      <c r="E1121" s="119" t="s">
        <v>6844</v>
      </c>
    </row>
    <row r="1122" spans="1:5" x14ac:dyDescent="0.25">
      <c r="A1122" s="119">
        <v>3257</v>
      </c>
      <c r="B1122" s="119" t="s">
        <v>6429</v>
      </c>
      <c r="C1122" s="119" t="s">
        <v>6395</v>
      </c>
      <c r="D1122" s="119" t="s">
        <v>4478</v>
      </c>
      <c r="E1122" s="119" t="s">
        <v>6845</v>
      </c>
    </row>
    <row r="1123" spans="1:5" ht="25.5" x14ac:dyDescent="0.25">
      <c r="A1123" s="119">
        <v>3338</v>
      </c>
      <c r="B1123" s="119" t="s">
        <v>6412</v>
      </c>
      <c r="C1123" s="119" t="s">
        <v>6848</v>
      </c>
      <c r="D1123" s="119" t="s">
        <v>4479</v>
      </c>
      <c r="E1123" s="119" t="s">
        <v>6844</v>
      </c>
    </row>
    <row r="1124" spans="1:5" x14ac:dyDescent="0.25">
      <c r="A1124" s="119">
        <v>3338</v>
      </c>
      <c r="B1124" s="119" t="s">
        <v>6429</v>
      </c>
      <c r="C1124" s="119" t="s">
        <v>6395</v>
      </c>
      <c r="D1124" s="119" t="s">
        <v>4478</v>
      </c>
      <c r="E1124" s="119" t="s">
        <v>6845</v>
      </c>
    </row>
    <row r="1125" spans="1:5" ht="25.5" x14ac:dyDescent="0.25">
      <c r="A1125" s="119">
        <v>3356</v>
      </c>
      <c r="B1125" s="119" t="s">
        <v>6412</v>
      </c>
      <c r="C1125" s="119" t="s">
        <v>6843</v>
      </c>
      <c r="D1125" s="119" t="s">
        <v>4479</v>
      </c>
      <c r="E1125" s="119" t="s">
        <v>6844</v>
      </c>
    </row>
    <row r="1126" spans="1:5" x14ac:dyDescent="0.25">
      <c r="A1126" s="119">
        <v>3356</v>
      </c>
      <c r="B1126" s="119" t="s">
        <v>6429</v>
      </c>
      <c r="C1126" s="119" t="s">
        <v>6395</v>
      </c>
      <c r="D1126" s="119" t="s">
        <v>4478</v>
      </c>
      <c r="E1126" s="119" t="s">
        <v>6845</v>
      </c>
    </row>
    <row r="1127" spans="1:5" ht="25.5" x14ac:dyDescent="0.25">
      <c r="A1127" s="119">
        <v>3372</v>
      </c>
      <c r="B1127" s="119" t="s">
        <v>6412</v>
      </c>
      <c r="C1127" s="119" t="s">
        <v>6843</v>
      </c>
      <c r="D1127" s="119" t="s">
        <v>4479</v>
      </c>
      <c r="E1127" s="119" t="s">
        <v>6844</v>
      </c>
    </row>
    <row r="1128" spans="1:5" x14ac:dyDescent="0.25">
      <c r="A1128" s="119">
        <v>3372</v>
      </c>
      <c r="B1128" s="119" t="s">
        <v>6429</v>
      </c>
      <c r="C1128" s="119" t="s">
        <v>6395</v>
      </c>
      <c r="D1128" s="119" t="s">
        <v>4478</v>
      </c>
      <c r="E1128" s="119" t="s">
        <v>6845</v>
      </c>
    </row>
    <row r="1129" spans="1:5" ht="25.5" x14ac:dyDescent="0.25">
      <c r="A1129" s="119">
        <v>3390</v>
      </c>
      <c r="B1129" s="119" t="s">
        <v>6412</v>
      </c>
      <c r="C1129" s="119" t="s">
        <v>6843</v>
      </c>
      <c r="D1129" s="119" t="s">
        <v>4479</v>
      </c>
      <c r="E1129" s="119" t="s">
        <v>6844</v>
      </c>
    </row>
    <row r="1130" spans="1:5" x14ac:dyDescent="0.25">
      <c r="A1130" s="119">
        <v>3390</v>
      </c>
      <c r="B1130" s="119" t="s">
        <v>6429</v>
      </c>
      <c r="C1130" s="119" t="s">
        <v>6395</v>
      </c>
      <c r="D1130" s="119" t="s">
        <v>4478</v>
      </c>
      <c r="E1130" s="119" t="s">
        <v>6845</v>
      </c>
    </row>
    <row r="1131" spans="1:5" x14ac:dyDescent="0.25">
      <c r="A1131" s="119">
        <v>5</v>
      </c>
      <c r="B1131" s="119" t="s">
        <v>6849</v>
      </c>
      <c r="C1131" s="119" t="s">
        <v>6105</v>
      </c>
      <c r="D1131" s="119" t="s">
        <v>15</v>
      </c>
      <c r="E1131" s="119" t="s">
        <v>6850</v>
      </c>
    </row>
    <row r="1132" spans="1:5" x14ac:dyDescent="0.25">
      <c r="A1132" s="119">
        <v>9</v>
      </c>
      <c r="B1132" s="119" t="s">
        <v>6849</v>
      </c>
      <c r="C1132" s="119" t="s">
        <v>6111</v>
      </c>
      <c r="D1132" s="119" t="s">
        <v>15</v>
      </c>
      <c r="E1132" s="119" t="s">
        <v>6850</v>
      </c>
    </row>
    <row r="1133" spans="1:5" x14ac:dyDescent="0.25">
      <c r="A1133" s="119">
        <v>11</v>
      </c>
      <c r="B1133" s="119" t="s">
        <v>6849</v>
      </c>
      <c r="C1133" s="119" t="s">
        <v>6111</v>
      </c>
      <c r="D1133" s="119" t="s">
        <v>15</v>
      </c>
      <c r="E1133" s="119" t="s">
        <v>6850</v>
      </c>
    </row>
    <row r="1134" spans="1:5" x14ac:dyDescent="0.25">
      <c r="A1134" s="119">
        <v>21</v>
      </c>
      <c r="B1134" s="119" t="s">
        <v>6849</v>
      </c>
      <c r="C1134" s="119" t="s">
        <v>6126</v>
      </c>
      <c r="D1134" s="119" t="s">
        <v>47</v>
      </c>
      <c r="E1134" s="119" t="s">
        <v>6850</v>
      </c>
    </row>
    <row r="1135" spans="1:5" x14ac:dyDescent="0.25">
      <c r="A1135" s="119">
        <v>22</v>
      </c>
      <c r="B1135" s="119" t="s">
        <v>6849</v>
      </c>
      <c r="C1135" s="119" t="s">
        <v>6126</v>
      </c>
      <c r="D1135" s="119" t="s">
        <v>47</v>
      </c>
      <c r="E1135" s="119" t="s">
        <v>6850</v>
      </c>
    </row>
    <row r="1136" spans="1:5" x14ac:dyDescent="0.25">
      <c r="A1136" s="119">
        <v>23</v>
      </c>
      <c r="B1136" s="119" t="s">
        <v>6849</v>
      </c>
      <c r="C1136" s="119" t="s">
        <v>6126</v>
      </c>
      <c r="D1136" s="119" t="s">
        <v>47</v>
      </c>
      <c r="E1136" s="119" t="s">
        <v>6850</v>
      </c>
    </row>
    <row r="1137" spans="1:5" x14ac:dyDescent="0.25">
      <c r="A1137" s="119">
        <v>24</v>
      </c>
      <c r="B1137" s="119" t="s">
        <v>6849</v>
      </c>
      <c r="C1137" s="119" t="s">
        <v>6126</v>
      </c>
      <c r="D1137" s="119" t="s">
        <v>47</v>
      </c>
      <c r="E1137" s="119" t="s">
        <v>6850</v>
      </c>
    </row>
    <row r="1138" spans="1:5" x14ac:dyDescent="0.25">
      <c r="A1138" s="119">
        <v>25</v>
      </c>
      <c r="B1138" s="119" t="s">
        <v>6849</v>
      </c>
      <c r="C1138" s="119" t="s">
        <v>6126</v>
      </c>
      <c r="D1138" s="119" t="s">
        <v>47</v>
      </c>
      <c r="E1138" s="119" t="s">
        <v>6850</v>
      </c>
    </row>
    <row r="1139" spans="1:5" x14ac:dyDescent="0.25">
      <c r="A1139" s="119">
        <v>26</v>
      </c>
      <c r="B1139" s="119" t="s">
        <v>6849</v>
      </c>
      <c r="C1139" s="119" t="s">
        <v>6126</v>
      </c>
      <c r="D1139" s="119" t="s">
        <v>47</v>
      </c>
      <c r="E1139" s="119" t="s">
        <v>6850</v>
      </c>
    </row>
    <row r="1140" spans="1:5" x14ac:dyDescent="0.25">
      <c r="A1140" s="119">
        <v>27</v>
      </c>
      <c r="B1140" s="119" t="s">
        <v>6849</v>
      </c>
      <c r="C1140" s="119" t="s">
        <v>6126</v>
      </c>
      <c r="D1140" s="119" t="s">
        <v>47</v>
      </c>
      <c r="E1140" s="119" t="s">
        <v>6850</v>
      </c>
    </row>
    <row r="1141" spans="1:5" x14ac:dyDescent="0.25">
      <c r="A1141" s="119">
        <v>28</v>
      </c>
      <c r="B1141" s="119" t="s">
        <v>6849</v>
      </c>
      <c r="C1141" s="119" t="s">
        <v>6126</v>
      </c>
      <c r="D1141" s="119" t="s">
        <v>47</v>
      </c>
      <c r="E1141" s="119" t="s">
        <v>6850</v>
      </c>
    </row>
    <row r="1142" spans="1:5" x14ac:dyDescent="0.25">
      <c r="A1142" s="119">
        <v>29</v>
      </c>
      <c r="B1142" s="119" t="s">
        <v>6849</v>
      </c>
      <c r="C1142" s="119" t="s">
        <v>6126</v>
      </c>
      <c r="D1142" s="119" t="s">
        <v>47</v>
      </c>
      <c r="E1142" s="119" t="s">
        <v>6850</v>
      </c>
    </row>
    <row r="1143" spans="1:5" x14ac:dyDescent="0.25">
      <c r="A1143" s="119">
        <v>30</v>
      </c>
      <c r="B1143" s="119" t="s">
        <v>6849</v>
      </c>
      <c r="C1143" s="119" t="s">
        <v>6126</v>
      </c>
      <c r="D1143" s="119" t="s">
        <v>47</v>
      </c>
      <c r="E1143" s="119" t="s">
        <v>6850</v>
      </c>
    </row>
    <row r="1144" spans="1:5" x14ac:dyDescent="0.25">
      <c r="A1144" s="119">
        <v>31</v>
      </c>
      <c r="B1144" s="119" t="s">
        <v>6849</v>
      </c>
      <c r="C1144" s="119" t="s">
        <v>6126</v>
      </c>
      <c r="D1144" s="119" t="s">
        <v>47</v>
      </c>
      <c r="E1144" s="119" t="s">
        <v>6850</v>
      </c>
    </row>
    <row r="1145" spans="1:5" x14ac:dyDescent="0.25">
      <c r="A1145" s="119">
        <v>32</v>
      </c>
      <c r="B1145" s="119" t="s">
        <v>6849</v>
      </c>
      <c r="C1145" s="119" t="s">
        <v>6126</v>
      </c>
      <c r="D1145" s="119" t="s">
        <v>47</v>
      </c>
      <c r="E1145" s="119" t="s">
        <v>6850</v>
      </c>
    </row>
    <row r="1146" spans="1:5" x14ac:dyDescent="0.25">
      <c r="A1146" s="119">
        <v>33</v>
      </c>
      <c r="B1146" s="119" t="s">
        <v>6849</v>
      </c>
      <c r="C1146" s="119" t="s">
        <v>6126</v>
      </c>
      <c r="D1146" s="119" t="s">
        <v>47</v>
      </c>
      <c r="E1146" s="119" t="s">
        <v>6850</v>
      </c>
    </row>
    <row r="1147" spans="1:5" x14ac:dyDescent="0.25">
      <c r="A1147" s="119">
        <v>34</v>
      </c>
      <c r="B1147" s="119" t="s">
        <v>6849</v>
      </c>
      <c r="C1147" s="119" t="s">
        <v>6126</v>
      </c>
      <c r="D1147" s="119" t="s">
        <v>47</v>
      </c>
      <c r="E1147" s="119" t="s">
        <v>6850</v>
      </c>
    </row>
    <row r="1148" spans="1:5" x14ac:dyDescent="0.25">
      <c r="A1148" s="119">
        <v>35</v>
      </c>
      <c r="B1148" s="119" t="s">
        <v>6849</v>
      </c>
      <c r="C1148" s="119" t="s">
        <v>6126</v>
      </c>
      <c r="D1148" s="119" t="s">
        <v>47</v>
      </c>
      <c r="E1148" s="119" t="s">
        <v>6850</v>
      </c>
    </row>
    <row r="1149" spans="1:5" x14ac:dyDescent="0.25">
      <c r="A1149" s="119">
        <v>36</v>
      </c>
      <c r="B1149" s="119" t="s">
        <v>6849</v>
      </c>
      <c r="C1149" s="119" t="s">
        <v>6126</v>
      </c>
      <c r="D1149" s="119" t="s">
        <v>47</v>
      </c>
      <c r="E1149" s="119" t="s">
        <v>6850</v>
      </c>
    </row>
    <row r="1150" spans="1:5" x14ac:dyDescent="0.25">
      <c r="A1150" s="119">
        <v>37</v>
      </c>
      <c r="B1150" s="119" t="s">
        <v>6849</v>
      </c>
      <c r="C1150" s="119" t="s">
        <v>6126</v>
      </c>
      <c r="D1150" s="119" t="s">
        <v>47</v>
      </c>
      <c r="E1150" s="119" t="s">
        <v>6850</v>
      </c>
    </row>
    <row r="1151" spans="1:5" x14ac:dyDescent="0.25">
      <c r="A1151" s="119">
        <v>38</v>
      </c>
      <c r="B1151" s="119" t="s">
        <v>6849</v>
      </c>
      <c r="C1151" s="119" t="s">
        <v>6126</v>
      </c>
      <c r="D1151" s="119" t="s">
        <v>47</v>
      </c>
      <c r="E1151" s="119" t="s">
        <v>6850</v>
      </c>
    </row>
    <row r="1152" spans="1:5" x14ac:dyDescent="0.25">
      <c r="A1152" s="119">
        <v>39</v>
      </c>
      <c r="B1152" s="119" t="s">
        <v>6849</v>
      </c>
      <c r="C1152" s="119" t="s">
        <v>6126</v>
      </c>
      <c r="D1152" s="119" t="s">
        <v>47</v>
      </c>
      <c r="E1152" s="119" t="s">
        <v>6850</v>
      </c>
    </row>
    <row r="1153" spans="1:5" x14ac:dyDescent="0.25">
      <c r="A1153" s="119">
        <v>40</v>
      </c>
      <c r="B1153" s="119" t="s">
        <v>6849</v>
      </c>
      <c r="C1153" s="119" t="s">
        <v>6126</v>
      </c>
      <c r="D1153" s="119" t="s">
        <v>47</v>
      </c>
      <c r="E1153" s="119" t="s">
        <v>6850</v>
      </c>
    </row>
    <row r="1154" spans="1:5" x14ac:dyDescent="0.25">
      <c r="A1154" s="119">
        <v>41</v>
      </c>
      <c r="B1154" s="119" t="s">
        <v>6849</v>
      </c>
      <c r="C1154" s="119" t="s">
        <v>6126</v>
      </c>
      <c r="D1154" s="119" t="s">
        <v>47</v>
      </c>
      <c r="E1154" s="119" t="s">
        <v>6850</v>
      </c>
    </row>
    <row r="1155" spans="1:5" x14ac:dyDescent="0.25">
      <c r="A1155" s="119">
        <v>42</v>
      </c>
      <c r="B1155" s="119" t="s">
        <v>6849</v>
      </c>
      <c r="C1155" s="119" t="s">
        <v>6126</v>
      </c>
      <c r="D1155" s="119" t="s">
        <v>47</v>
      </c>
      <c r="E1155" s="119" t="s">
        <v>6850</v>
      </c>
    </row>
    <row r="1156" spans="1:5" x14ac:dyDescent="0.25">
      <c r="A1156" s="119">
        <v>43</v>
      </c>
      <c r="B1156" s="119" t="s">
        <v>6849</v>
      </c>
      <c r="C1156" s="119" t="s">
        <v>6126</v>
      </c>
      <c r="D1156" s="119" t="s">
        <v>47</v>
      </c>
      <c r="E1156" s="119" t="s">
        <v>6850</v>
      </c>
    </row>
    <row r="1157" spans="1:5" x14ac:dyDescent="0.25">
      <c r="A1157" s="119">
        <v>44</v>
      </c>
      <c r="B1157" s="119" t="s">
        <v>6849</v>
      </c>
      <c r="C1157" s="119" t="s">
        <v>6126</v>
      </c>
      <c r="D1157" s="119" t="s">
        <v>47</v>
      </c>
      <c r="E1157" s="119" t="s">
        <v>6850</v>
      </c>
    </row>
    <row r="1158" spans="1:5" x14ac:dyDescent="0.25">
      <c r="A1158" s="119">
        <v>45</v>
      </c>
      <c r="B1158" s="119" t="s">
        <v>6849</v>
      </c>
      <c r="C1158" s="119" t="s">
        <v>6126</v>
      </c>
      <c r="D1158" s="119" t="s">
        <v>47</v>
      </c>
      <c r="E1158" s="119" t="s">
        <v>6850</v>
      </c>
    </row>
    <row r="1159" spans="1:5" x14ac:dyDescent="0.25">
      <c r="A1159" s="119">
        <v>46</v>
      </c>
      <c r="B1159" s="119" t="s">
        <v>6849</v>
      </c>
      <c r="C1159" s="119" t="s">
        <v>6126</v>
      </c>
      <c r="D1159" s="119" t="s">
        <v>47</v>
      </c>
      <c r="E1159" s="119" t="s">
        <v>6850</v>
      </c>
    </row>
    <row r="1160" spans="1:5" x14ac:dyDescent="0.25">
      <c r="A1160" s="119">
        <v>47</v>
      </c>
      <c r="B1160" s="119" t="s">
        <v>6849</v>
      </c>
      <c r="C1160" s="119" t="s">
        <v>6126</v>
      </c>
      <c r="D1160" s="119" t="s">
        <v>47</v>
      </c>
      <c r="E1160" s="119" t="s">
        <v>6850</v>
      </c>
    </row>
    <row r="1161" spans="1:5" x14ac:dyDescent="0.25">
      <c r="A1161" s="119">
        <v>48</v>
      </c>
      <c r="B1161" s="119" t="s">
        <v>6849</v>
      </c>
      <c r="C1161" s="119" t="s">
        <v>6126</v>
      </c>
      <c r="D1161" s="119" t="s">
        <v>47</v>
      </c>
      <c r="E1161" s="119" t="s">
        <v>6850</v>
      </c>
    </row>
    <row r="1162" spans="1:5" x14ac:dyDescent="0.25">
      <c r="A1162" s="119">
        <v>87</v>
      </c>
      <c r="B1162" s="119" t="s">
        <v>6849</v>
      </c>
      <c r="C1162" s="119" t="s">
        <v>6126</v>
      </c>
      <c r="D1162" s="119" t="s">
        <v>47</v>
      </c>
      <c r="E1162" s="119" t="s">
        <v>6850</v>
      </c>
    </row>
    <row r="1163" spans="1:5" x14ac:dyDescent="0.25">
      <c r="A1163" s="119">
        <v>95</v>
      </c>
      <c r="B1163" s="119" t="s">
        <v>6849</v>
      </c>
      <c r="C1163" s="119" t="s">
        <v>6126</v>
      </c>
      <c r="D1163" s="119" t="s">
        <v>47</v>
      </c>
      <c r="E1163" s="119" t="s">
        <v>6850</v>
      </c>
    </row>
    <row r="1164" spans="1:5" x14ac:dyDescent="0.25">
      <c r="A1164" s="119">
        <v>110</v>
      </c>
      <c r="B1164" s="119" t="s">
        <v>6849</v>
      </c>
      <c r="C1164" s="119" t="s">
        <v>6126</v>
      </c>
      <c r="D1164" s="119" t="s">
        <v>47</v>
      </c>
      <c r="E1164" s="119" t="s">
        <v>6850</v>
      </c>
    </row>
    <row r="1165" spans="1:5" x14ac:dyDescent="0.25">
      <c r="A1165" s="119">
        <v>111</v>
      </c>
      <c r="B1165" s="119" t="s">
        <v>6849</v>
      </c>
      <c r="C1165" s="119" t="s">
        <v>6126</v>
      </c>
      <c r="D1165" s="119" t="s">
        <v>47</v>
      </c>
      <c r="E1165" s="119" t="s">
        <v>6850</v>
      </c>
    </row>
    <row r="1166" spans="1:5" x14ac:dyDescent="0.25">
      <c r="A1166" s="119">
        <v>112</v>
      </c>
      <c r="B1166" s="119" t="s">
        <v>6849</v>
      </c>
      <c r="C1166" s="119" t="s">
        <v>6126</v>
      </c>
      <c r="D1166" s="119" t="s">
        <v>47</v>
      </c>
      <c r="E1166" s="119" t="s">
        <v>6850</v>
      </c>
    </row>
    <row r="1167" spans="1:5" x14ac:dyDescent="0.25">
      <c r="A1167" s="119">
        <v>113</v>
      </c>
      <c r="B1167" s="119" t="s">
        <v>6849</v>
      </c>
      <c r="C1167" s="119" t="s">
        <v>6126</v>
      </c>
      <c r="D1167" s="119" t="s">
        <v>47</v>
      </c>
      <c r="E1167" s="119" t="s">
        <v>6850</v>
      </c>
    </row>
    <row r="1168" spans="1:5" x14ac:dyDescent="0.25">
      <c r="A1168" s="119">
        <v>114</v>
      </c>
      <c r="B1168" s="119" t="s">
        <v>6849</v>
      </c>
      <c r="C1168" s="119" t="s">
        <v>6126</v>
      </c>
      <c r="D1168" s="119" t="s">
        <v>47</v>
      </c>
      <c r="E1168" s="119" t="s">
        <v>6850</v>
      </c>
    </row>
    <row r="1169" spans="1:5" x14ac:dyDescent="0.25">
      <c r="A1169" s="119">
        <v>115</v>
      </c>
      <c r="B1169" s="119" t="s">
        <v>6849</v>
      </c>
      <c r="C1169" s="119" t="s">
        <v>6126</v>
      </c>
      <c r="D1169" s="119" t="s">
        <v>47</v>
      </c>
      <c r="E1169" s="119" t="s">
        <v>6850</v>
      </c>
    </row>
    <row r="1170" spans="1:5" x14ac:dyDescent="0.25">
      <c r="A1170" s="119">
        <v>116</v>
      </c>
      <c r="B1170" s="119" t="s">
        <v>6849</v>
      </c>
      <c r="C1170" s="119" t="s">
        <v>6126</v>
      </c>
      <c r="D1170" s="119" t="s">
        <v>47</v>
      </c>
      <c r="E1170" s="119" t="s">
        <v>6850</v>
      </c>
    </row>
    <row r="1171" spans="1:5" x14ac:dyDescent="0.25">
      <c r="A1171" s="119">
        <v>117</v>
      </c>
      <c r="B1171" s="119" t="s">
        <v>6849</v>
      </c>
      <c r="C1171" s="119" t="s">
        <v>6126</v>
      </c>
      <c r="D1171" s="119" t="s">
        <v>47</v>
      </c>
      <c r="E1171" s="119" t="s">
        <v>6850</v>
      </c>
    </row>
    <row r="1172" spans="1:5" x14ac:dyDescent="0.25">
      <c r="A1172" s="119">
        <v>118</v>
      </c>
      <c r="B1172" s="119" t="s">
        <v>6849</v>
      </c>
      <c r="C1172" s="119" t="s">
        <v>6126</v>
      </c>
      <c r="D1172" s="119" t="s">
        <v>47</v>
      </c>
      <c r="E1172" s="119" t="s">
        <v>6850</v>
      </c>
    </row>
    <row r="1173" spans="1:5" x14ac:dyDescent="0.25">
      <c r="A1173" s="119">
        <v>119</v>
      </c>
      <c r="B1173" s="119" t="s">
        <v>6849</v>
      </c>
      <c r="C1173" s="119" t="s">
        <v>6126</v>
      </c>
      <c r="D1173" s="119" t="s">
        <v>47</v>
      </c>
      <c r="E1173" s="119" t="s">
        <v>6850</v>
      </c>
    </row>
    <row r="1174" spans="1:5" x14ac:dyDescent="0.25">
      <c r="A1174" s="119">
        <v>120</v>
      </c>
      <c r="B1174" s="119" t="s">
        <v>6849</v>
      </c>
      <c r="C1174" s="119" t="s">
        <v>6126</v>
      </c>
      <c r="D1174" s="119" t="s">
        <v>47</v>
      </c>
      <c r="E1174" s="119" t="s">
        <v>6850</v>
      </c>
    </row>
    <row r="1175" spans="1:5" x14ac:dyDescent="0.25">
      <c r="A1175" s="119">
        <v>121</v>
      </c>
      <c r="B1175" s="119" t="s">
        <v>6849</v>
      </c>
      <c r="C1175" s="119" t="s">
        <v>6126</v>
      </c>
      <c r="D1175" s="119" t="s">
        <v>47</v>
      </c>
      <c r="E1175" s="119" t="s">
        <v>6850</v>
      </c>
    </row>
    <row r="1176" spans="1:5" x14ac:dyDescent="0.25">
      <c r="A1176" s="119">
        <v>122</v>
      </c>
      <c r="B1176" s="119" t="s">
        <v>6849</v>
      </c>
      <c r="C1176" s="119" t="s">
        <v>6126</v>
      </c>
      <c r="D1176" s="119" t="s">
        <v>47</v>
      </c>
      <c r="E1176" s="119" t="s">
        <v>6850</v>
      </c>
    </row>
    <row r="1177" spans="1:5" x14ac:dyDescent="0.25">
      <c r="A1177" s="119">
        <v>123</v>
      </c>
      <c r="B1177" s="119" t="s">
        <v>6849</v>
      </c>
      <c r="C1177" s="119" t="s">
        <v>6126</v>
      </c>
      <c r="D1177" s="119" t="s">
        <v>47</v>
      </c>
      <c r="E1177" s="119" t="s">
        <v>6850</v>
      </c>
    </row>
    <row r="1178" spans="1:5" x14ac:dyDescent="0.25">
      <c r="A1178" s="119">
        <v>124</v>
      </c>
      <c r="B1178" s="119" t="s">
        <v>6849</v>
      </c>
      <c r="C1178" s="119" t="s">
        <v>6126</v>
      </c>
      <c r="D1178" s="119" t="s">
        <v>47</v>
      </c>
      <c r="E1178" s="119" t="s">
        <v>6850</v>
      </c>
    </row>
    <row r="1179" spans="1:5" x14ac:dyDescent="0.25">
      <c r="A1179" s="119">
        <v>384</v>
      </c>
      <c r="B1179" s="119" t="s">
        <v>6849</v>
      </c>
      <c r="C1179" s="119" t="s">
        <v>6126</v>
      </c>
      <c r="D1179" s="119" t="s">
        <v>47</v>
      </c>
      <c r="E1179" s="119" t="s">
        <v>6850</v>
      </c>
    </row>
    <row r="1180" spans="1:5" x14ac:dyDescent="0.25">
      <c r="A1180" s="119">
        <v>385</v>
      </c>
      <c r="B1180" s="119" t="s">
        <v>6849</v>
      </c>
      <c r="C1180" s="119" t="s">
        <v>6126</v>
      </c>
      <c r="D1180" s="119" t="s">
        <v>47</v>
      </c>
      <c r="E1180" s="119" t="s">
        <v>6850</v>
      </c>
    </row>
    <row r="1181" spans="1:5" x14ac:dyDescent="0.25">
      <c r="A1181" s="119">
        <v>387</v>
      </c>
      <c r="B1181" s="119" t="s">
        <v>6849</v>
      </c>
      <c r="C1181" s="119" t="s">
        <v>6126</v>
      </c>
      <c r="D1181" s="119" t="s">
        <v>47</v>
      </c>
      <c r="E1181" s="119" t="s">
        <v>6850</v>
      </c>
    </row>
    <row r="1182" spans="1:5" x14ac:dyDescent="0.25">
      <c r="A1182" s="119">
        <v>388</v>
      </c>
      <c r="B1182" s="119" t="s">
        <v>6849</v>
      </c>
      <c r="C1182" s="119" t="s">
        <v>6126</v>
      </c>
      <c r="D1182" s="119" t="s">
        <v>47</v>
      </c>
      <c r="E1182" s="119" t="s">
        <v>6850</v>
      </c>
    </row>
    <row r="1183" spans="1:5" x14ac:dyDescent="0.25">
      <c r="A1183" s="119">
        <v>508</v>
      </c>
      <c r="B1183" s="119" t="s">
        <v>6849</v>
      </c>
      <c r="C1183" s="119" t="s">
        <v>6126</v>
      </c>
      <c r="D1183" s="119" t="s">
        <v>47</v>
      </c>
      <c r="E1183" s="119" t="s">
        <v>6850</v>
      </c>
    </row>
    <row r="1184" spans="1:5" x14ac:dyDescent="0.25">
      <c r="A1184" s="119">
        <v>509</v>
      </c>
      <c r="B1184" s="119" t="s">
        <v>6849</v>
      </c>
      <c r="C1184" s="119" t="s">
        <v>6126</v>
      </c>
      <c r="D1184" s="119" t="s">
        <v>47</v>
      </c>
      <c r="E1184" s="119" t="s">
        <v>6850</v>
      </c>
    </row>
    <row r="1185" spans="1:5" x14ac:dyDescent="0.25">
      <c r="A1185" s="119">
        <v>532</v>
      </c>
      <c r="B1185" s="119" t="s">
        <v>6849</v>
      </c>
      <c r="C1185" s="119" t="s">
        <v>6851</v>
      </c>
      <c r="D1185" s="119" t="s">
        <v>572</v>
      </c>
      <c r="E1185" s="119" t="s">
        <v>6850</v>
      </c>
    </row>
    <row r="1186" spans="1:5" x14ac:dyDescent="0.25">
      <c r="A1186" s="119">
        <v>533</v>
      </c>
      <c r="B1186" s="119" t="s">
        <v>6849</v>
      </c>
      <c r="C1186" s="119" t="s">
        <v>6851</v>
      </c>
      <c r="D1186" s="119" t="s">
        <v>572</v>
      </c>
      <c r="E1186" s="119" t="s">
        <v>6850</v>
      </c>
    </row>
    <row r="1187" spans="1:5" x14ac:dyDescent="0.25">
      <c r="A1187" s="119">
        <v>534</v>
      </c>
      <c r="B1187" s="119" t="s">
        <v>6849</v>
      </c>
      <c r="C1187" s="119" t="s">
        <v>6851</v>
      </c>
      <c r="D1187" s="119" t="s">
        <v>572</v>
      </c>
      <c r="E1187" s="119" t="s">
        <v>6850</v>
      </c>
    </row>
    <row r="1188" spans="1:5" x14ac:dyDescent="0.25">
      <c r="A1188" s="119">
        <v>535</v>
      </c>
      <c r="B1188" s="119" t="s">
        <v>6849</v>
      </c>
      <c r="C1188" s="119" t="s">
        <v>6851</v>
      </c>
      <c r="D1188" s="119" t="s">
        <v>572</v>
      </c>
      <c r="E1188" s="119" t="s">
        <v>6850</v>
      </c>
    </row>
    <row r="1189" spans="1:5" x14ac:dyDescent="0.25">
      <c r="A1189" s="119">
        <v>536</v>
      </c>
      <c r="B1189" s="119" t="s">
        <v>6849</v>
      </c>
      <c r="C1189" s="119" t="s">
        <v>6851</v>
      </c>
      <c r="D1189" s="119" t="s">
        <v>572</v>
      </c>
      <c r="E1189" s="119" t="s">
        <v>6850</v>
      </c>
    </row>
    <row r="1190" spans="1:5" x14ac:dyDescent="0.25">
      <c r="A1190" s="119">
        <v>537</v>
      </c>
      <c r="B1190" s="119" t="s">
        <v>6849</v>
      </c>
      <c r="C1190" s="119" t="s">
        <v>6851</v>
      </c>
      <c r="D1190" s="119" t="s">
        <v>572</v>
      </c>
      <c r="E1190" s="119" t="s">
        <v>6850</v>
      </c>
    </row>
    <row r="1191" spans="1:5" x14ac:dyDescent="0.25">
      <c r="A1191" s="119">
        <v>538</v>
      </c>
      <c r="B1191" s="119" t="s">
        <v>6849</v>
      </c>
      <c r="C1191" s="119" t="s">
        <v>6851</v>
      </c>
      <c r="D1191" s="119" t="s">
        <v>572</v>
      </c>
      <c r="E1191" s="119" t="s">
        <v>6850</v>
      </c>
    </row>
    <row r="1192" spans="1:5" x14ac:dyDescent="0.25">
      <c r="A1192" s="119">
        <v>561</v>
      </c>
      <c r="B1192" s="119" t="s">
        <v>6849</v>
      </c>
      <c r="C1192" s="119" t="s">
        <v>6126</v>
      </c>
      <c r="D1192" s="119" t="s">
        <v>47</v>
      </c>
      <c r="E1192" s="119" t="s">
        <v>6850</v>
      </c>
    </row>
    <row r="1193" spans="1:5" x14ac:dyDescent="0.25">
      <c r="A1193" s="119">
        <v>562</v>
      </c>
      <c r="B1193" s="119" t="s">
        <v>6849</v>
      </c>
      <c r="C1193" s="119" t="s">
        <v>6126</v>
      </c>
      <c r="D1193" s="119" t="s">
        <v>47</v>
      </c>
      <c r="E1193" s="119" t="s">
        <v>6850</v>
      </c>
    </row>
    <row r="1194" spans="1:5" x14ac:dyDescent="0.25">
      <c r="A1194" s="119">
        <v>563</v>
      </c>
      <c r="B1194" s="119" t="s">
        <v>6849</v>
      </c>
      <c r="C1194" s="119" t="s">
        <v>6126</v>
      </c>
      <c r="D1194" s="119" t="s">
        <v>47</v>
      </c>
      <c r="E1194" s="119" t="s">
        <v>6850</v>
      </c>
    </row>
    <row r="1195" spans="1:5" x14ac:dyDescent="0.25">
      <c r="A1195" s="119">
        <v>564</v>
      </c>
      <c r="B1195" s="119" t="s">
        <v>6849</v>
      </c>
      <c r="C1195" s="119" t="s">
        <v>6126</v>
      </c>
      <c r="D1195" s="119" t="s">
        <v>47</v>
      </c>
      <c r="E1195" s="119" t="s">
        <v>6850</v>
      </c>
    </row>
    <row r="1196" spans="1:5" x14ac:dyDescent="0.25">
      <c r="A1196" s="119">
        <v>565</v>
      </c>
      <c r="B1196" s="119" t="s">
        <v>6849</v>
      </c>
      <c r="C1196" s="119" t="s">
        <v>6126</v>
      </c>
      <c r="D1196" s="119" t="s">
        <v>47</v>
      </c>
      <c r="E1196" s="119" t="s">
        <v>6850</v>
      </c>
    </row>
    <row r="1197" spans="1:5" x14ac:dyDescent="0.25">
      <c r="A1197" s="119">
        <v>566</v>
      </c>
      <c r="B1197" s="119" t="s">
        <v>6849</v>
      </c>
      <c r="C1197" s="119" t="s">
        <v>6126</v>
      </c>
      <c r="D1197" s="119" t="s">
        <v>47</v>
      </c>
      <c r="E1197" s="119" t="s">
        <v>6850</v>
      </c>
    </row>
    <row r="1198" spans="1:5" x14ac:dyDescent="0.25">
      <c r="A1198" s="119">
        <v>567</v>
      </c>
      <c r="B1198" s="119" t="s">
        <v>6849</v>
      </c>
      <c r="C1198" s="119" t="s">
        <v>6126</v>
      </c>
      <c r="D1198" s="119" t="s">
        <v>47</v>
      </c>
      <c r="E1198" s="119" t="s">
        <v>6850</v>
      </c>
    </row>
    <row r="1199" spans="1:5" x14ac:dyDescent="0.25">
      <c r="A1199" s="119">
        <v>568</v>
      </c>
      <c r="B1199" s="119" t="s">
        <v>6849</v>
      </c>
      <c r="C1199" s="119" t="s">
        <v>6126</v>
      </c>
      <c r="D1199" s="119" t="s">
        <v>47</v>
      </c>
      <c r="E1199" s="119" t="s">
        <v>6850</v>
      </c>
    </row>
    <row r="1200" spans="1:5" x14ac:dyDescent="0.25">
      <c r="A1200" s="119">
        <v>569</v>
      </c>
      <c r="B1200" s="119" t="s">
        <v>6849</v>
      </c>
      <c r="C1200" s="119" t="s">
        <v>6126</v>
      </c>
      <c r="D1200" s="119" t="s">
        <v>47</v>
      </c>
      <c r="E1200" s="119" t="s">
        <v>6850</v>
      </c>
    </row>
    <row r="1201" spans="1:5" x14ac:dyDescent="0.25">
      <c r="A1201" s="119">
        <v>570</v>
      </c>
      <c r="B1201" s="119" t="s">
        <v>6849</v>
      </c>
      <c r="C1201" s="119" t="s">
        <v>6126</v>
      </c>
      <c r="D1201" s="119" t="s">
        <v>47</v>
      </c>
      <c r="E1201" s="119" t="s">
        <v>6850</v>
      </c>
    </row>
    <row r="1202" spans="1:5" x14ac:dyDescent="0.25">
      <c r="A1202" s="119">
        <v>571</v>
      </c>
      <c r="B1202" s="119" t="s">
        <v>6849</v>
      </c>
      <c r="C1202" s="119" t="s">
        <v>6126</v>
      </c>
      <c r="D1202" s="119" t="s">
        <v>47</v>
      </c>
      <c r="E1202" s="119" t="s">
        <v>6850</v>
      </c>
    </row>
    <row r="1203" spans="1:5" x14ac:dyDescent="0.25">
      <c r="A1203" s="119">
        <v>572</v>
      </c>
      <c r="B1203" s="119" t="s">
        <v>6849</v>
      </c>
      <c r="C1203" s="119" t="s">
        <v>6126</v>
      </c>
      <c r="D1203" s="119" t="s">
        <v>47</v>
      </c>
      <c r="E1203" s="119" t="s">
        <v>6850</v>
      </c>
    </row>
    <row r="1204" spans="1:5" x14ac:dyDescent="0.25">
      <c r="A1204" s="119">
        <v>573</v>
      </c>
      <c r="B1204" s="119" t="s">
        <v>6849</v>
      </c>
      <c r="C1204" s="119" t="s">
        <v>6126</v>
      </c>
      <c r="D1204" s="119" t="s">
        <v>47</v>
      </c>
      <c r="E1204" s="119" t="s">
        <v>6850</v>
      </c>
    </row>
    <row r="1205" spans="1:5" x14ac:dyDescent="0.25">
      <c r="A1205" s="119">
        <v>574</v>
      </c>
      <c r="B1205" s="119" t="s">
        <v>6849</v>
      </c>
      <c r="C1205" s="119" t="s">
        <v>6126</v>
      </c>
      <c r="D1205" s="119" t="s">
        <v>47</v>
      </c>
      <c r="E1205" s="119" t="s">
        <v>6850</v>
      </c>
    </row>
    <row r="1206" spans="1:5" x14ac:dyDescent="0.25">
      <c r="A1206" s="119">
        <v>575</v>
      </c>
      <c r="B1206" s="119" t="s">
        <v>6849</v>
      </c>
      <c r="C1206" s="119" t="s">
        <v>6126</v>
      </c>
      <c r="D1206" s="119" t="s">
        <v>47</v>
      </c>
      <c r="E1206" s="119" t="s">
        <v>6850</v>
      </c>
    </row>
    <row r="1207" spans="1:5" x14ac:dyDescent="0.25">
      <c r="A1207" s="119">
        <v>576</v>
      </c>
      <c r="B1207" s="119" t="s">
        <v>6849</v>
      </c>
      <c r="C1207" s="119" t="s">
        <v>6126</v>
      </c>
      <c r="D1207" s="119" t="s">
        <v>47</v>
      </c>
      <c r="E1207" s="119" t="s">
        <v>6850</v>
      </c>
    </row>
    <row r="1208" spans="1:5" x14ac:dyDescent="0.25">
      <c r="A1208" s="119">
        <v>577</v>
      </c>
      <c r="B1208" s="119" t="s">
        <v>6849</v>
      </c>
      <c r="C1208" s="119" t="s">
        <v>6126</v>
      </c>
      <c r="D1208" s="119" t="s">
        <v>47</v>
      </c>
      <c r="E1208" s="119" t="s">
        <v>6850</v>
      </c>
    </row>
    <row r="1209" spans="1:5" x14ac:dyDescent="0.25">
      <c r="A1209" s="119">
        <v>578</v>
      </c>
      <c r="B1209" s="119" t="s">
        <v>6849</v>
      </c>
      <c r="C1209" s="119" t="s">
        <v>6126</v>
      </c>
      <c r="D1209" s="119" t="s">
        <v>47</v>
      </c>
      <c r="E1209" s="119" t="s">
        <v>6850</v>
      </c>
    </row>
    <row r="1210" spans="1:5" x14ac:dyDescent="0.25">
      <c r="A1210" s="119">
        <v>579</v>
      </c>
      <c r="B1210" s="119" t="s">
        <v>6849</v>
      </c>
      <c r="C1210" s="119" t="s">
        <v>6126</v>
      </c>
      <c r="D1210" s="119" t="s">
        <v>47</v>
      </c>
      <c r="E1210" s="119" t="s">
        <v>6850</v>
      </c>
    </row>
    <row r="1211" spans="1:5" x14ac:dyDescent="0.25">
      <c r="A1211" s="119">
        <v>580</v>
      </c>
      <c r="B1211" s="119" t="s">
        <v>6849</v>
      </c>
      <c r="C1211" s="119" t="s">
        <v>6126</v>
      </c>
      <c r="D1211" s="119" t="s">
        <v>47</v>
      </c>
      <c r="E1211" s="119" t="s">
        <v>6850</v>
      </c>
    </row>
    <row r="1212" spans="1:5" x14ac:dyDescent="0.25">
      <c r="A1212" s="119">
        <v>581</v>
      </c>
      <c r="B1212" s="119" t="s">
        <v>6849</v>
      </c>
      <c r="C1212" s="119" t="s">
        <v>6126</v>
      </c>
      <c r="D1212" s="119" t="s">
        <v>47</v>
      </c>
      <c r="E1212" s="119" t="s">
        <v>6850</v>
      </c>
    </row>
    <row r="1213" spans="1:5" x14ac:dyDescent="0.25">
      <c r="A1213" s="119">
        <v>582</v>
      </c>
      <c r="B1213" s="119" t="s">
        <v>6849</v>
      </c>
      <c r="C1213" s="119" t="s">
        <v>6126</v>
      </c>
      <c r="D1213" s="119" t="s">
        <v>47</v>
      </c>
      <c r="E1213" s="119" t="s">
        <v>6850</v>
      </c>
    </row>
    <row r="1214" spans="1:5" x14ac:dyDescent="0.25">
      <c r="A1214" s="119">
        <v>583</v>
      </c>
      <c r="B1214" s="119" t="s">
        <v>6849</v>
      </c>
      <c r="C1214" s="119" t="s">
        <v>6126</v>
      </c>
      <c r="D1214" s="119" t="s">
        <v>47</v>
      </c>
      <c r="E1214" s="119" t="s">
        <v>6850</v>
      </c>
    </row>
    <row r="1215" spans="1:5" x14ac:dyDescent="0.25">
      <c r="A1215" s="119">
        <v>584</v>
      </c>
      <c r="B1215" s="119" t="s">
        <v>6849</v>
      </c>
      <c r="C1215" s="119" t="s">
        <v>6126</v>
      </c>
      <c r="D1215" s="119" t="s">
        <v>47</v>
      </c>
      <c r="E1215" s="119" t="s">
        <v>6850</v>
      </c>
    </row>
    <row r="1216" spans="1:5" x14ac:dyDescent="0.25">
      <c r="A1216" s="119">
        <v>585</v>
      </c>
      <c r="B1216" s="119" t="s">
        <v>6849</v>
      </c>
      <c r="C1216" s="119" t="s">
        <v>6126</v>
      </c>
      <c r="D1216" s="119" t="s">
        <v>47</v>
      </c>
      <c r="E1216" s="119" t="s">
        <v>6850</v>
      </c>
    </row>
    <row r="1217" spans="1:5" x14ac:dyDescent="0.25">
      <c r="A1217" s="119">
        <v>586</v>
      </c>
      <c r="B1217" s="119" t="s">
        <v>6849</v>
      </c>
      <c r="C1217" s="119" t="s">
        <v>6126</v>
      </c>
      <c r="D1217" s="119" t="s">
        <v>47</v>
      </c>
      <c r="E1217" s="119" t="s">
        <v>6850</v>
      </c>
    </row>
    <row r="1218" spans="1:5" x14ac:dyDescent="0.25">
      <c r="A1218" s="119">
        <v>587</v>
      </c>
      <c r="B1218" s="119" t="s">
        <v>6849</v>
      </c>
      <c r="C1218" s="119" t="s">
        <v>6126</v>
      </c>
      <c r="D1218" s="119" t="s">
        <v>47</v>
      </c>
      <c r="E1218" s="119" t="s">
        <v>6850</v>
      </c>
    </row>
    <row r="1219" spans="1:5" x14ac:dyDescent="0.25">
      <c r="A1219" s="119">
        <v>588</v>
      </c>
      <c r="B1219" s="119" t="s">
        <v>6849</v>
      </c>
      <c r="C1219" s="119" t="s">
        <v>6126</v>
      </c>
      <c r="D1219" s="119" t="s">
        <v>47</v>
      </c>
      <c r="E1219" s="119" t="s">
        <v>6850</v>
      </c>
    </row>
    <row r="1220" spans="1:5" x14ac:dyDescent="0.25">
      <c r="A1220" s="119">
        <v>589</v>
      </c>
      <c r="B1220" s="119" t="s">
        <v>6849</v>
      </c>
      <c r="C1220" s="119" t="s">
        <v>6126</v>
      </c>
      <c r="D1220" s="119" t="s">
        <v>47</v>
      </c>
      <c r="E1220" s="119" t="s">
        <v>6850</v>
      </c>
    </row>
    <row r="1221" spans="1:5" x14ac:dyDescent="0.25">
      <c r="A1221" s="119">
        <v>590</v>
      </c>
      <c r="B1221" s="119" t="s">
        <v>6849</v>
      </c>
      <c r="C1221" s="119" t="s">
        <v>6126</v>
      </c>
      <c r="D1221" s="119" t="s">
        <v>47</v>
      </c>
      <c r="E1221" s="119" t="s">
        <v>6850</v>
      </c>
    </row>
    <row r="1222" spans="1:5" x14ac:dyDescent="0.25">
      <c r="A1222" s="119">
        <v>591</v>
      </c>
      <c r="B1222" s="119" t="s">
        <v>6849</v>
      </c>
      <c r="C1222" s="119" t="s">
        <v>6126</v>
      </c>
      <c r="D1222" s="119" t="s">
        <v>47</v>
      </c>
      <c r="E1222" s="119" t="s">
        <v>6850</v>
      </c>
    </row>
    <row r="1223" spans="1:5" x14ac:dyDescent="0.25">
      <c r="A1223" s="119">
        <v>592</v>
      </c>
      <c r="B1223" s="119" t="s">
        <v>6849</v>
      </c>
      <c r="C1223" s="119" t="s">
        <v>6126</v>
      </c>
      <c r="D1223" s="119" t="s">
        <v>47</v>
      </c>
      <c r="E1223" s="119" t="s">
        <v>6850</v>
      </c>
    </row>
    <row r="1224" spans="1:5" x14ac:dyDescent="0.25">
      <c r="A1224" s="119">
        <v>593</v>
      </c>
      <c r="B1224" s="119" t="s">
        <v>6849</v>
      </c>
      <c r="C1224" s="119" t="s">
        <v>6126</v>
      </c>
      <c r="D1224" s="119" t="s">
        <v>47</v>
      </c>
      <c r="E1224" s="119" t="s">
        <v>6850</v>
      </c>
    </row>
    <row r="1225" spans="1:5" x14ac:dyDescent="0.25">
      <c r="A1225" s="119">
        <v>594</v>
      </c>
      <c r="B1225" s="119" t="s">
        <v>6849</v>
      </c>
      <c r="C1225" s="119" t="s">
        <v>6126</v>
      </c>
      <c r="D1225" s="119" t="s">
        <v>47</v>
      </c>
      <c r="E1225" s="119" t="s">
        <v>6850</v>
      </c>
    </row>
    <row r="1226" spans="1:5" x14ac:dyDescent="0.25">
      <c r="A1226" s="119">
        <v>595</v>
      </c>
      <c r="B1226" s="119" t="s">
        <v>6849</v>
      </c>
      <c r="C1226" s="119" t="s">
        <v>6126</v>
      </c>
      <c r="D1226" s="119" t="s">
        <v>47</v>
      </c>
      <c r="E1226" s="119" t="s">
        <v>6850</v>
      </c>
    </row>
    <row r="1227" spans="1:5" x14ac:dyDescent="0.25">
      <c r="A1227" s="119">
        <v>596</v>
      </c>
      <c r="B1227" s="119" t="s">
        <v>6849</v>
      </c>
      <c r="C1227" s="119" t="s">
        <v>6126</v>
      </c>
      <c r="D1227" s="119" t="s">
        <v>47</v>
      </c>
      <c r="E1227" s="119" t="s">
        <v>6850</v>
      </c>
    </row>
    <row r="1228" spans="1:5" x14ac:dyDescent="0.25">
      <c r="A1228" s="119">
        <v>597</v>
      </c>
      <c r="B1228" s="119" t="s">
        <v>6849</v>
      </c>
      <c r="C1228" s="119" t="s">
        <v>6126</v>
      </c>
      <c r="D1228" s="119" t="s">
        <v>47</v>
      </c>
      <c r="E1228" s="119" t="s">
        <v>6850</v>
      </c>
    </row>
    <row r="1229" spans="1:5" x14ac:dyDescent="0.25">
      <c r="A1229" s="119">
        <v>598</v>
      </c>
      <c r="B1229" s="119" t="s">
        <v>6849</v>
      </c>
      <c r="C1229" s="119" t="s">
        <v>6126</v>
      </c>
      <c r="D1229" s="119" t="s">
        <v>47</v>
      </c>
      <c r="E1229" s="119" t="s">
        <v>6850</v>
      </c>
    </row>
    <row r="1230" spans="1:5" x14ac:dyDescent="0.25">
      <c r="A1230" s="119">
        <v>599</v>
      </c>
      <c r="B1230" s="119" t="s">
        <v>6849</v>
      </c>
      <c r="C1230" s="119" t="s">
        <v>6126</v>
      </c>
      <c r="D1230" s="119" t="s">
        <v>47</v>
      </c>
      <c r="E1230" s="119" t="s">
        <v>6850</v>
      </c>
    </row>
    <row r="1231" spans="1:5" x14ac:dyDescent="0.25">
      <c r="A1231" s="119">
        <v>602</v>
      </c>
      <c r="B1231" s="119" t="s">
        <v>6849</v>
      </c>
      <c r="C1231" s="119" t="s">
        <v>6126</v>
      </c>
      <c r="D1231" s="119" t="s">
        <v>47</v>
      </c>
      <c r="E1231" s="119" t="s">
        <v>6850</v>
      </c>
    </row>
    <row r="1232" spans="1:5" x14ac:dyDescent="0.25">
      <c r="A1232" s="119">
        <v>603</v>
      </c>
      <c r="B1232" s="119" t="s">
        <v>6849</v>
      </c>
      <c r="C1232" s="119" t="s">
        <v>6126</v>
      </c>
      <c r="D1232" s="119" t="s">
        <v>47</v>
      </c>
      <c r="E1232" s="119" t="s">
        <v>6850</v>
      </c>
    </row>
    <row r="1233" spans="1:5" x14ac:dyDescent="0.25">
      <c r="A1233" s="119">
        <v>604</v>
      </c>
      <c r="B1233" s="119" t="s">
        <v>6849</v>
      </c>
      <c r="C1233" s="119" t="s">
        <v>6126</v>
      </c>
      <c r="D1233" s="119" t="s">
        <v>47</v>
      </c>
      <c r="E1233" s="119" t="s">
        <v>6850</v>
      </c>
    </row>
    <row r="1234" spans="1:5" x14ac:dyDescent="0.25">
      <c r="A1234" s="119">
        <v>605</v>
      </c>
      <c r="B1234" s="119" t="s">
        <v>6849</v>
      </c>
      <c r="C1234" s="119" t="s">
        <v>6126</v>
      </c>
      <c r="D1234" s="119" t="s">
        <v>47</v>
      </c>
      <c r="E1234" s="119" t="s">
        <v>6850</v>
      </c>
    </row>
    <row r="1235" spans="1:5" x14ac:dyDescent="0.25">
      <c r="A1235" s="119">
        <v>606</v>
      </c>
      <c r="B1235" s="119" t="s">
        <v>6849</v>
      </c>
      <c r="C1235" s="119" t="s">
        <v>6126</v>
      </c>
      <c r="D1235" s="119" t="s">
        <v>47</v>
      </c>
      <c r="E1235" s="119" t="s">
        <v>6850</v>
      </c>
    </row>
    <row r="1236" spans="1:5" x14ac:dyDescent="0.25">
      <c r="A1236" s="119">
        <v>607</v>
      </c>
      <c r="B1236" s="119" t="s">
        <v>6849</v>
      </c>
      <c r="C1236" s="119" t="s">
        <v>6126</v>
      </c>
      <c r="D1236" s="119" t="s">
        <v>47</v>
      </c>
      <c r="E1236" s="119" t="s">
        <v>6850</v>
      </c>
    </row>
    <row r="1237" spans="1:5" x14ac:dyDescent="0.25">
      <c r="A1237" s="119">
        <v>608</v>
      </c>
      <c r="B1237" s="119" t="s">
        <v>6849</v>
      </c>
      <c r="C1237" s="119" t="s">
        <v>6126</v>
      </c>
      <c r="D1237" s="119" t="s">
        <v>47</v>
      </c>
      <c r="E1237" s="119" t="s">
        <v>6850</v>
      </c>
    </row>
    <row r="1238" spans="1:5" x14ac:dyDescent="0.25">
      <c r="A1238" s="119">
        <v>609</v>
      </c>
      <c r="B1238" s="119" t="s">
        <v>6849</v>
      </c>
      <c r="C1238" s="119" t="s">
        <v>6126</v>
      </c>
      <c r="D1238" s="119" t="s">
        <v>47</v>
      </c>
      <c r="E1238" s="119" t="s">
        <v>6850</v>
      </c>
    </row>
    <row r="1239" spans="1:5" x14ac:dyDescent="0.25">
      <c r="A1239" s="119">
        <v>610</v>
      </c>
      <c r="B1239" s="119" t="s">
        <v>6849</v>
      </c>
      <c r="C1239" s="119" t="s">
        <v>6126</v>
      </c>
      <c r="D1239" s="119" t="s">
        <v>47</v>
      </c>
      <c r="E1239" s="119" t="s">
        <v>6850</v>
      </c>
    </row>
    <row r="1240" spans="1:5" x14ac:dyDescent="0.25">
      <c r="A1240" s="119">
        <v>611</v>
      </c>
      <c r="B1240" s="119" t="s">
        <v>6849</v>
      </c>
      <c r="C1240" s="119" t="s">
        <v>6126</v>
      </c>
      <c r="D1240" s="119" t="s">
        <v>47</v>
      </c>
      <c r="E1240" s="119" t="s">
        <v>6850</v>
      </c>
    </row>
    <row r="1241" spans="1:5" x14ac:dyDescent="0.25">
      <c r="A1241" s="119">
        <v>612</v>
      </c>
      <c r="B1241" s="119" t="s">
        <v>6849</v>
      </c>
      <c r="C1241" s="119" t="s">
        <v>6126</v>
      </c>
      <c r="D1241" s="119" t="s">
        <v>47</v>
      </c>
      <c r="E1241" s="119" t="s">
        <v>6850</v>
      </c>
    </row>
    <row r="1242" spans="1:5" x14ac:dyDescent="0.25">
      <c r="A1242" s="119">
        <v>613</v>
      </c>
      <c r="B1242" s="119" t="s">
        <v>6849</v>
      </c>
      <c r="C1242" s="119" t="s">
        <v>6126</v>
      </c>
      <c r="D1242" s="119" t="s">
        <v>47</v>
      </c>
      <c r="E1242" s="119" t="s">
        <v>6850</v>
      </c>
    </row>
    <row r="1243" spans="1:5" x14ac:dyDescent="0.25">
      <c r="A1243" s="119">
        <v>614</v>
      </c>
      <c r="B1243" s="119" t="s">
        <v>6849</v>
      </c>
      <c r="C1243" s="119" t="s">
        <v>6126</v>
      </c>
      <c r="D1243" s="119" t="s">
        <v>47</v>
      </c>
      <c r="E1243" s="119" t="s">
        <v>6850</v>
      </c>
    </row>
    <row r="1244" spans="1:5" x14ac:dyDescent="0.25">
      <c r="A1244" s="119">
        <v>615</v>
      </c>
      <c r="B1244" s="119" t="s">
        <v>6849</v>
      </c>
      <c r="C1244" s="119" t="s">
        <v>6126</v>
      </c>
      <c r="D1244" s="119" t="s">
        <v>47</v>
      </c>
      <c r="E1244" s="119" t="s">
        <v>6850</v>
      </c>
    </row>
    <row r="1245" spans="1:5" x14ac:dyDescent="0.25">
      <c r="A1245" s="119">
        <v>616</v>
      </c>
      <c r="B1245" s="119" t="s">
        <v>6849</v>
      </c>
      <c r="C1245" s="119" t="s">
        <v>6126</v>
      </c>
      <c r="D1245" s="119" t="s">
        <v>47</v>
      </c>
      <c r="E1245" s="119" t="s">
        <v>6850</v>
      </c>
    </row>
    <row r="1246" spans="1:5" x14ac:dyDescent="0.25">
      <c r="A1246" s="119">
        <v>617</v>
      </c>
      <c r="B1246" s="119" t="s">
        <v>6849</v>
      </c>
      <c r="C1246" s="119" t="s">
        <v>6126</v>
      </c>
      <c r="D1246" s="119" t="s">
        <v>47</v>
      </c>
      <c r="E1246" s="119" t="s">
        <v>6850</v>
      </c>
    </row>
    <row r="1247" spans="1:5" x14ac:dyDescent="0.25">
      <c r="A1247" s="119">
        <v>618</v>
      </c>
      <c r="B1247" s="119" t="s">
        <v>6849</v>
      </c>
      <c r="C1247" s="119" t="s">
        <v>6126</v>
      </c>
      <c r="D1247" s="119" t="s">
        <v>47</v>
      </c>
      <c r="E1247" s="119" t="s">
        <v>6850</v>
      </c>
    </row>
    <row r="1248" spans="1:5" x14ac:dyDescent="0.25">
      <c r="A1248" s="119">
        <v>619</v>
      </c>
      <c r="B1248" s="119" t="s">
        <v>6849</v>
      </c>
      <c r="C1248" s="119" t="s">
        <v>6126</v>
      </c>
      <c r="D1248" s="119" t="s">
        <v>47</v>
      </c>
      <c r="E1248" s="119" t="s">
        <v>6850</v>
      </c>
    </row>
    <row r="1249" spans="1:5" x14ac:dyDescent="0.25">
      <c r="A1249" s="119">
        <v>620</v>
      </c>
      <c r="B1249" s="119" t="s">
        <v>6849</v>
      </c>
      <c r="C1249" s="119" t="s">
        <v>6126</v>
      </c>
      <c r="D1249" s="119" t="s">
        <v>47</v>
      </c>
      <c r="E1249" s="119" t="s">
        <v>6850</v>
      </c>
    </row>
    <row r="1250" spans="1:5" x14ac:dyDescent="0.25">
      <c r="A1250" s="119">
        <v>621</v>
      </c>
      <c r="B1250" s="119" t="s">
        <v>6849</v>
      </c>
      <c r="C1250" s="119" t="s">
        <v>6126</v>
      </c>
      <c r="D1250" s="119" t="s">
        <v>47</v>
      </c>
      <c r="E1250" s="119" t="s">
        <v>6850</v>
      </c>
    </row>
    <row r="1251" spans="1:5" x14ac:dyDescent="0.25">
      <c r="A1251" s="119">
        <v>622</v>
      </c>
      <c r="B1251" s="119" t="s">
        <v>6849</v>
      </c>
      <c r="C1251" s="119" t="s">
        <v>6126</v>
      </c>
      <c r="D1251" s="119" t="s">
        <v>47</v>
      </c>
      <c r="E1251" s="119" t="s">
        <v>6850</v>
      </c>
    </row>
    <row r="1252" spans="1:5" x14ac:dyDescent="0.25">
      <c r="A1252" s="119">
        <v>623</v>
      </c>
      <c r="B1252" s="119" t="s">
        <v>6849</v>
      </c>
      <c r="C1252" s="119" t="s">
        <v>6126</v>
      </c>
      <c r="D1252" s="119" t="s">
        <v>47</v>
      </c>
      <c r="E1252" s="119" t="s">
        <v>6850</v>
      </c>
    </row>
    <row r="1253" spans="1:5" x14ac:dyDescent="0.25">
      <c r="A1253" s="119">
        <v>624</v>
      </c>
      <c r="B1253" s="119" t="s">
        <v>6849</v>
      </c>
      <c r="C1253" s="119" t="s">
        <v>6126</v>
      </c>
      <c r="D1253" s="119" t="s">
        <v>47</v>
      </c>
      <c r="E1253" s="119" t="s">
        <v>6850</v>
      </c>
    </row>
    <row r="1254" spans="1:5" x14ac:dyDescent="0.25">
      <c r="A1254" s="119">
        <v>625</v>
      </c>
      <c r="B1254" s="119" t="s">
        <v>6849</v>
      </c>
      <c r="C1254" s="119" t="s">
        <v>6126</v>
      </c>
      <c r="D1254" s="119" t="s">
        <v>47</v>
      </c>
      <c r="E1254" s="119" t="s">
        <v>6850</v>
      </c>
    </row>
    <row r="1255" spans="1:5" x14ac:dyDescent="0.25">
      <c r="A1255" s="119">
        <v>626</v>
      </c>
      <c r="B1255" s="119" t="s">
        <v>6849</v>
      </c>
      <c r="C1255" s="119" t="s">
        <v>6126</v>
      </c>
      <c r="D1255" s="119" t="s">
        <v>47</v>
      </c>
      <c r="E1255" s="119" t="s">
        <v>6850</v>
      </c>
    </row>
    <row r="1256" spans="1:5" x14ac:dyDescent="0.25">
      <c r="A1256" s="119">
        <v>627</v>
      </c>
      <c r="B1256" s="119" t="s">
        <v>6849</v>
      </c>
      <c r="C1256" s="119" t="s">
        <v>6126</v>
      </c>
      <c r="D1256" s="119" t="s">
        <v>47</v>
      </c>
      <c r="E1256" s="119" t="s">
        <v>6850</v>
      </c>
    </row>
    <row r="1257" spans="1:5" x14ac:dyDescent="0.25">
      <c r="A1257" s="119">
        <v>628</v>
      </c>
      <c r="B1257" s="119" t="s">
        <v>6849</v>
      </c>
      <c r="C1257" s="119" t="s">
        <v>6126</v>
      </c>
      <c r="D1257" s="119" t="s">
        <v>47</v>
      </c>
      <c r="E1257" s="119" t="s">
        <v>6850</v>
      </c>
    </row>
    <row r="1258" spans="1:5" x14ac:dyDescent="0.25">
      <c r="A1258" s="119">
        <v>629</v>
      </c>
      <c r="B1258" s="119" t="s">
        <v>6849</v>
      </c>
      <c r="C1258" s="119" t="s">
        <v>6126</v>
      </c>
      <c r="D1258" s="119" t="s">
        <v>47</v>
      </c>
      <c r="E1258" s="119" t="s">
        <v>6850</v>
      </c>
    </row>
    <row r="1259" spans="1:5" x14ac:dyDescent="0.25">
      <c r="A1259" s="119">
        <v>630</v>
      </c>
      <c r="B1259" s="119" t="s">
        <v>6849</v>
      </c>
      <c r="C1259" s="119" t="s">
        <v>6126</v>
      </c>
      <c r="D1259" s="119" t="s">
        <v>47</v>
      </c>
      <c r="E1259" s="119" t="s">
        <v>6850</v>
      </c>
    </row>
    <row r="1260" spans="1:5" x14ac:dyDescent="0.25">
      <c r="A1260" s="119">
        <v>631</v>
      </c>
      <c r="B1260" s="119" t="s">
        <v>6849</v>
      </c>
      <c r="C1260" s="119" t="s">
        <v>6126</v>
      </c>
      <c r="D1260" s="119" t="s">
        <v>47</v>
      </c>
      <c r="E1260" s="119" t="s">
        <v>6850</v>
      </c>
    </row>
    <row r="1261" spans="1:5" x14ac:dyDescent="0.25">
      <c r="A1261" s="119">
        <v>632</v>
      </c>
      <c r="B1261" s="119" t="s">
        <v>6849</v>
      </c>
      <c r="C1261" s="119" t="s">
        <v>6126</v>
      </c>
      <c r="D1261" s="119" t="s">
        <v>47</v>
      </c>
      <c r="E1261" s="119" t="s">
        <v>6850</v>
      </c>
    </row>
    <row r="1262" spans="1:5" x14ac:dyDescent="0.25">
      <c r="A1262" s="119">
        <v>633</v>
      </c>
      <c r="B1262" s="119" t="s">
        <v>6849</v>
      </c>
      <c r="C1262" s="119" t="s">
        <v>6126</v>
      </c>
      <c r="D1262" s="119" t="s">
        <v>47</v>
      </c>
      <c r="E1262" s="119" t="s">
        <v>6850</v>
      </c>
    </row>
    <row r="1263" spans="1:5" x14ac:dyDescent="0.25">
      <c r="A1263" s="119">
        <v>634</v>
      </c>
      <c r="B1263" s="119" t="s">
        <v>6849</v>
      </c>
      <c r="C1263" s="119" t="s">
        <v>6126</v>
      </c>
      <c r="D1263" s="119" t="s">
        <v>47</v>
      </c>
      <c r="E1263" s="119" t="s">
        <v>6850</v>
      </c>
    </row>
    <row r="1264" spans="1:5" x14ac:dyDescent="0.25">
      <c r="A1264" s="119">
        <v>635</v>
      </c>
      <c r="B1264" s="119" t="s">
        <v>6849</v>
      </c>
      <c r="C1264" s="119" t="s">
        <v>6126</v>
      </c>
      <c r="D1264" s="119" t="s">
        <v>47</v>
      </c>
      <c r="E1264" s="119" t="s">
        <v>6850</v>
      </c>
    </row>
    <row r="1265" spans="1:5" x14ac:dyDescent="0.25">
      <c r="A1265" s="119">
        <v>636</v>
      </c>
      <c r="B1265" s="119" t="s">
        <v>6849</v>
      </c>
      <c r="C1265" s="119" t="s">
        <v>6126</v>
      </c>
      <c r="D1265" s="119" t="s">
        <v>47</v>
      </c>
      <c r="E1265" s="119" t="s">
        <v>6850</v>
      </c>
    </row>
    <row r="1266" spans="1:5" x14ac:dyDescent="0.25">
      <c r="A1266" s="119">
        <v>637</v>
      </c>
      <c r="B1266" s="119" t="s">
        <v>6849</v>
      </c>
      <c r="C1266" s="119" t="s">
        <v>6126</v>
      </c>
      <c r="D1266" s="119" t="s">
        <v>47</v>
      </c>
      <c r="E1266" s="119" t="s">
        <v>6850</v>
      </c>
    </row>
    <row r="1267" spans="1:5" x14ac:dyDescent="0.25">
      <c r="A1267" s="119">
        <v>638</v>
      </c>
      <c r="B1267" s="119" t="s">
        <v>6849</v>
      </c>
      <c r="C1267" s="119" t="s">
        <v>6126</v>
      </c>
      <c r="D1267" s="119" t="s">
        <v>47</v>
      </c>
      <c r="E1267" s="119" t="s">
        <v>6850</v>
      </c>
    </row>
    <row r="1268" spans="1:5" x14ac:dyDescent="0.25">
      <c r="A1268" s="119">
        <v>639</v>
      </c>
      <c r="B1268" s="119" t="s">
        <v>6849</v>
      </c>
      <c r="C1268" s="119" t="s">
        <v>6126</v>
      </c>
      <c r="D1268" s="119" t="s">
        <v>47</v>
      </c>
      <c r="E1268" s="119" t="s">
        <v>6850</v>
      </c>
    </row>
    <row r="1269" spans="1:5" x14ac:dyDescent="0.25">
      <c r="A1269" s="119">
        <v>640</v>
      </c>
      <c r="B1269" s="119" t="s">
        <v>6849</v>
      </c>
      <c r="C1269" s="119" t="s">
        <v>6126</v>
      </c>
      <c r="D1269" s="119" t="s">
        <v>47</v>
      </c>
      <c r="E1269" s="119" t="s">
        <v>6850</v>
      </c>
    </row>
    <row r="1270" spans="1:5" x14ac:dyDescent="0.25">
      <c r="A1270" s="119">
        <v>641</v>
      </c>
      <c r="B1270" s="119" t="s">
        <v>6849</v>
      </c>
      <c r="C1270" s="119" t="s">
        <v>6126</v>
      </c>
      <c r="D1270" s="119" t="s">
        <v>47</v>
      </c>
      <c r="E1270" s="119" t="s">
        <v>6850</v>
      </c>
    </row>
    <row r="1271" spans="1:5" x14ac:dyDescent="0.25">
      <c r="A1271" s="119">
        <v>642</v>
      </c>
      <c r="B1271" s="119" t="s">
        <v>6849</v>
      </c>
      <c r="C1271" s="119" t="s">
        <v>6126</v>
      </c>
      <c r="D1271" s="119" t="s">
        <v>47</v>
      </c>
      <c r="E1271" s="119" t="s">
        <v>6850</v>
      </c>
    </row>
    <row r="1272" spans="1:5" x14ac:dyDescent="0.25">
      <c r="A1272" s="119">
        <v>644</v>
      </c>
      <c r="B1272" s="119" t="s">
        <v>6849</v>
      </c>
      <c r="C1272" s="119" t="s">
        <v>6126</v>
      </c>
      <c r="D1272" s="119" t="s">
        <v>47</v>
      </c>
      <c r="E1272" s="119" t="s">
        <v>6850</v>
      </c>
    </row>
    <row r="1273" spans="1:5" x14ac:dyDescent="0.25">
      <c r="A1273" s="119">
        <v>645</v>
      </c>
      <c r="B1273" s="119" t="s">
        <v>6849</v>
      </c>
      <c r="C1273" s="119" t="s">
        <v>6126</v>
      </c>
      <c r="D1273" s="119" t="s">
        <v>47</v>
      </c>
      <c r="E1273" s="119" t="s">
        <v>6850</v>
      </c>
    </row>
    <row r="1274" spans="1:5" x14ac:dyDescent="0.25">
      <c r="A1274" s="119">
        <v>646</v>
      </c>
      <c r="B1274" s="119" t="s">
        <v>6849</v>
      </c>
      <c r="C1274" s="119" t="s">
        <v>6126</v>
      </c>
      <c r="D1274" s="119" t="s">
        <v>47</v>
      </c>
      <c r="E1274" s="119" t="s">
        <v>6850</v>
      </c>
    </row>
    <row r="1275" spans="1:5" x14ac:dyDescent="0.25">
      <c r="A1275" s="119">
        <v>647</v>
      </c>
      <c r="B1275" s="119" t="s">
        <v>6849</v>
      </c>
      <c r="C1275" s="119" t="s">
        <v>6126</v>
      </c>
      <c r="D1275" s="119" t="s">
        <v>47</v>
      </c>
      <c r="E1275" s="119" t="s">
        <v>6850</v>
      </c>
    </row>
    <row r="1276" spans="1:5" x14ac:dyDescent="0.25">
      <c r="A1276" s="119">
        <v>648</v>
      </c>
      <c r="B1276" s="119" t="s">
        <v>6849</v>
      </c>
      <c r="C1276" s="119" t="s">
        <v>6126</v>
      </c>
      <c r="D1276" s="119" t="s">
        <v>47</v>
      </c>
      <c r="E1276" s="119" t="s">
        <v>6850</v>
      </c>
    </row>
    <row r="1277" spans="1:5" x14ac:dyDescent="0.25">
      <c r="A1277" s="119">
        <v>649</v>
      </c>
      <c r="B1277" s="119" t="s">
        <v>6849</v>
      </c>
      <c r="C1277" s="119" t="s">
        <v>6126</v>
      </c>
      <c r="D1277" s="119" t="s">
        <v>47</v>
      </c>
      <c r="E1277" s="119" t="s">
        <v>6850</v>
      </c>
    </row>
    <row r="1278" spans="1:5" x14ac:dyDescent="0.25">
      <c r="A1278" s="119">
        <v>650</v>
      </c>
      <c r="B1278" s="119" t="s">
        <v>6849</v>
      </c>
      <c r="C1278" s="119" t="s">
        <v>6126</v>
      </c>
      <c r="D1278" s="119" t="s">
        <v>47</v>
      </c>
      <c r="E1278" s="119" t="s">
        <v>6850</v>
      </c>
    </row>
    <row r="1279" spans="1:5" x14ac:dyDescent="0.25">
      <c r="A1279" s="119">
        <v>651</v>
      </c>
      <c r="B1279" s="119" t="s">
        <v>6849</v>
      </c>
      <c r="C1279" s="119" t="s">
        <v>6126</v>
      </c>
      <c r="D1279" s="119" t="s">
        <v>47</v>
      </c>
      <c r="E1279" s="119" t="s">
        <v>6850</v>
      </c>
    </row>
    <row r="1280" spans="1:5" x14ac:dyDescent="0.25">
      <c r="A1280" s="119">
        <v>652</v>
      </c>
      <c r="B1280" s="119" t="s">
        <v>6849</v>
      </c>
      <c r="C1280" s="119" t="s">
        <v>6126</v>
      </c>
      <c r="D1280" s="119" t="s">
        <v>47</v>
      </c>
      <c r="E1280" s="119" t="s">
        <v>6850</v>
      </c>
    </row>
    <row r="1281" spans="1:5" x14ac:dyDescent="0.25">
      <c r="A1281" s="119">
        <v>653</v>
      </c>
      <c r="B1281" s="119" t="s">
        <v>6849</v>
      </c>
      <c r="C1281" s="119" t="s">
        <v>6126</v>
      </c>
      <c r="D1281" s="119" t="s">
        <v>47</v>
      </c>
      <c r="E1281" s="119" t="s">
        <v>6850</v>
      </c>
    </row>
    <row r="1282" spans="1:5" x14ac:dyDescent="0.25">
      <c r="A1282" s="119">
        <v>654</v>
      </c>
      <c r="B1282" s="119" t="s">
        <v>6849</v>
      </c>
      <c r="C1282" s="119" t="s">
        <v>6126</v>
      </c>
      <c r="D1282" s="119" t="s">
        <v>47</v>
      </c>
      <c r="E1282" s="119" t="s">
        <v>6850</v>
      </c>
    </row>
    <row r="1283" spans="1:5" x14ac:dyDescent="0.25">
      <c r="A1283" s="119">
        <v>655</v>
      </c>
      <c r="B1283" s="119" t="s">
        <v>6849</v>
      </c>
      <c r="C1283" s="119" t="s">
        <v>6126</v>
      </c>
      <c r="D1283" s="119" t="s">
        <v>47</v>
      </c>
      <c r="E1283" s="119" t="s">
        <v>6850</v>
      </c>
    </row>
    <row r="1284" spans="1:5" x14ac:dyDescent="0.25">
      <c r="A1284" s="119">
        <v>656</v>
      </c>
      <c r="B1284" s="119" t="s">
        <v>6849</v>
      </c>
      <c r="C1284" s="119" t="s">
        <v>6126</v>
      </c>
      <c r="D1284" s="119" t="s">
        <v>47</v>
      </c>
      <c r="E1284" s="119" t="s">
        <v>6850</v>
      </c>
    </row>
    <row r="1285" spans="1:5" x14ac:dyDescent="0.25">
      <c r="A1285" s="119">
        <v>1071</v>
      </c>
      <c r="B1285" s="119" t="s">
        <v>6849</v>
      </c>
      <c r="C1285" s="119" t="s">
        <v>6852</v>
      </c>
      <c r="D1285" s="119" t="s">
        <v>576</v>
      </c>
      <c r="E1285" s="119" t="s">
        <v>6850</v>
      </c>
    </row>
    <row r="1286" spans="1:5" x14ac:dyDescent="0.25">
      <c r="A1286" s="119">
        <v>1073</v>
      </c>
      <c r="B1286" s="119" t="s">
        <v>6849</v>
      </c>
      <c r="C1286" s="119" t="s">
        <v>6852</v>
      </c>
      <c r="D1286" s="119" t="s">
        <v>576</v>
      </c>
      <c r="E1286" s="119" t="s">
        <v>6850</v>
      </c>
    </row>
    <row r="1287" spans="1:5" x14ac:dyDescent="0.25">
      <c r="A1287" s="119">
        <v>1075</v>
      </c>
      <c r="B1287" s="119" t="s">
        <v>6849</v>
      </c>
      <c r="C1287" s="119" t="s">
        <v>6852</v>
      </c>
      <c r="D1287" s="119" t="s">
        <v>576</v>
      </c>
      <c r="E1287" s="119" t="s">
        <v>6850</v>
      </c>
    </row>
    <row r="1288" spans="1:5" x14ac:dyDescent="0.25">
      <c r="A1288" s="119">
        <v>1076</v>
      </c>
      <c r="B1288" s="119" t="s">
        <v>6849</v>
      </c>
      <c r="C1288" s="119" t="s">
        <v>6852</v>
      </c>
      <c r="D1288" s="119" t="s">
        <v>576</v>
      </c>
      <c r="E1288" s="119" t="s">
        <v>6850</v>
      </c>
    </row>
    <row r="1289" spans="1:5" x14ac:dyDescent="0.25">
      <c r="A1289" s="119">
        <v>1126</v>
      </c>
      <c r="B1289" s="119" t="s">
        <v>6849</v>
      </c>
      <c r="C1289" s="119" t="s">
        <v>6852</v>
      </c>
      <c r="D1289" s="119" t="s">
        <v>576</v>
      </c>
      <c r="E1289" s="119" t="s">
        <v>6850</v>
      </c>
    </row>
    <row r="1290" spans="1:5" x14ac:dyDescent="0.25">
      <c r="A1290" s="119">
        <v>1228</v>
      </c>
      <c r="B1290" s="119" t="s">
        <v>6849</v>
      </c>
      <c r="C1290" s="119" t="s">
        <v>6126</v>
      </c>
      <c r="D1290" s="119" t="s">
        <v>47</v>
      </c>
      <c r="E1290" s="119" t="s">
        <v>6850</v>
      </c>
    </row>
    <row r="1291" spans="1:5" x14ac:dyDescent="0.25">
      <c r="A1291" s="119">
        <v>1229</v>
      </c>
      <c r="B1291" s="119" t="s">
        <v>6849</v>
      </c>
      <c r="C1291" s="119" t="s">
        <v>6126</v>
      </c>
      <c r="D1291" s="119" t="s">
        <v>47</v>
      </c>
      <c r="E1291" s="119" t="s">
        <v>6850</v>
      </c>
    </row>
    <row r="1292" spans="1:5" x14ac:dyDescent="0.25">
      <c r="A1292" s="119">
        <v>1230</v>
      </c>
      <c r="B1292" s="119" t="s">
        <v>6849</v>
      </c>
      <c r="C1292" s="119" t="s">
        <v>6126</v>
      </c>
      <c r="D1292" s="119" t="s">
        <v>47</v>
      </c>
      <c r="E1292" s="119" t="s">
        <v>6850</v>
      </c>
    </row>
    <row r="1293" spans="1:5" x14ac:dyDescent="0.25">
      <c r="A1293" s="119">
        <v>1231</v>
      </c>
      <c r="B1293" s="119" t="s">
        <v>6849</v>
      </c>
      <c r="C1293" s="119" t="s">
        <v>5218</v>
      </c>
      <c r="D1293" s="119" t="s">
        <v>78</v>
      </c>
      <c r="E1293" s="119" t="s">
        <v>6850</v>
      </c>
    </row>
    <row r="1294" spans="1:5" x14ac:dyDescent="0.25">
      <c r="A1294" s="119">
        <v>1353</v>
      </c>
      <c r="B1294" s="119" t="s">
        <v>6849</v>
      </c>
      <c r="C1294" s="119" t="s">
        <v>6853</v>
      </c>
      <c r="D1294" s="119" t="s">
        <v>572</v>
      </c>
      <c r="E1294" s="119" t="s">
        <v>6850</v>
      </c>
    </row>
    <row r="1295" spans="1:5" x14ac:dyDescent="0.25">
      <c r="A1295" s="119">
        <v>1357</v>
      </c>
      <c r="B1295" s="119" t="s">
        <v>6849</v>
      </c>
      <c r="C1295" s="119" t="s">
        <v>5218</v>
      </c>
      <c r="D1295" s="119" t="s">
        <v>78</v>
      </c>
      <c r="E1295" s="119" t="s">
        <v>6850</v>
      </c>
    </row>
    <row r="1296" spans="1:5" x14ac:dyDescent="0.25">
      <c r="A1296" s="119">
        <v>1361</v>
      </c>
      <c r="B1296" s="119" t="s">
        <v>6849</v>
      </c>
      <c r="C1296" s="119" t="s">
        <v>5218</v>
      </c>
      <c r="D1296" s="119" t="s">
        <v>78</v>
      </c>
      <c r="E1296" s="119" t="s">
        <v>6850</v>
      </c>
    </row>
    <row r="1297" spans="1:5" x14ac:dyDescent="0.25">
      <c r="A1297" s="119">
        <v>1362</v>
      </c>
      <c r="B1297" s="119" t="s">
        <v>6849</v>
      </c>
      <c r="C1297" s="119" t="s">
        <v>5218</v>
      </c>
      <c r="D1297" s="119" t="s">
        <v>78</v>
      </c>
      <c r="E1297" s="119" t="s">
        <v>6850</v>
      </c>
    </row>
    <row r="1298" spans="1:5" x14ac:dyDescent="0.25">
      <c r="A1298" s="119">
        <v>1368</v>
      </c>
      <c r="B1298" s="119" t="s">
        <v>6849</v>
      </c>
      <c r="C1298" s="119" t="s">
        <v>5218</v>
      </c>
      <c r="D1298" s="119" t="s">
        <v>78</v>
      </c>
      <c r="E1298" s="119" t="s">
        <v>6850</v>
      </c>
    </row>
    <row r="1299" spans="1:5" x14ac:dyDescent="0.25">
      <c r="A1299" s="119">
        <v>1369</v>
      </c>
      <c r="B1299" s="119" t="s">
        <v>6849</v>
      </c>
      <c r="C1299" s="119" t="s">
        <v>5218</v>
      </c>
      <c r="D1299" s="119" t="s">
        <v>78</v>
      </c>
      <c r="E1299" s="119" t="s">
        <v>6850</v>
      </c>
    </row>
    <row r="1300" spans="1:5" x14ac:dyDescent="0.25">
      <c r="A1300" s="119">
        <v>1377</v>
      </c>
      <c r="B1300" s="119" t="s">
        <v>6849</v>
      </c>
      <c r="C1300" s="119" t="s">
        <v>5218</v>
      </c>
      <c r="D1300" s="119" t="s">
        <v>78</v>
      </c>
      <c r="E1300" s="119" t="s">
        <v>6850</v>
      </c>
    </row>
    <row r="1301" spans="1:5" x14ac:dyDescent="0.25">
      <c r="A1301" s="119">
        <v>1378</v>
      </c>
      <c r="B1301" s="119" t="s">
        <v>6849</v>
      </c>
      <c r="C1301" s="119" t="s">
        <v>5218</v>
      </c>
      <c r="D1301" s="119" t="s">
        <v>78</v>
      </c>
      <c r="E1301" s="119" t="s">
        <v>6850</v>
      </c>
    </row>
    <row r="1302" spans="1:5" x14ac:dyDescent="0.25">
      <c r="A1302" s="119">
        <v>1379</v>
      </c>
      <c r="B1302" s="119" t="s">
        <v>6849</v>
      </c>
      <c r="C1302" s="119" t="s">
        <v>5218</v>
      </c>
      <c r="D1302" s="119" t="s">
        <v>78</v>
      </c>
      <c r="E1302" s="119" t="s">
        <v>6850</v>
      </c>
    </row>
    <row r="1303" spans="1:5" x14ac:dyDescent="0.25">
      <c r="A1303" s="119">
        <v>1381</v>
      </c>
      <c r="B1303" s="119" t="s">
        <v>6849</v>
      </c>
      <c r="C1303" s="119" t="s">
        <v>6853</v>
      </c>
      <c r="D1303" s="119" t="s">
        <v>572</v>
      </c>
      <c r="E1303" s="119" t="s">
        <v>6850</v>
      </c>
    </row>
    <row r="1304" spans="1:5" x14ac:dyDescent="0.25">
      <c r="A1304" s="119">
        <v>1382</v>
      </c>
      <c r="B1304" s="119" t="s">
        <v>6849</v>
      </c>
      <c r="C1304" s="119" t="s">
        <v>5218</v>
      </c>
      <c r="D1304" s="119" t="s">
        <v>78</v>
      </c>
      <c r="E1304" s="119" t="s">
        <v>6850</v>
      </c>
    </row>
    <row r="1305" spans="1:5" x14ac:dyDescent="0.25">
      <c r="A1305" s="119">
        <v>1384</v>
      </c>
      <c r="B1305" s="119" t="s">
        <v>6849</v>
      </c>
      <c r="C1305" s="119" t="s">
        <v>6854</v>
      </c>
      <c r="D1305" s="119" t="s">
        <v>572</v>
      </c>
      <c r="E1305" s="119" t="s">
        <v>6850</v>
      </c>
    </row>
    <row r="1306" spans="1:5" x14ac:dyDescent="0.25">
      <c r="A1306" s="119">
        <v>1385</v>
      </c>
      <c r="B1306" s="119" t="s">
        <v>6849</v>
      </c>
      <c r="C1306" s="119" t="s">
        <v>6853</v>
      </c>
      <c r="D1306" s="119" t="s">
        <v>572</v>
      </c>
      <c r="E1306" s="119" t="s">
        <v>6850</v>
      </c>
    </row>
    <row r="1307" spans="1:5" x14ac:dyDescent="0.25">
      <c r="A1307" s="119">
        <v>1386</v>
      </c>
      <c r="B1307" s="119" t="s">
        <v>6849</v>
      </c>
      <c r="C1307" s="119" t="s">
        <v>5218</v>
      </c>
      <c r="D1307" s="119" t="s">
        <v>78</v>
      </c>
      <c r="E1307" s="119" t="s">
        <v>6850</v>
      </c>
    </row>
    <row r="1308" spans="1:5" x14ac:dyDescent="0.25">
      <c r="A1308" s="119">
        <v>1387</v>
      </c>
      <c r="B1308" s="119" t="s">
        <v>6849</v>
      </c>
      <c r="C1308" s="119" t="s">
        <v>6854</v>
      </c>
      <c r="D1308" s="119" t="s">
        <v>572</v>
      </c>
      <c r="E1308" s="119" t="s">
        <v>6850</v>
      </c>
    </row>
    <row r="1309" spans="1:5" x14ac:dyDescent="0.25">
      <c r="A1309" s="119">
        <v>1388</v>
      </c>
      <c r="B1309" s="119" t="s">
        <v>6849</v>
      </c>
      <c r="C1309" s="119" t="s">
        <v>5218</v>
      </c>
      <c r="D1309" s="119" t="s">
        <v>78</v>
      </c>
      <c r="E1309" s="119" t="s">
        <v>6850</v>
      </c>
    </row>
    <row r="1310" spans="1:5" x14ac:dyDescent="0.25">
      <c r="A1310" s="119">
        <v>1390</v>
      </c>
      <c r="B1310" s="119" t="s">
        <v>6849</v>
      </c>
      <c r="C1310" s="119" t="s">
        <v>5218</v>
      </c>
      <c r="D1310" s="119" t="s">
        <v>78</v>
      </c>
      <c r="E1310" s="119" t="s">
        <v>6850</v>
      </c>
    </row>
    <row r="1311" spans="1:5" x14ac:dyDescent="0.25">
      <c r="A1311" s="119">
        <v>1391</v>
      </c>
      <c r="B1311" s="119" t="s">
        <v>6849</v>
      </c>
      <c r="C1311" s="119" t="s">
        <v>5218</v>
      </c>
      <c r="D1311" s="119" t="s">
        <v>78</v>
      </c>
      <c r="E1311" s="119" t="s">
        <v>6850</v>
      </c>
    </row>
    <row r="1312" spans="1:5" x14ac:dyDescent="0.25">
      <c r="A1312" s="119">
        <v>1392</v>
      </c>
      <c r="B1312" s="119" t="s">
        <v>6849</v>
      </c>
      <c r="C1312" s="119" t="s">
        <v>5218</v>
      </c>
      <c r="D1312" s="119" t="s">
        <v>78</v>
      </c>
      <c r="E1312" s="119" t="s">
        <v>6850</v>
      </c>
    </row>
    <row r="1313" spans="1:5" x14ac:dyDescent="0.25">
      <c r="A1313" s="119">
        <v>1393</v>
      </c>
      <c r="B1313" s="119" t="s">
        <v>6849</v>
      </c>
      <c r="C1313" s="119" t="s">
        <v>5218</v>
      </c>
      <c r="D1313" s="119" t="s">
        <v>78</v>
      </c>
      <c r="E1313" s="119" t="s">
        <v>6850</v>
      </c>
    </row>
    <row r="1314" spans="1:5" x14ac:dyDescent="0.25">
      <c r="A1314" s="119">
        <v>1394</v>
      </c>
      <c r="B1314" s="119" t="s">
        <v>6849</v>
      </c>
      <c r="C1314" s="119" t="s">
        <v>5218</v>
      </c>
      <c r="D1314" s="119" t="s">
        <v>78</v>
      </c>
      <c r="E1314" s="119" t="s">
        <v>6850</v>
      </c>
    </row>
    <row r="1315" spans="1:5" x14ac:dyDescent="0.25">
      <c r="A1315" s="119">
        <v>1395</v>
      </c>
      <c r="B1315" s="119" t="s">
        <v>6849</v>
      </c>
      <c r="C1315" s="119" t="s">
        <v>5218</v>
      </c>
      <c r="D1315" s="119" t="s">
        <v>78</v>
      </c>
      <c r="E1315" s="119" t="s">
        <v>6850</v>
      </c>
    </row>
    <row r="1316" spans="1:5" x14ac:dyDescent="0.25">
      <c r="A1316" s="119">
        <v>1396</v>
      </c>
      <c r="B1316" s="119" t="s">
        <v>6849</v>
      </c>
      <c r="C1316" s="119" t="s">
        <v>5218</v>
      </c>
      <c r="D1316" s="119" t="s">
        <v>78</v>
      </c>
      <c r="E1316" s="119" t="s">
        <v>6850</v>
      </c>
    </row>
    <row r="1317" spans="1:5" x14ac:dyDescent="0.25">
      <c r="A1317" s="119">
        <v>1397</v>
      </c>
      <c r="B1317" s="119" t="s">
        <v>6849</v>
      </c>
      <c r="C1317" s="119" t="s">
        <v>5218</v>
      </c>
      <c r="D1317" s="119" t="s">
        <v>78</v>
      </c>
      <c r="E1317" s="119" t="s">
        <v>6850</v>
      </c>
    </row>
    <row r="1318" spans="1:5" x14ac:dyDescent="0.25">
      <c r="A1318" s="119">
        <v>1398</v>
      </c>
      <c r="B1318" s="119" t="s">
        <v>6849</v>
      </c>
      <c r="C1318" s="119" t="s">
        <v>5218</v>
      </c>
      <c r="D1318" s="119" t="s">
        <v>78</v>
      </c>
      <c r="E1318" s="119" t="s">
        <v>6850</v>
      </c>
    </row>
    <row r="1319" spans="1:5" x14ac:dyDescent="0.25">
      <c r="A1319" s="119">
        <v>1405</v>
      </c>
      <c r="B1319" s="119" t="s">
        <v>6849</v>
      </c>
      <c r="C1319" s="119" t="s">
        <v>5218</v>
      </c>
      <c r="D1319" s="119" t="s">
        <v>78</v>
      </c>
      <c r="E1319" s="119" t="s">
        <v>6850</v>
      </c>
    </row>
    <row r="1320" spans="1:5" x14ac:dyDescent="0.25">
      <c r="A1320" s="119">
        <v>1406</v>
      </c>
      <c r="B1320" s="119" t="s">
        <v>6849</v>
      </c>
      <c r="C1320" s="119" t="s">
        <v>5218</v>
      </c>
      <c r="D1320" s="119" t="s">
        <v>78</v>
      </c>
      <c r="E1320" s="119" t="s">
        <v>6850</v>
      </c>
    </row>
    <row r="1321" spans="1:5" x14ac:dyDescent="0.25">
      <c r="A1321" s="119">
        <v>1409</v>
      </c>
      <c r="B1321" s="119" t="s">
        <v>6849</v>
      </c>
      <c r="C1321" s="119" t="s">
        <v>5218</v>
      </c>
      <c r="D1321" s="119" t="s">
        <v>78</v>
      </c>
      <c r="E1321" s="119" t="s">
        <v>6850</v>
      </c>
    </row>
    <row r="1322" spans="1:5" x14ac:dyDescent="0.25">
      <c r="A1322" s="119">
        <v>1410</v>
      </c>
      <c r="B1322" s="119" t="s">
        <v>6849</v>
      </c>
      <c r="C1322" s="119" t="s">
        <v>5218</v>
      </c>
      <c r="D1322" s="119" t="s">
        <v>78</v>
      </c>
      <c r="E1322" s="119" t="s">
        <v>6850</v>
      </c>
    </row>
    <row r="1323" spans="1:5" x14ac:dyDescent="0.25">
      <c r="A1323" s="119">
        <v>1415</v>
      </c>
      <c r="B1323" s="119" t="s">
        <v>6849</v>
      </c>
      <c r="C1323" s="119" t="s">
        <v>5218</v>
      </c>
      <c r="D1323" s="119" t="s">
        <v>78</v>
      </c>
      <c r="E1323" s="119" t="s">
        <v>6850</v>
      </c>
    </row>
    <row r="1324" spans="1:5" x14ac:dyDescent="0.25">
      <c r="A1324" s="119">
        <v>1416</v>
      </c>
      <c r="B1324" s="119" t="s">
        <v>6849</v>
      </c>
      <c r="C1324" s="119" t="s">
        <v>5218</v>
      </c>
      <c r="D1324" s="119" t="s">
        <v>78</v>
      </c>
      <c r="E1324" s="119" t="s">
        <v>6850</v>
      </c>
    </row>
    <row r="1325" spans="1:5" x14ac:dyDescent="0.25">
      <c r="A1325" s="119">
        <v>1418</v>
      </c>
      <c r="B1325" s="119" t="s">
        <v>6849</v>
      </c>
      <c r="C1325" s="119" t="s">
        <v>5218</v>
      </c>
      <c r="D1325" s="119" t="s">
        <v>78</v>
      </c>
      <c r="E1325" s="119" t="s">
        <v>6850</v>
      </c>
    </row>
    <row r="1326" spans="1:5" x14ac:dyDescent="0.25">
      <c r="A1326" s="119">
        <v>1419</v>
      </c>
      <c r="B1326" s="119" t="s">
        <v>6849</v>
      </c>
      <c r="C1326" s="119" t="s">
        <v>5218</v>
      </c>
      <c r="D1326" s="119" t="s">
        <v>78</v>
      </c>
      <c r="E1326" s="119" t="s">
        <v>6850</v>
      </c>
    </row>
    <row r="1327" spans="1:5" x14ac:dyDescent="0.25">
      <c r="A1327" s="119">
        <v>1422</v>
      </c>
      <c r="B1327" s="119" t="s">
        <v>6849</v>
      </c>
      <c r="C1327" s="119" t="s">
        <v>5218</v>
      </c>
      <c r="D1327" s="119" t="s">
        <v>78</v>
      </c>
      <c r="E1327" s="119" t="s">
        <v>6850</v>
      </c>
    </row>
    <row r="1328" spans="1:5" x14ac:dyDescent="0.25">
      <c r="A1328" s="119">
        <v>1423</v>
      </c>
      <c r="B1328" s="119" t="s">
        <v>6849</v>
      </c>
      <c r="C1328" s="119" t="s">
        <v>6126</v>
      </c>
      <c r="D1328" s="119" t="s">
        <v>47</v>
      </c>
      <c r="E1328" s="119" t="s">
        <v>6850</v>
      </c>
    </row>
    <row r="1329" spans="1:5" x14ac:dyDescent="0.25">
      <c r="A1329" s="119">
        <v>1424</v>
      </c>
      <c r="B1329" s="119" t="s">
        <v>6849</v>
      </c>
      <c r="C1329" s="119" t="s">
        <v>5218</v>
      </c>
      <c r="D1329" s="119" t="s">
        <v>78</v>
      </c>
      <c r="E1329" s="119" t="s">
        <v>6850</v>
      </c>
    </row>
    <row r="1330" spans="1:5" x14ac:dyDescent="0.25">
      <c r="A1330" s="119">
        <v>1426</v>
      </c>
      <c r="B1330" s="119" t="s">
        <v>6849</v>
      </c>
      <c r="C1330" s="119" t="s">
        <v>5218</v>
      </c>
      <c r="D1330" s="119" t="s">
        <v>78</v>
      </c>
      <c r="E1330" s="119" t="s">
        <v>6850</v>
      </c>
    </row>
    <row r="1331" spans="1:5" x14ac:dyDescent="0.25">
      <c r="A1331" s="119">
        <v>1427</v>
      </c>
      <c r="B1331" s="119" t="s">
        <v>6849</v>
      </c>
      <c r="C1331" s="119" t="s">
        <v>5218</v>
      </c>
      <c r="D1331" s="119" t="s">
        <v>78</v>
      </c>
      <c r="E1331" s="119" t="s">
        <v>6850</v>
      </c>
    </row>
    <row r="1332" spans="1:5" x14ac:dyDescent="0.25">
      <c r="A1332" s="119">
        <v>1428</v>
      </c>
      <c r="B1332" s="119" t="s">
        <v>6849</v>
      </c>
      <c r="C1332" s="119" t="s">
        <v>5218</v>
      </c>
      <c r="D1332" s="119" t="s">
        <v>78</v>
      </c>
      <c r="E1332" s="119" t="s">
        <v>6850</v>
      </c>
    </row>
    <row r="1333" spans="1:5" x14ac:dyDescent="0.25">
      <c r="A1333" s="119">
        <v>1429</v>
      </c>
      <c r="B1333" s="119" t="s">
        <v>6849</v>
      </c>
      <c r="C1333" s="119" t="s">
        <v>5218</v>
      </c>
      <c r="D1333" s="119" t="s">
        <v>78</v>
      </c>
      <c r="E1333" s="119" t="s">
        <v>6850</v>
      </c>
    </row>
    <row r="1334" spans="1:5" x14ac:dyDescent="0.25">
      <c r="A1334" s="119">
        <v>1430</v>
      </c>
      <c r="B1334" s="119" t="s">
        <v>6849</v>
      </c>
      <c r="C1334" s="119" t="s">
        <v>5218</v>
      </c>
      <c r="D1334" s="119" t="s">
        <v>78</v>
      </c>
      <c r="E1334" s="119" t="s">
        <v>6850</v>
      </c>
    </row>
    <row r="1335" spans="1:5" x14ac:dyDescent="0.25">
      <c r="A1335" s="119">
        <v>1431</v>
      </c>
      <c r="B1335" s="119" t="s">
        <v>6849</v>
      </c>
      <c r="C1335" s="119" t="s">
        <v>5218</v>
      </c>
      <c r="D1335" s="119" t="s">
        <v>78</v>
      </c>
      <c r="E1335" s="119" t="s">
        <v>6850</v>
      </c>
    </row>
    <row r="1336" spans="1:5" x14ac:dyDescent="0.25">
      <c r="A1336" s="119">
        <v>1432</v>
      </c>
      <c r="B1336" s="119" t="s">
        <v>6849</v>
      </c>
      <c r="C1336" s="119" t="s">
        <v>5218</v>
      </c>
      <c r="D1336" s="119" t="s">
        <v>78</v>
      </c>
      <c r="E1336" s="119" t="s">
        <v>6850</v>
      </c>
    </row>
    <row r="1337" spans="1:5" x14ac:dyDescent="0.25">
      <c r="A1337" s="119">
        <v>1443</v>
      </c>
      <c r="B1337" s="119" t="s">
        <v>6849</v>
      </c>
      <c r="C1337" s="119" t="s">
        <v>6126</v>
      </c>
      <c r="D1337" s="119" t="s">
        <v>47</v>
      </c>
      <c r="E1337" s="119" t="s">
        <v>6850</v>
      </c>
    </row>
    <row r="1338" spans="1:5" x14ac:dyDescent="0.25">
      <c r="A1338" s="119">
        <v>1444</v>
      </c>
      <c r="B1338" s="119" t="s">
        <v>6849</v>
      </c>
      <c r="C1338" s="119" t="s">
        <v>5218</v>
      </c>
      <c r="D1338" s="119" t="s">
        <v>78</v>
      </c>
      <c r="E1338" s="119" t="s">
        <v>6850</v>
      </c>
    </row>
    <row r="1339" spans="1:5" x14ac:dyDescent="0.25">
      <c r="A1339" s="119">
        <v>1445</v>
      </c>
      <c r="B1339" s="119" t="s">
        <v>6849</v>
      </c>
      <c r="C1339" s="119" t="s">
        <v>5218</v>
      </c>
      <c r="D1339" s="119" t="s">
        <v>78</v>
      </c>
      <c r="E1339" s="119" t="s">
        <v>6850</v>
      </c>
    </row>
    <row r="1340" spans="1:5" x14ac:dyDescent="0.25">
      <c r="A1340" s="119">
        <v>1446</v>
      </c>
      <c r="B1340" s="119" t="s">
        <v>6849</v>
      </c>
      <c r="C1340" s="119" t="s">
        <v>5218</v>
      </c>
      <c r="D1340" s="119" t="s">
        <v>78</v>
      </c>
      <c r="E1340" s="119" t="s">
        <v>6850</v>
      </c>
    </row>
    <row r="1341" spans="1:5" x14ac:dyDescent="0.25">
      <c r="A1341" s="119">
        <v>1447</v>
      </c>
      <c r="B1341" s="119" t="s">
        <v>6849</v>
      </c>
      <c r="C1341" s="119" t="s">
        <v>5218</v>
      </c>
      <c r="D1341" s="119" t="s">
        <v>78</v>
      </c>
      <c r="E1341" s="119" t="s">
        <v>6850</v>
      </c>
    </row>
    <row r="1342" spans="1:5" x14ac:dyDescent="0.25">
      <c r="A1342" s="119">
        <v>1448</v>
      </c>
      <c r="B1342" s="119" t="s">
        <v>6849</v>
      </c>
      <c r="C1342" s="119" t="s">
        <v>6126</v>
      </c>
      <c r="D1342" s="119" t="s">
        <v>47</v>
      </c>
      <c r="E1342" s="119" t="s">
        <v>6850</v>
      </c>
    </row>
    <row r="1343" spans="1:5" x14ac:dyDescent="0.25">
      <c r="A1343" s="119">
        <v>1449</v>
      </c>
      <c r="B1343" s="119" t="s">
        <v>6849</v>
      </c>
      <c r="C1343" s="119" t="s">
        <v>6126</v>
      </c>
      <c r="D1343" s="119" t="s">
        <v>47</v>
      </c>
      <c r="E1343" s="119" t="s">
        <v>6850</v>
      </c>
    </row>
    <row r="1344" spans="1:5" x14ac:dyDescent="0.25">
      <c r="A1344" s="119">
        <v>1450</v>
      </c>
      <c r="B1344" s="119" t="s">
        <v>6849</v>
      </c>
      <c r="C1344" s="119" t="s">
        <v>6126</v>
      </c>
      <c r="D1344" s="119" t="s">
        <v>47</v>
      </c>
      <c r="E1344" s="119" t="s">
        <v>6850</v>
      </c>
    </row>
    <row r="1345" spans="1:5" x14ac:dyDescent="0.25">
      <c r="A1345" s="119">
        <v>1451</v>
      </c>
      <c r="B1345" s="119" t="s">
        <v>6849</v>
      </c>
      <c r="C1345" s="119" t="s">
        <v>6126</v>
      </c>
      <c r="D1345" s="119" t="s">
        <v>47</v>
      </c>
      <c r="E1345" s="119" t="s">
        <v>6850</v>
      </c>
    </row>
    <row r="1346" spans="1:5" x14ac:dyDescent="0.25">
      <c r="A1346" s="119">
        <v>1452</v>
      </c>
      <c r="B1346" s="119" t="s">
        <v>6849</v>
      </c>
      <c r="C1346" s="119" t="s">
        <v>5218</v>
      </c>
      <c r="D1346" s="119" t="s">
        <v>78</v>
      </c>
      <c r="E1346" s="119" t="s">
        <v>6850</v>
      </c>
    </row>
    <row r="1347" spans="1:5" x14ac:dyDescent="0.25">
      <c r="A1347" s="119">
        <v>1453</v>
      </c>
      <c r="B1347" s="119" t="s">
        <v>6849</v>
      </c>
      <c r="C1347" s="119" t="s">
        <v>5218</v>
      </c>
      <c r="D1347" s="119" t="s">
        <v>78</v>
      </c>
      <c r="E1347" s="119" t="s">
        <v>6850</v>
      </c>
    </row>
    <row r="1348" spans="1:5" x14ac:dyDescent="0.25">
      <c r="A1348" s="119">
        <v>1454</v>
      </c>
      <c r="B1348" s="119" t="s">
        <v>6849</v>
      </c>
      <c r="C1348" s="119" t="s">
        <v>5218</v>
      </c>
      <c r="D1348" s="119" t="s">
        <v>78</v>
      </c>
      <c r="E1348" s="119" t="s">
        <v>6850</v>
      </c>
    </row>
    <row r="1349" spans="1:5" x14ac:dyDescent="0.25">
      <c r="A1349" s="119">
        <v>1461</v>
      </c>
      <c r="B1349" s="119" t="s">
        <v>6849</v>
      </c>
      <c r="C1349" s="119" t="s">
        <v>5218</v>
      </c>
      <c r="D1349" s="119" t="s">
        <v>78</v>
      </c>
      <c r="E1349" s="119" t="s">
        <v>6850</v>
      </c>
    </row>
    <row r="1350" spans="1:5" x14ac:dyDescent="0.25">
      <c r="A1350" s="119">
        <v>1472</v>
      </c>
      <c r="B1350" s="119" t="s">
        <v>6849</v>
      </c>
      <c r="C1350" s="119" t="s">
        <v>6126</v>
      </c>
      <c r="D1350" s="119" t="s">
        <v>47</v>
      </c>
      <c r="E1350" s="119" t="s">
        <v>6850</v>
      </c>
    </row>
    <row r="1351" spans="1:5" x14ac:dyDescent="0.25">
      <c r="A1351" s="119">
        <v>1475</v>
      </c>
      <c r="B1351" s="119" t="s">
        <v>6849</v>
      </c>
      <c r="C1351" s="119" t="s">
        <v>5218</v>
      </c>
      <c r="D1351" s="119" t="s">
        <v>78</v>
      </c>
      <c r="E1351" s="119" t="s">
        <v>6850</v>
      </c>
    </row>
    <row r="1352" spans="1:5" x14ac:dyDescent="0.25">
      <c r="A1352" s="119">
        <v>1476</v>
      </c>
      <c r="B1352" s="119" t="s">
        <v>6849</v>
      </c>
      <c r="C1352" s="119" t="s">
        <v>5218</v>
      </c>
      <c r="D1352" s="119" t="s">
        <v>78</v>
      </c>
      <c r="E1352" s="119" t="s">
        <v>6850</v>
      </c>
    </row>
    <row r="1353" spans="1:5" x14ac:dyDescent="0.25">
      <c r="A1353" s="119">
        <v>1477</v>
      </c>
      <c r="B1353" s="119" t="s">
        <v>6849</v>
      </c>
      <c r="C1353" s="119" t="s">
        <v>6126</v>
      </c>
      <c r="D1353" s="119" t="s">
        <v>47</v>
      </c>
      <c r="E1353" s="119" t="s">
        <v>6850</v>
      </c>
    </row>
    <row r="1354" spans="1:5" x14ac:dyDescent="0.25">
      <c r="A1354" s="119">
        <v>1478</v>
      </c>
      <c r="B1354" s="119" t="s">
        <v>6849</v>
      </c>
      <c r="C1354" s="119" t="s">
        <v>5218</v>
      </c>
      <c r="D1354" s="119" t="s">
        <v>78</v>
      </c>
      <c r="E1354" s="119" t="s">
        <v>6850</v>
      </c>
    </row>
    <row r="1355" spans="1:5" x14ac:dyDescent="0.25">
      <c r="A1355" s="119">
        <v>1480</v>
      </c>
      <c r="B1355" s="119" t="s">
        <v>6849</v>
      </c>
      <c r="C1355" s="119" t="s">
        <v>5218</v>
      </c>
      <c r="D1355" s="119" t="s">
        <v>78</v>
      </c>
      <c r="E1355" s="119" t="s">
        <v>6850</v>
      </c>
    </row>
    <row r="1356" spans="1:5" x14ac:dyDescent="0.25">
      <c r="A1356" s="119">
        <v>1481</v>
      </c>
      <c r="B1356" s="119" t="s">
        <v>6849</v>
      </c>
      <c r="C1356" s="119" t="s">
        <v>5218</v>
      </c>
      <c r="D1356" s="119" t="s">
        <v>78</v>
      </c>
      <c r="E1356" s="119" t="s">
        <v>6850</v>
      </c>
    </row>
    <row r="1357" spans="1:5" x14ac:dyDescent="0.25">
      <c r="A1357" s="119">
        <v>1482</v>
      </c>
      <c r="B1357" s="119" t="s">
        <v>6849</v>
      </c>
      <c r="C1357" s="119" t="s">
        <v>5218</v>
      </c>
      <c r="D1357" s="119" t="s">
        <v>78</v>
      </c>
      <c r="E1357" s="119" t="s">
        <v>6850</v>
      </c>
    </row>
    <row r="1358" spans="1:5" x14ac:dyDescent="0.25">
      <c r="A1358" s="119">
        <v>1483</v>
      </c>
      <c r="B1358" s="119" t="s">
        <v>6849</v>
      </c>
      <c r="C1358" s="119" t="s">
        <v>5218</v>
      </c>
      <c r="D1358" s="119" t="s">
        <v>78</v>
      </c>
      <c r="E1358" s="119" t="s">
        <v>6850</v>
      </c>
    </row>
    <row r="1359" spans="1:5" x14ac:dyDescent="0.25">
      <c r="A1359" s="119">
        <v>1484</v>
      </c>
      <c r="B1359" s="119" t="s">
        <v>6849</v>
      </c>
      <c r="C1359" s="119" t="s">
        <v>5218</v>
      </c>
      <c r="D1359" s="119" t="s">
        <v>78</v>
      </c>
      <c r="E1359" s="119" t="s">
        <v>6850</v>
      </c>
    </row>
    <row r="1360" spans="1:5" x14ac:dyDescent="0.25">
      <c r="A1360" s="119">
        <v>1485</v>
      </c>
      <c r="B1360" s="119" t="s">
        <v>6849</v>
      </c>
      <c r="C1360" s="119" t="s">
        <v>5218</v>
      </c>
      <c r="D1360" s="119" t="s">
        <v>78</v>
      </c>
      <c r="E1360" s="119" t="s">
        <v>6850</v>
      </c>
    </row>
    <row r="1361" spans="1:5" x14ac:dyDescent="0.25">
      <c r="A1361" s="119">
        <v>1489</v>
      </c>
      <c r="B1361" s="119" t="s">
        <v>6849</v>
      </c>
      <c r="C1361" s="119" t="s">
        <v>5218</v>
      </c>
      <c r="D1361" s="119" t="s">
        <v>78</v>
      </c>
      <c r="E1361" s="119" t="s">
        <v>6850</v>
      </c>
    </row>
    <row r="1362" spans="1:5" x14ac:dyDescent="0.25">
      <c r="A1362" s="119">
        <v>1490</v>
      </c>
      <c r="B1362" s="119" t="s">
        <v>6849</v>
      </c>
      <c r="C1362" s="119" t="s">
        <v>5218</v>
      </c>
      <c r="D1362" s="119" t="s">
        <v>78</v>
      </c>
      <c r="E1362" s="119" t="s">
        <v>6850</v>
      </c>
    </row>
    <row r="1363" spans="1:5" x14ac:dyDescent="0.25">
      <c r="A1363" s="119">
        <v>1491</v>
      </c>
      <c r="B1363" s="119" t="s">
        <v>6849</v>
      </c>
      <c r="C1363" s="119" t="s">
        <v>5218</v>
      </c>
      <c r="D1363" s="119" t="s">
        <v>78</v>
      </c>
      <c r="E1363" s="119" t="s">
        <v>6850</v>
      </c>
    </row>
    <row r="1364" spans="1:5" x14ac:dyDescent="0.25">
      <c r="A1364" s="119">
        <v>1492</v>
      </c>
      <c r="B1364" s="119" t="s">
        <v>6849</v>
      </c>
      <c r="C1364" s="119" t="s">
        <v>5218</v>
      </c>
      <c r="D1364" s="119" t="s">
        <v>78</v>
      </c>
      <c r="E1364" s="119" t="s">
        <v>6850</v>
      </c>
    </row>
    <row r="1365" spans="1:5" x14ac:dyDescent="0.25">
      <c r="A1365" s="119">
        <v>1493</v>
      </c>
      <c r="B1365" s="119" t="s">
        <v>6849</v>
      </c>
      <c r="C1365" s="119" t="s">
        <v>5218</v>
      </c>
      <c r="D1365" s="119" t="s">
        <v>78</v>
      </c>
      <c r="E1365" s="119" t="s">
        <v>6850</v>
      </c>
    </row>
    <row r="1366" spans="1:5" x14ac:dyDescent="0.25">
      <c r="A1366" s="119">
        <v>1494</v>
      </c>
      <c r="B1366" s="119" t="s">
        <v>6849</v>
      </c>
      <c r="C1366" s="119" t="s">
        <v>5218</v>
      </c>
      <c r="D1366" s="119" t="s">
        <v>78</v>
      </c>
      <c r="E1366" s="119" t="s">
        <v>6850</v>
      </c>
    </row>
    <row r="1367" spans="1:5" x14ac:dyDescent="0.25">
      <c r="A1367" s="119">
        <v>1495</v>
      </c>
      <c r="B1367" s="119" t="s">
        <v>6849</v>
      </c>
      <c r="C1367" s="119" t="s">
        <v>5218</v>
      </c>
      <c r="D1367" s="119" t="s">
        <v>78</v>
      </c>
      <c r="E1367" s="119" t="s">
        <v>6850</v>
      </c>
    </row>
    <row r="1368" spans="1:5" x14ac:dyDescent="0.25">
      <c r="A1368" s="119">
        <v>1501</v>
      </c>
      <c r="B1368" s="119" t="s">
        <v>6849</v>
      </c>
      <c r="C1368" s="119" t="s">
        <v>5218</v>
      </c>
      <c r="D1368" s="119" t="s">
        <v>78</v>
      </c>
      <c r="E1368" s="119" t="s">
        <v>6850</v>
      </c>
    </row>
    <row r="1369" spans="1:5" x14ac:dyDescent="0.25">
      <c r="A1369" s="119">
        <v>1502</v>
      </c>
      <c r="B1369" s="119" t="s">
        <v>6849</v>
      </c>
      <c r="C1369" s="119" t="s">
        <v>5218</v>
      </c>
      <c r="D1369" s="119" t="s">
        <v>78</v>
      </c>
      <c r="E1369" s="119" t="s">
        <v>6850</v>
      </c>
    </row>
    <row r="1370" spans="1:5" x14ac:dyDescent="0.25">
      <c r="A1370" s="119">
        <v>1504</v>
      </c>
      <c r="B1370" s="119" t="s">
        <v>6849</v>
      </c>
      <c r="C1370" s="119" t="s">
        <v>6126</v>
      </c>
      <c r="D1370" s="119" t="s">
        <v>47</v>
      </c>
      <c r="E1370" s="119" t="s">
        <v>6850</v>
      </c>
    </row>
    <row r="1371" spans="1:5" x14ac:dyDescent="0.25">
      <c r="A1371" s="119">
        <v>1514</v>
      </c>
      <c r="B1371" s="119" t="s">
        <v>6849</v>
      </c>
      <c r="C1371" s="119" t="s">
        <v>5218</v>
      </c>
      <c r="D1371" s="119" t="s">
        <v>78</v>
      </c>
      <c r="E1371" s="119" t="s">
        <v>6850</v>
      </c>
    </row>
    <row r="1372" spans="1:5" x14ac:dyDescent="0.25">
      <c r="A1372" s="119">
        <v>1515</v>
      </c>
      <c r="B1372" s="119" t="s">
        <v>6849</v>
      </c>
      <c r="C1372" s="119" t="s">
        <v>5218</v>
      </c>
      <c r="D1372" s="119" t="s">
        <v>78</v>
      </c>
      <c r="E1372" s="119" t="s">
        <v>6850</v>
      </c>
    </row>
    <row r="1373" spans="1:5" x14ac:dyDescent="0.25">
      <c r="A1373" s="119">
        <v>1516</v>
      </c>
      <c r="B1373" s="119" t="s">
        <v>6849</v>
      </c>
      <c r="C1373" s="119" t="s">
        <v>5218</v>
      </c>
      <c r="D1373" s="119" t="s">
        <v>78</v>
      </c>
      <c r="E1373" s="119" t="s">
        <v>6850</v>
      </c>
    </row>
    <row r="1374" spans="1:5" x14ac:dyDescent="0.25">
      <c r="A1374" s="119">
        <v>1519</v>
      </c>
      <c r="B1374" s="119" t="s">
        <v>6849</v>
      </c>
      <c r="C1374" s="119" t="s">
        <v>6126</v>
      </c>
      <c r="D1374" s="119" t="s">
        <v>47</v>
      </c>
      <c r="E1374" s="119" t="s">
        <v>6850</v>
      </c>
    </row>
    <row r="1375" spans="1:5" x14ac:dyDescent="0.25">
      <c r="A1375" s="119">
        <v>1525</v>
      </c>
      <c r="B1375" s="119" t="s">
        <v>6849</v>
      </c>
      <c r="C1375" s="119" t="s">
        <v>6126</v>
      </c>
      <c r="D1375" s="119" t="s">
        <v>47</v>
      </c>
      <c r="E1375" s="119" t="s">
        <v>6850</v>
      </c>
    </row>
    <row r="1376" spans="1:5" x14ac:dyDescent="0.25">
      <c r="A1376" s="119">
        <v>1528</v>
      </c>
      <c r="B1376" s="119" t="s">
        <v>6849</v>
      </c>
      <c r="C1376" s="119" t="s">
        <v>6126</v>
      </c>
      <c r="D1376" s="119" t="s">
        <v>47</v>
      </c>
      <c r="E1376" s="119" t="s">
        <v>6850</v>
      </c>
    </row>
    <row r="1377" spans="1:5" x14ac:dyDescent="0.25">
      <c r="A1377" s="119">
        <v>1577</v>
      </c>
      <c r="B1377" s="119" t="s">
        <v>6849</v>
      </c>
      <c r="C1377" s="119" t="s">
        <v>6126</v>
      </c>
      <c r="D1377" s="119" t="s">
        <v>47</v>
      </c>
      <c r="E1377" s="119" t="s">
        <v>6850</v>
      </c>
    </row>
    <row r="1378" spans="1:5" x14ac:dyDescent="0.25">
      <c r="A1378" s="119">
        <v>1586</v>
      </c>
      <c r="B1378" s="119" t="s">
        <v>6849</v>
      </c>
      <c r="C1378" s="119" t="s">
        <v>6126</v>
      </c>
      <c r="D1378" s="119" t="s">
        <v>47</v>
      </c>
      <c r="E1378" s="119" t="s">
        <v>6850</v>
      </c>
    </row>
    <row r="1379" spans="1:5" x14ac:dyDescent="0.25">
      <c r="A1379" s="119">
        <v>1614</v>
      </c>
      <c r="B1379" s="119" t="s">
        <v>6849</v>
      </c>
      <c r="C1379" s="119" t="s">
        <v>6126</v>
      </c>
      <c r="D1379" s="119" t="s">
        <v>47</v>
      </c>
      <c r="E1379" s="119" t="s">
        <v>6850</v>
      </c>
    </row>
    <row r="1380" spans="1:5" x14ac:dyDescent="0.25">
      <c r="A1380" s="119">
        <v>1653</v>
      </c>
      <c r="B1380" s="119" t="s">
        <v>6849</v>
      </c>
      <c r="C1380" s="119" t="s">
        <v>6126</v>
      </c>
      <c r="D1380" s="119" t="s">
        <v>47</v>
      </c>
      <c r="E1380" s="119" t="s">
        <v>6850</v>
      </c>
    </row>
    <row r="1381" spans="1:5" x14ac:dyDescent="0.25">
      <c r="A1381" s="119">
        <v>1654</v>
      </c>
      <c r="B1381" s="119" t="s">
        <v>6849</v>
      </c>
      <c r="C1381" s="119" t="s">
        <v>6126</v>
      </c>
      <c r="D1381" s="119" t="s">
        <v>47</v>
      </c>
      <c r="E1381" s="119" t="s">
        <v>6850</v>
      </c>
    </row>
    <row r="1382" spans="1:5" x14ac:dyDescent="0.25">
      <c r="A1382" s="119">
        <v>1655</v>
      </c>
      <c r="B1382" s="119" t="s">
        <v>6849</v>
      </c>
      <c r="C1382" s="119" t="s">
        <v>6126</v>
      </c>
      <c r="D1382" s="119" t="s">
        <v>47</v>
      </c>
      <c r="E1382" s="119" t="s">
        <v>6850</v>
      </c>
    </row>
    <row r="1383" spans="1:5" x14ac:dyDescent="0.25">
      <c r="A1383" s="119">
        <v>1775</v>
      </c>
      <c r="B1383" s="119" t="s">
        <v>6849</v>
      </c>
      <c r="C1383" s="119" t="s">
        <v>5218</v>
      </c>
      <c r="D1383" s="119" t="s">
        <v>78</v>
      </c>
      <c r="E1383" s="119" t="s">
        <v>6850</v>
      </c>
    </row>
    <row r="1384" spans="1:5" x14ac:dyDescent="0.25">
      <c r="A1384" s="119">
        <v>1776</v>
      </c>
      <c r="B1384" s="119" t="s">
        <v>6849</v>
      </c>
      <c r="C1384" s="119" t="s">
        <v>5218</v>
      </c>
      <c r="D1384" s="119" t="s">
        <v>78</v>
      </c>
      <c r="E1384" s="119" t="s">
        <v>6850</v>
      </c>
    </row>
    <row r="1385" spans="1:5" x14ac:dyDescent="0.25">
      <c r="A1385" s="119">
        <v>1778</v>
      </c>
      <c r="B1385" s="119" t="s">
        <v>6849</v>
      </c>
      <c r="C1385" s="119" t="s">
        <v>5218</v>
      </c>
      <c r="D1385" s="119" t="s">
        <v>78</v>
      </c>
      <c r="E1385" s="119" t="s">
        <v>6850</v>
      </c>
    </row>
    <row r="1386" spans="1:5" x14ac:dyDescent="0.25">
      <c r="A1386" s="119">
        <v>1779</v>
      </c>
      <c r="B1386" s="119" t="s">
        <v>6849</v>
      </c>
      <c r="C1386" s="119" t="s">
        <v>5218</v>
      </c>
      <c r="D1386" s="119" t="s">
        <v>78</v>
      </c>
      <c r="E1386" s="119" t="s">
        <v>6850</v>
      </c>
    </row>
    <row r="1387" spans="1:5" x14ac:dyDescent="0.25">
      <c r="A1387" s="119">
        <v>1781</v>
      </c>
      <c r="B1387" s="119" t="s">
        <v>6849</v>
      </c>
      <c r="C1387" s="119" t="s">
        <v>5218</v>
      </c>
      <c r="D1387" s="119" t="s">
        <v>78</v>
      </c>
      <c r="E1387" s="119" t="s">
        <v>6850</v>
      </c>
    </row>
    <row r="1388" spans="1:5" x14ac:dyDescent="0.25">
      <c r="A1388" s="119">
        <v>1782</v>
      </c>
      <c r="B1388" s="119" t="s">
        <v>6849</v>
      </c>
      <c r="C1388" s="119" t="s">
        <v>6855</v>
      </c>
      <c r="D1388" s="119" t="s">
        <v>120</v>
      </c>
      <c r="E1388" s="119" t="s">
        <v>6850</v>
      </c>
    </row>
    <row r="1389" spans="1:5" x14ac:dyDescent="0.25">
      <c r="A1389" s="119">
        <v>1783</v>
      </c>
      <c r="B1389" s="119" t="s">
        <v>6849</v>
      </c>
      <c r="C1389" s="119" t="s">
        <v>5218</v>
      </c>
      <c r="D1389" s="119" t="s">
        <v>78</v>
      </c>
      <c r="E1389" s="119" t="s">
        <v>6850</v>
      </c>
    </row>
    <row r="1390" spans="1:5" x14ac:dyDescent="0.25">
      <c r="A1390" s="119">
        <v>1784</v>
      </c>
      <c r="B1390" s="119" t="s">
        <v>6849</v>
      </c>
      <c r="C1390" s="119" t="s">
        <v>5218</v>
      </c>
      <c r="D1390" s="119" t="s">
        <v>78</v>
      </c>
      <c r="E1390" s="119" t="s">
        <v>6850</v>
      </c>
    </row>
    <row r="1391" spans="1:5" x14ac:dyDescent="0.25">
      <c r="A1391" s="119">
        <v>1785</v>
      </c>
      <c r="B1391" s="119" t="s">
        <v>6849</v>
      </c>
      <c r="C1391" s="119" t="s">
        <v>5218</v>
      </c>
      <c r="D1391" s="119" t="s">
        <v>78</v>
      </c>
      <c r="E1391" s="119" t="s">
        <v>6850</v>
      </c>
    </row>
    <row r="1392" spans="1:5" x14ac:dyDescent="0.25">
      <c r="A1392" s="119">
        <v>1786</v>
      </c>
      <c r="B1392" s="119" t="s">
        <v>6849</v>
      </c>
      <c r="C1392" s="119" t="s">
        <v>5218</v>
      </c>
      <c r="D1392" s="119" t="s">
        <v>78</v>
      </c>
      <c r="E1392" s="119" t="s">
        <v>6850</v>
      </c>
    </row>
    <row r="1393" spans="1:5" x14ac:dyDescent="0.25">
      <c r="A1393" s="119">
        <v>1787</v>
      </c>
      <c r="B1393" s="119" t="s">
        <v>6849</v>
      </c>
      <c r="C1393" s="119" t="s">
        <v>6855</v>
      </c>
      <c r="D1393" s="119" t="s">
        <v>120</v>
      </c>
      <c r="E1393" s="119" t="s">
        <v>6850</v>
      </c>
    </row>
    <row r="1394" spans="1:5" x14ac:dyDescent="0.25">
      <c r="A1394" s="119">
        <v>1788</v>
      </c>
      <c r="B1394" s="119" t="s">
        <v>6849</v>
      </c>
      <c r="C1394" s="119" t="s">
        <v>5218</v>
      </c>
      <c r="D1394" s="119" t="s">
        <v>78</v>
      </c>
      <c r="E1394" s="119" t="s">
        <v>6850</v>
      </c>
    </row>
    <row r="1395" spans="1:5" x14ac:dyDescent="0.25">
      <c r="A1395" s="119">
        <v>1789</v>
      </c>
      <c r="B1395" s="119" t="s">
        <v>6849</v>
      </c>
      <c r="C1395" s="119" t="s">
        <v>5218</v>
      </c>
      <c r="D1395" s="119" t="s">
        <v>78</v>
      </c>
      <c r="E1395" s="119" t="s">
        <v>6850</v>
      </c>
    </row>
    <row r="1396" spans="1:5" x14ac:dyDescent="0.25">
      <c r="A1396" s="119">
        <v>1790</v>
      </c>
      <c r="B1396" s="119" t="s">
        <v>6849</v>
      </c>
      <c r="C1396" s="119" t="s">
        <v>5218</v>
      </c>
      <c r="D1396" s="119" t="s">
        <v>78</v>
      </c>
      <c r="E1396" s="119" t="s">
        <v>6850</v>
      </c>
    </row>
    <row r="1397" spans="1:5" x14ac:dyDescent="0.25">
      <c r="A1397" s="119">
        <v>1791</v>
      </c>
      <c r="B1397" s="119" t="s">
        <v>6849</v>
      </c>
      <c r="C1397" s="119" t="s">
        <v>5218</v>
      </c>
      <c r="D1397" s="119" t="s">
        <v>78</v>
      </c>
      <c r="E1397" s="119" t="s">
        <v>6850</v>
      </c>
    </row>
    <row r="1398" spans="1:5" x14ac:dyDescent="0.25">
      <c r="A1398" s="119">
        <v>1792</v>
      </c>
      <c r="B1398" s="119" t="s">
        <v>6849</v>
      </c>
      <c r="C1398" s="119" t="s">
        <v>5218</v>
      </c>
      <c r="D1398" s="119" t="s">
        <v>78</v>
      </c>
      <c r="E1398" s="119" t="s">
        <v>6850</v>
      </c>
    </row>
    <row r="1399" spans="1:5" x14ac:dyDescent="0.25">
      <c r="A1399" s="119">
        <v>1793</v>
      </c>
      <c r="B1399" s="119" t="s">
        <v>6849</v>
      </c>
      <c r="C1399" s="119" t="s">
        <v>5218</v>
      </c>
      <c r="D1399" s="119" t="s">
        <v>78</v>
      </c>
      <c r="E1399" s="119" t="s">
        <v>6850</v>
      </c>
    </row>
    <row r="1400" spans="1:5" x14ac:dyDescent="0.25">
      <c r="A1400" s="119">
        <v>1794</v>
      </c>
      <c r="B1400" s="119" t="s">
        <v>6849</v>
      </c>
      <c r="C1400" s="119" t="s">
        <v>5218</v>
      </c>
      <c r="D1400" s="119" t="s">
        <v>78</v>
      </c>
      <c r="E1400" s="119" t="s">
        <v>6850</v>
      </c>
    </row>
    <row r="1401" spans="1:5" x14ac:dyDescent="0.25">
      <c r="A1401" s="119">
        <v>1795</v>
      </c>
      <c r="B1401" s="119" t="s">
        <v>6849</v>
      </c>
      <c r="C1401" s="119" t="s">
        <v>5218</v>
      </c>
      <c r="D1401" s="119" t="s">
        <v>78</v>
      </c>
      <c r="E1401" s="119" t="s">
        <v>6850</v>
      </c>
    </row>
    <row r="1402" spans="1:5" x14ac:dyDescent="0.25">
      <c r="A1402" s="119">
        <v>1796</v>
      </c>
      <c r="B1402" s="119" t="s">
        <v>6849</v>
      </c>
      <c r="C1402" s="119" t="s">
        <v>5218</v>
      </c>
      <c r="D1402" s="119" t="s">
        <v>78</v>
      </c>
      <c r="E1402" s="119" t="s">
        <v>6850</v>
      </c>
    </row>
    <row r="1403" spans="1:5" x14ac:dyDescent="0.25">
      <c r="A1403" s="119">
        <v>1797</v>
      </c>
      <c r="B1403" s="119" t="s">
        <v>6849</v>
      </c>
      <c r="C1403" s="119" t="s">
        <v>5218</v>
      </c>
      <c r="D1403" s="119" t="s">
        <v>78</v>
      </c>
      <c r="E1403" s="119" t="s">
        <v>6850</v>
      </c>
    </row>
    <row r="1404" spans="1:5" x14ac:dyDescent="0.25">
      <c r="A1404" s="119">
        <v>1798</v>
      </c>
      <c r="B1404" s="119" t="s">
        <v>6849</v>
      </c>
      <c r="C1404" s="119" t="s">
        <v>5218</v>
      </c>
      <c r="D1404" s="119" t="s">
        <v>78</v>
      </c>
      <c r="E1404" s="119" t="s">
        <v>6850</v>
      </c>
    </row>
    <row r="1405" spans="1:5" x14ac:dyDescent="0.25">
      <c r="A1405" s="119">
        <v>1799</v>
      </c>
      <c r="B1405" s="119" t="s">
        <v>6849</v>
      </c>
      <c r="C1405" s="119" t="s">
        <v>5218</v>
      </c>
      <c r="D1405" s="119" t="s">
        <v>78</v>
      </c>
      <c r="E1405" s="119" t="s">
        <v>6850</v>
      </c>
    </row>
    <row r="1406" spans="1:5" x14ac:dyDescent="0.25">
      <c r="A1406" s="119">
        <v>1800</v>
      </c>
      <c r="B1406" s="119" t="s">
        <v>6849</v>
      </c>
      <c r="C1406" s="119" t="s">
        <v>5218</v>
      </c>
      <c r="D1406" s="119" t="s">
        <v>78</v>
      </c>
      <c r="E1406" s="119" t="s">
        <v>6850</v>
      </c>
    </row>
    <row r="1407" spans="1:5" x14ac:dyDescent="0.25">
      <c r="A1407" s="119">
        <v>1801</v>
      </c>
      <c r="B1407" s="119" t="s">
        <v>6849</v>
      </c>
      <c r="C1407" s="119" t="s">
        <v>5218</v>
      </c>
      <c r="D1407" s="119" t="s">
        <v>78</v>
      </c>
      <c r="E1407" s="119" t="s">
        <v>6850</v>
      </c>
    </row>
    <row r="1408" spans="1:5" x14ac:dyDescent="0.25">
      <c r="A1408" s="119">
        <v>1802</v>
      </c>
      <c r="B1408" s="119" t="s">
        <v>6849</v>
      </c>
      <c r="C1408" s="119" t="s">
        <v>5218</v>
      </c>
      <c r="D1408" s="119" t="s">
        <v>78</v>
      </c>
      <c r="E1408" s="119" t="s">
        <v>6850</v>
      </c>
    </row>
    <row r="1409" spans="1:5" x14ac:dyDescent="0.25">
      <c r="A1409" s="119">
        <v>1803</v>
      </c>
      <c r="B1409" s="119" t="s">
        <v>6849</v>
      </c>
      <c r="C1409" s="119" t="s">
        <v>5218</v>
      </c>
      <c r="D1409" s="119" t="s">
        <v>78</v>
      </c>
      <c r="E1409" s="119" t="s">
        <v>6850</v>
      </c>
    </row>
    <row r="1410" spans="1:5" x14ac:dyDescent="0.25">
      <c r="A1410" s="119">
        <v>1804</v>
      </c>
      <c r="B1410" s="119" t="s">
        <v>6849</v>
      </c>
      <c r="C1410" s="119" t="s">
        <v>5218</v>
      </c>
      <c r="D1410" s="119" t="s">
        <v>78</v>
      </c>
      <c r="E1410" s="119" t="s">
        <v>6850</v>
      </c>
    </row>
    <row r="1411" spans="1:5" x14ac:dyDescent="0.25">
      <c r="A1411" s="119">
        <v>1805</v>
      </c>
      <c r="B1411" s="119" t="s">
        <v>6849</v>
      </c>
      <c r="C1411" s="119" t="s">
        <v>5218</v>
      </c>
      <c r="D1411" s="119" t="s">
        <v>78</v>
      </c>
      <c r="E1411" s="119" t="s">
        <v>6850</v>
      </c>
    </row>
    <row r="1412" spans="1:5" x14ac:dyDescent="0.25">
      <c r="A1412" s="119">
        <v>1806</v>
      </c>
      <c r="B1412" s="119" t="s">
        <v>6849</v>
      </c>
      <c r="C1412" s="119" t="s">
        <v>5218</v>
      </c>
      <c r="D1412" s="119" t="s">
        <v>78</v>
      </c>
      <c r="E1412" s="119" t="s">
        <v>6850</v>
      </c>
    </row>
    <row r="1413" spans="1:5" x14ac:dyDescent="0.25">
      <c r="A1413" s="119">
        <v>1807</v>
      </c>
      <c r="B1413" s="119" t="s">
        <v>6849</v>
      </c>
      <c r="C1413" s="119" t="s">
        <v>5218</v>
      </c>
      <c r="D1413" s="119" t="s">
        <v>78</v>
      </c>
      <c r="E1413" s="119" t="s">
        <v>6850</v>
      </c>
    </row>
    <row r="1414" spans="1:5" x14ac:dyDescent="0.25">
      <c r="A1414" s="119">
        <v>1808</v>
      </c>
      <c r="B1414" s="119" t="s">
        <v>6849</v>
      </c>
      <c r="C1414" s="119" t="s">
        <v>5218</v>
      </c>
      <c r="D1414" s="119" t="s">
        <v>78</v>
      </c>
      <c r="E1414" s="119" t="s">
        <v>6850</v>
      </c>
    </row>
    <row r="1415" spans="1:5" x14ac:dyDescent="0.25">
      <c r="A1415" s="119">
        <v>1809</v>
      </c>
      <c r="B1415" s="119" t="s">
        <v>6849</v>
      </c>
      <c r="C1415" s="119" t="s">
        <v>5218</v>
      </c>
      <c r="D1415" s="119" t="s">
        <v>78</v>
      </c>
      <c r="E1415" s="119" t="s">
        <v>6850</v>
      </c>
    </row>
    <row r="1416" spans="1:5" x14ac:dyDescent="0.25">
      <c r="A1416" s="119">
        <v>1811</v>
      </c>
      <c r="B1416" s="119" t="s">
        <v>6849</v>
      </c>
      <c r="C1416" s="119" t="s">
        <v>5218</v>
      </c>
      <c r="D1416" s="119" t="s">
        <v>78</v>
      </c>
      <c r="E1416" s="119" t="s">
        <v>6850</v>
      </c>
    </row>
    <row r="1417" spans="1:5" x14ac:dyDescent="0.25">
      <c r="A1417" s="119">
        <v>1812</v>
      </c>
      <c r="B1417" s="119" t="s">
        <v>6849</v>
      </c>
      <c r="C1417" s="119" t="s">
        <v>5218</v>
      </c>
      <c r="D1417" s="119" t="s">
        <v>78</v>
      </c>
      <c r="E1417" s="119" t="s">
        <v>6850</v>
      </c>
    </row>
    <row r="1418" spans="1:5" x14ac:dyDescent="0.25">
      <c r="A1418" s="119">
        <v>1814</v>
      </c>
      <c r="B1418" s="119" t="s">
        <v>6849</v>
      </c>
      <c r="C1418" s="119" t="s">
        <v>5218</v>
      </c>
      <c r="D1418" s="119" t="s">
        <v>78</v>
      </c>
      <c r="E1418" s="119" t="s">
        <v>6850</v>
      </c>
    </row>
    <row r="1419" spans="1:5" x14ac:dyDescent="0.25">
      <c r="A1419" s="119">
        <v>1815</v>
      </c>
      <c r="B1419" s="119" t="s">
        <v>6849</v>
      </c>
      <c r="C1419" s="119" t="s">
        <v>5218</v>
      </c>
      <c r="D1419" s="119" t="s">
        <v>78</v>
      </c>
      <c r="E1419" s="119" t="s">
        <v>6850</v>
      </c>
    </row>
    <row r="1420" spans="1:5" x14ac:dyDescent="0.25">
      <c r="A1420" s="119">
        <v>1817</v>
      </c>
      <c r="B1420" s="119" t="s">
        <v>6849</v>
      </c>
      <c r="C1420" s="119" t="s">
        <v>5218</v>
      </c>
      <c r="D1420" s="119" t="s">
        <v>78</v>
      </c>
      <c r="E1420" s="119" t="s">
        <v>6850</v>
      </c>
    </row>
    <row r="1421" spans="1:5" x14ac:dyDescent="0.25">
      <c r="A1421" s="119">
        <v>1818</v>
      </c>
      <c r="B1421" s="119" t="s">
        <v>6849</v>
      </c>
      <c r="C1421" s="119" t="s">
        <v>6855</v>
      </c>
      <c r="D1421" s="119" t="s">
        <v>120</v>
      </c>
      <c r="E1421" s="119" t="s">
        <v>6850</v>
      </c>
    </row>
    <row r="1422" spans="1:5" x14ac:dyDescent="0.25">
      <c r="A1422" s="119">
        <v>1819</v>
      </c>
      <c r="B1422" s="119" t="s">
        <v>6849</v>
      </c>
      <c r="C1422" s="119" t="s">
        <v>5218</v>
      </c>
      <c r="D1422" s="119" t="s">
        <v>78</v>
      </c>
      <c r="E1422" s="119" t="s">
        <v>6850</v>
      </c>
    </row>
    <row r="1423" spans="1:5" x14ac:dyDescent="0.25">
      <c r="A1423" s="119">
        <v>1820</v>
      </c>
      <c r="B1423" s="119" t="s">
        <v>6849</v>
      </c>
      <c r="C1423" s="119" t="s">
        <v>5218</v>
      </c>
      <c r="D1423" s="119" t="s">
        <v>78</v>
      </c>
      <c r="E1423" s="119" t="s">
        <v>6850</v>
      </c>
    </row>
    <row r="1424" spans="1:5" x14ac:dyDescent="0.25">
      <c r="A1424" s="119">
        <v>1821</v>
      </c>
      <c r="B1424" s="119" t="s">
        <v>6849</v>
      </c>
      <c r="C1424" s="119" t="s">
        <v>5218</v>
      </c>
      <c r="D1424" s="119" t="s">
        <v>78</v>
      </c>
      <c r="E1424" s="119" t="s">
        <v>6850</v>
      </c>
    </row>
    <row r="1425" spans="1:5" x14ac:dyDescent="0.25">
      <c r="A1425" s="119">
        <v>1822</v>
      </c>
      <c r="B1425" s="119" t="s">
        <v>6849</v>
      </c>
      <c r="C1425" s="119" t="s">
        <v>5218</v>
      </c>
      <c r="D1425" s="119" t="s">
        <v>78</v>
      </c>
      <c r="E1425" s="119" t="s">
        <v>6850</v>
      </c>
    </row>
    <row r="1426" spans="1:5" x14ac:dyDescent="0.25">
      <c r="A1426" s="119">
        <v>1823</v>
      </c>
      <c r="B1426" s="119" t="s">
        <v>6849</v>
      </c>
      <c r="C1426" s="119" t="s">
        <v>5218</v>
      </c>
      <c r="D1426" s="119" t="s">
        <v>78</v>
      </c>
      <c r="E1426" s="119" t="s">
        <v>6850</v>
      </c>
    </row>
    <row r="1427" spans="1:5" x14ac:dyDescent="0.25">
      <c r="A1427" s="119">
        <v>1824</v>
      </c>
      <c r="B1427" s="119" t="s">
        <v>6849</v>
      </c>
      <c r="C1427" s="119" t="s">
        <v>5218</v>
      </c>
      <c r="D1427" s="119" t="s">
        <v>78</v>
      </c>
      <c r="E1427" s="119" t="s">
        <v>6850</v>
      </c>
    </row>
    <row r="1428" spans="1:5" x14ac:dyDescent="0.25">
      <c r="A1428" s="119">
        <v>1825</v>
      </c>
      <c r="B1428" s="119" t="s">
        <v>6849</v>
      </c>
      <c r="C1428" s="119" t="s">
        <v>5218</v>
      </c>
      <c r="D1428" s="119" t="s">
        <v>78</v>
      </c>
      <c r="E1428" s="119" t="s">
        <v>6850</v>
      </c>
    </row>
    <row r="1429" spans="1:5" x14ac:dyDescent="0.25">
      <c r="A1429" s="119">
        <v>1826</v>
      </c>
      <c r="B1429" s="119" t="s">
        <v>6849</v>
      </c>
      <c r="C1429" s="119" t="s">
        <v>5218</v>
      </c>
      <c r="D1429" s="119" t="s">
        <v>78</v>
      </c>
      <c r="E1429" s="119" t="s">
        <v>6850</v>
      </c>
    </row>
    <row r="1430" spans="1:5" x14ac:dyDescent="0.25">
      <c r="A1430" s="119">
        <v>1827</v>
      </c>
      <c r="B1430" s="119" t="s">
        <v>6849</v>
      </c>
      <c r="C1430" s="119" t="s">
        <v>5218</v>
      </c>
      <c r="D1430" s="119" t="s">
        <v>78</v>
      </c>
      <c r="E1430" s="119" t="s">
        <v>6850</v>
      </c>
    </row>
    <row r="1431" spans="1:5" x14ac:dyDescent="0.25">
      <c r="A1431" s="119">
        <v>1828</v>
      </c>
      <c r="B1431" s="119" t="s">
        <v>6849</v>
      </c>
      <c r="C1431" s="119" t="s">
        <v>6855</v>
      </c>
      <c r="D1431" s="119" t="s">
        <v>120</v>
      </c>
      <c r="E1431" s="119" t="s">
        <v>6850</v>
      </c>
    </row>
    <row r="1432" spans="1:5" x14ac:dyDescent="0.25">
      <c r="A1432" s="119">
        <v>1829</v>
      </c>
      <c r="B1432" s="119" t="s">
        <v>6849</v>
      </c>
      <c r="C1432" s="119" t="s">
        <v>5218</v>
      </c>
      <c r="D1432" s="119" t="s">
        <v>78</v>
      </c>
      <c r="E1432" s="119" t="s">
        <v>6850</v>
      </c>
    </row>
    <row r="1433" spans="1:5" x14ac:dyDescent="0.25">
      <c r="A1433" s="119">
        <v>1830</v>
      </c>
      <c r="B1433" s="119" t="s">
        <v>6849</v>
      </c>
      <c r="C1433" s="119" t="s">
        <v>5218</v>
      </c>
      <c r="D1433" s="119" t="s">
        <v>78</v>
      </c>
      <c r="E1433" s="119" t="s">
        <v>6850</v>
      </c>
    </row>
    <row r="1434" spans="1:5" x14ac:dyDescent="0.25">
      <c r="A1434" s="119">
        <v>1831</v>
      </c>
      <c r="B1434" s="119" t="s">
        <v>6849</v>
      </c>
      <c r="C1434" s="119" t="s">
        <v>5218</v>
      </c>
      <c r="D1434" s="119" t="s">
        <v>78</v>
      </c>
      <c r="E1434" s="119" t="s">
        <v>6850</v>
      </c>
    </row>
    <row r="1435" spans="1:5" x14ac:dyDescent="0.25">
      <c r="A1435" s="119">
        <v>1832</v>
      </c>
      <c r="B1435" s="119" t="s">
        <v>6849</v>
      </c>
      <c r="C1435" s="119" t="s">
        <v>5218</v>
      </c>
      <c r="D1435" s="119" t="s">
        <v>78</v>
      </c>
      <c r="E1435" s="119" t="s">
        <v>6850</v>
      </c>
    </row>
    <row r="1436" spans="1:5" x14ac:dyDescent="0.25">
      <c r="A1436" s="119">
        <v>1833</v>
      </c>
      <c r="B1436" s="119" t="s">
        <v>6849</v>
      </c>
      <c r="C1436" s="119" t="s">
        <v>5218</v>
      </c>
      <c r="D1436" s="119" t="s">
        <v>78</v>
      </c>
      <c r="E1436" s="119" t="s">
        <v>6850</v>
      </c>
    </row>
    <row r="1437" spans="1:5" x14ac:dyDescent="0.25">
      <c r="A1437" s="119">
        <v>1834</v>
      </c>
      <c r="B1437" s="119" t="s">
        <v>6849</v>
      </c>
      <c r="C1437" s="119" t="s">
        <v>5218</v>
      </c>
      <c r="D1437" s="119" t="s">
        <v>78</v>
      </c>
      <c r="E1437" s="119" t="s">
        <v>6850</v>
      </c>
    </row>
    <row r="1438" spans="1:5" x14ac:dyDescent="0.25">
      <c r="A1438" s="119">
        <v>1835</v>
      </c>
      <c r="B1438" s="119" t="s">
        <v>6849</v>
      </c>
      <c r="C1438" s="119" t="s">
        <v>6855</v>
      </c>
      <c r="D1438" s="119" t="s">
        <v>120</v>
      </c>
      <c r="E1438" s="119" t="s">
        <v>6850</v>
      </c>
    </row>
    <row r="1439" spans="1:5" x14ac:dyDescent="0.25">
      <c r="A1439" s="119">
        <v>1836</v>
      </c>
      <c r="B1439" s="119" t="s">
        <v>6849</v>
      </c>
      <c r="C1439" s="119" t="s">
        <v>5218</v>
      </c>
      <c r="D1439" s="119" t="s">
        <v>78</v>
      </c>
      <c r="E1439" s="119" t="s">
        <v>6850</v>
      </c>
    </row>
    <row r="1440" spans="1:5" x14ac:dyDescent="0.25">
      <c r="A1440" s="119">
        <v>1837</v>
      </c>
      <c r="B1440" s="119" t="s">
        <v>6849</v>
      </c>
      <c r="C1440" s="119" t="s">
        <v>5218</v>
      </c>
      <c r="D1440" s="119" t="s">
        <v>78</v>
      </c>
      <c r="E1440" s="119" t="s">
        <v>6850</v>
      </c>
    </row>
    <row r="1441" spans="1:5" x14ac:dyDescent="0.25">
      <c r="A1441" s="119">
        <v>1838</v>
      </c>
      <c r="B1441" s="119" t="s">
        <v>6849</v>
      </c>
      <c r="C1441" s="119" t="s">
        <v>5218</v>
      </c>
      <c r="D1441" s="119" t="s">
        <v>78</v>
      </c>
      <c r="E1441" s="119" t="s">
        <v>6850</v>
      </c>
    </row>
    <row r="1442" spans="1:5" x14ac:dyDescent="0.25">
      <c r="A1442" s="119">
        <v>1839</v>
      </c>
      <c r="B1442" s="119" t="s">
        <v>6849</v>
      </c>
      <c r="C1442" s="119" t="s">
        <v>5218</v>
      </c>
      <c r="D1442" s="119" t="s">
        <v>78</v>
      </c>
      <c r="E1442" s="119" t="s">
        <v>6850</v>
      </c>
    </row>
    <row r="1443" spans="1:5" x14ac:dyDescent="0.25">
      <c r="A1443" s="119">
        <v>1840</v>
      </c>
      <c r="B1443" s="119" t="s">
        <v>6849</v>
      </c>
      <c r="C1443" s="119" t="s">
        <v>6855</v>
      </c>
      <c r="D1443" s="119" t="s">
        <v>120</v>
      </c>
      <c r="E1443" s="119" t="s">
        <v>6850</v>
      </c>
    </row>
    <row r="1444" spans="1:5" x14ac:dyDescent="0.25">
      <c r="A1444" s="119">
        <v>1841</v>
      </c>
      <c r="B1444" s="119" t="s">
        <v>6849</v>
      </c>
      <c r="C1444" s="119" t="s">
        <v>5218</v>
      </c>
      <c r="D1444" s="119" t="s">
        <v>78</v>
      </c>
      <c r="E1444" s="119" t="s">
        <v>6850</v>
      </c>
    </row>
    <row r="1445" spans="1:5" x14ac:dyDescent="0.25">
      <c r="A1445" s="119">
        <v>1842</v>
      </c>
      <c r="B1445" s="119" t="s">
        <v>6849</v>
      </c>
      <c r="C1445" s="119" t="s">
        <v>5218</v>
      </c>
      <c r="D1445" s="119" t="s">
        <v>78</v>
      </c>
      <c r="E1445" s="119" t="s">
        <v>6850</v>
      </c>
    </row>
    <row r="1446" spans="1:5" x14ac:dyDescent="0.25">
      <c r="A1446" s="119">
        <v>1843</v>
      </c>
      <c r="B1446" s="119" t="s">
        <v>6849</v>
      </c>
      <c r="C1446" s="119" t="s">
        <v>5218</v>
      </c>
      <c r="D1446" s="119" t="s">
        <v>78</v>
      </c>
      <c r="E1446" s="119" t="s">
        <v>6850</v>
      </c>
    </row>
    <row r="1447" spans="1:5" x14ac:dyDescent="0.25">
      <c r="A1447" s="119">
        <v>1844</v>
      </c>
      <c r="B1447" s="119" t="s">
        <v>6849</v>
      </c>
      <c r="C1447" s="119" t="s">
        <v>5218</v>
      </c>
      <c r="D1447" s="119" t="s">
        <v>78</v>
      </c>
      <c r="E1447" s="119" t="s">
        <v>6850</v>
      </c>
    </row>
    <row r="1448" spans="1:5" x14ac:dyDescent="0.25">
      <c r="A1448" s="119">
        <v>1846</v>
      </c>
      <c r="B1448" s="119" t="s">
        <v>6849</v>
      </c>
      <c r="C1448" s="119" t="s">
        <v>5218</v>
      </c>
      <c r="D1448" s="119" t="s">
        <v>78</v>
      </c>
      <c r="E1448" s="119" t="s">
        <v>6850</v>
      </c>
    </row>
    <row r="1449" spans="1:5" x14ac:dyDescent="0.25">
      <c r="A1449" s="119">
        <v>1848</v>
      </c>
      <c r="B1449" s="119" t="s">
        <v>6849</v>
      </c>
      <c r="C1449" s="119" t="s">
        <v>5218</v>
      </c>
      <c r="D1449" s="119" t="s">
        <v>78</v>
      </c>
      <c r="E1449" s="119" t="s">
        <v>6850</v>
      </c>
    </row>
    <row r="1450" spans="1:5" x14ac:dyDescent="0.25">
      <c r="A1450" s="119">
        <v>1849</v>
      </c>
      <c r="B1450" s="119" t="s">
        <v>6849</v>
      </c>
      <c r="C1450" s="119" t="s">
        <v>5218</v>
      </c>
      <c r="D1450" s="119" t="s">
        <v>78</v>
      </c>
      <c r="E1450" s="119" t="s">
        <v>6850</v>
      </c>
    </row>
    <row r="1451" spans="1:5" x14ac:dyDescent="0.25">
      <c r="A1451" s="119">
        <v>1850</v>
      </c>
      <c r="B1451" s="119" t="s">
        <v>6849</v>
      </c>
      <c r="C1451" s="119" t="s">
        <v>5218</v>
      </c>
      <c r="D1451" s="119" t="s">
        <v>78</v>
      </c>
      <c r="E1451" s="119" t="s">
        <v>6850</v>
      </c>
    </row>
    <row r="1452" spans="1:5" x14ac:dyDescent="0.25">
      <c r="A1452" s="119">
        <v>1851</v>
      </c>
      <c r="B1452" s="119" t="s">
        <v>6849</v>
      </c>
      <c r="C1452" s="119" t="s">
        <v>5218</v>
      </c>
      <c r="D1452" s="119" t="s">
        <v>78</v>
      </c>
      <c r="E1452" s="119" t="s">
        <v>6850</v>
      </c>
    </row>
    <row r="1453" spans="1:5" x14ac:dyDescent="0.25">
      <c r="A1453" s="119">
        <v>1852</v>
      </c>
      <c r="B1453" s="119" t="s">
        <v>6849</v>
      </c>
      <c r="C1453" s="119" t="s">
        <v>5218</v>
      </c>
      <c r="D1453" s="119" t="s">
        <v>78</v>
      </c>
      <c r="E1453" s="119" t="s">
        <v>6850</v>
      </c>
    </row>
    <row r="1454" spans="1:5" x14ac:dyDescent="0.25">
      <c r="A1454" s="119">
        <v>1853</v>
      </c>
      <c r="B1454" s="119" t="s">
        <v>6849</v>
      </c>
      <c r="C1454" s="119" t="s">
        <v>5218</v>
      </c>
      <c r="D1454" s="119" t="s">
        <v>78</v>
      </c>
      <c r="E1454" s="119" t="s">
        <v>6850</v>
      </c>
    </row>
    <row r="1455" spans="1:5" x14ac:dyDescent="0.25">
      <c r="A1455" s="119">
        <v>1854</v>
      </c>
      <c r="B1455" s="119" t="s">
        <v>6849</v>
      </c>
      <c r="C1455" s="119" t="s">
        <v>5218</v>
      </c>
      <c r="D1455" s="119" t="s">
        <v>78</v>
      </c>
      <c r="E1455" s="119" t="s">
        <v>6850</v>
      </c>
    </row>
    <row r="1456" spans="1:5" x14ac:dyDescent="0.25">
      <c r="A1456" s="119">
        <v>1855</v>
      </c>
      <c r="B1456" s="119" t="s">
        <v>6849</v>
      </c>
      <c r="C1456" s="119" t="s">
        <v>5218</v>
      </c>
      <c r="D1456" s="119" t="s">
        <v>78</v>
      </c>
      <c r="E1456" s="119" t="s">
        <v>6850</v>
      </c>
    </row>
    <row r="1457" spans="1:5" x14ac:dyDescent="0.25">
      <c r="A1457" s="119">
        <v>1856</v>
      </c>
      <c r="B1457" s="119" t="s">
        <v>6849</v>
      </c>
      <c r="C1457" s="119" t="s">
        <v>5218</v>
      </c>
      <c r="D1457" s="119" t="s">
        <v>78</v>
      </c>
      <c r="E1457" s="119" t="s">
        <v>6850</v>
      </c>
    </row>
    <row r="1458" spans="1:5" x14ac:dyDescent="0.25">
      <c r="A1458" s="119">
        <v>1874</v>
      </c>
      <c r="B1458" s="119" t="s">
        <v>6849</v>
      </c>
      <c r="C1458" s="119" t="s">
        <v>5218</v>
      </c>
      <c r="D1458" s="119" t="s">
        <v>78</v>
      </c>
      <c r="E1458" s="119" t="s">
        <v>6850</v>
      </c>
    </row>
    <row r="1459" spans="1:5" x14ac:dyDescent="0.25">
      <c r="A1459" s="119">
        <v>1875</v>
      </c>
      <c r="B1459" s="119" t="s">
        <v>6849</v>
      </c>
      <c r="C1459" s="119" t="s">
        <v>5218</v>
      </c>
      <c r="D1459" s="119" t="s">
        <v>78</v>
      </c>
      <c r="E1459" s="119" t="s">
        <v>6850</v>
      </c>
    </row>
    <row r="1460" spans="1:5" x14ac:dyDescent="0.25">
      <c r="A1460" s="119">
        <v>1876</v>
      </c>
      <c r="B1460" s="119" t="s">
        <v>6849</v>
      </c>
      <c r="C1460" s="119" t="s">
        <v>5218</v>
      </c>
      <c r="D1460" s="119" t="s">
        <v>78</v>
      </c>
      <c r="E1460" s="119" t="s">
        <v>6850</v>
      </c>
    </row>
    <row r="1461" spans="1:5" x14ac:dyDescent="0.25">
      <c r="A1461" s="119">
        <v>1877</v>
      </c>
      <c r="B1461" s="119" t="s">
        <v>6849</v>
      </c>
      <c r="C1461" s="119" t="s">
        <v>5218</v>
      </c>
      <c r="D1461" s="119" t="s">
        <v>78</v>
      </c>
      <c r="E1461" s="119" t="s">
        <v>6850</v>
      </c>
    </row>
    <row r="1462" spans="1:5" x14ac:dyDescent="0.25">
      <c r="A1462" s="119">
        <v>1878</v>
      </c>
      <c r="B1462" s="119" t="s">
        <v>6849</v>
      </c>
      <c r="C1462" s="119" t="s">
        <v>5218</v>
      </c>
      <c r="D1462" s="119" t="s">
        <v>78</v>
      </c>
      <c r="E1462" s="119" t="s">
        <v>6850</v>
      </c>
    </row>
    <row r="1463" spans="1:5" x14ac:dyDescent="0.25">
      <c r="A1463" s="119">
        <v>1879</v>
      </c>
      <c r="B1463" s="119" t="s">
        <v>6849</v>
      </c>
      <c r="C1463" s="119" t="s">
        <v>5218</v>
      </c>
      <c r="D1463" s="119" t="s">
        <v>78</v>
      </c>
      <c r="E1463" s="119" t="s">
        <v>6850</v>
      </c>
    </row>
    <row r="1464" spans="1:5" x14ac:dyDescent="0.25">
      <c r="A1464" s="119">
        <v>1880</v>
      </c>
      <c r="B1464" s="119" t="s">
        <v>6849</v>
      </c>
      <c r="C1464" s="119" t="s">
        <v>5218</v>
      </c>
      <c r="D1464" s="119" t="s">
        <v>78</v>
      </c>
      <c r="E1464" s="119" t="s">
        <v>6850</v>
      </c>
    </row>
    <row r="1465" spans="1:5" x14ac:dyDescent="0.25">
      <c r="A1465" s="119">
        <v>1881</v>
      </c>
      <c r="B1465" s="119" t="s">
        <v>6849</v>
      </c>
      <c r="C1465" s="119" t="s">
        <v>5218</v>
      </c>
      <c r="D1465" s="119" t="s">
        <v>78</v>
      </c>
      <c r="E1465" s="119" t="s">
        <v>6850</v>
      </c>
    </row>
    <row r="1466" spans="1:5" x14ac:dyDescent="0.25">
      <c r="A1466" s="119">
        <v>1882</v>
      </c>
      <c r="B1466" s="119" t="s">
        <v>6849</v>
      </c>
      <c r="C1466" s="119" t="s">
        <v>5218</v>
      </c>
      <c r="D1466" s="119" t="s">
        <v>78</v>
      </c>
      <c r="E1466" s="119" t="s">
        <v>6850</v>
      </c>
    </row>
    <row r="1467" spans="1:5" x14ac:dyDescent="0.25">
      <c r="A1467" s="119">
        <v>1897</v>
      </c>
      <c r="B1467" s="119" t="s">
        <v>6849</v>
      </c>
      <c r="C1467" s="119" t="s">
        <v>5218</v>
      </c>
      <c r="D1467" s="119" t="s">
        <v>78</v>
      </c>
      <c r="E1467" s="119" t="s">
        <v>6850</v>
      </c>
    </row>
    <row r="1468" spans="1:5" x14ac:dyDescent="0.25">
      <c r="A1468" s="119">
        <v>1898</v>
      </c>
      <c r="B1468" s="119" t="s">
        <v>6849</v>
      </c>
      <c r="C1468" s="119" t="s">
        <v>5218</v>
      </c>
      <c r="D1468" s="119" t="s">
        <v>78</v>
      </c>
      <c r="E1468" s="119" t="s">
        <v>6850</v>
      </c>
    </row>
    <row r="1469" spans="1:5" x14ac:dyDescent="0.25">
      <c r="A1469" s="119">
        <v>1899</v>
      </c>
      <c r="B1469" s="119" t="s">
        <v>6849</v>
      </c>
      <c r="C1469" s="119" t="s">
        <v>5218</v>
      </c>
      <c r="D1469" s="119" t="s">
        <v>78</v>
      </c>
      <c r="E1469" s="119" t="s">
        <v>6850</v>
      </c>
    </row>
    <row r="1470" spans="1:5" x14ac:dyDescent="0.25">
      <c r="A1470" s="119">
        <v>1902</v>
      </c>
      <c r="B1470" s="119" t="s">
        <v>6849</v>
      </c>
      <c r="C1470" s="119" t="s">
        <v>6126</v>
      </c>
      <c r="D1470" s="119" t="s">
        <v>47</v>
      </c>
      <c r="E1470" s="119" t="s">
        <v>6850</v>
      </c>
    </row>
    <row r="1471" spans="1:5" x14ac:dyDescent="0.25">
      <c r="A1471" s="119">
        <v>1908</v>
      </c>
      <c r="B1471" s="119" t="s">
        <v>6849</v>
      </c>
      <c r="C1471" s="119" t="s">
        <v>6126</v>
      </c>
      <c r="D1471" s="119" t="s">
        <v>47</v>
      </c>
      <c r="E1471" s="119" t="s">
        <v>6850</v>
      </c>
    </row>
    <row r="1472" spans="1:5" x14ac:dyDescent="0.25">
      <c r="A1472" s="119">
        <v>1939</v>
      </c>
      <c r="B1472" s="119" t="s">
        <v>6849</v>
      </c>
      <c r="C1472" s="119" t="s">
        <v>6126</v>
      </c>
      <c r="D1472" s="119" t="s">
        <v>47</v>
      </c>
      <c r="E1472" s="119" t="s">
        <v>6850</v>
      </c>
    </row>
    <row r="1473" spans="1:5" x14ac:dyDescent="0.25">
      <c r="A1473" s="119">
        <v>1944</v>
      </c>
      <c r="B1473" s="119" t="s">
        <v>6849</v>
      </c>
      <c r="C1473" s="119" t="s">
        <v>6126</v>
      </c>
      <c r="D1473" s="119" t="s">
        <v>47</v>
      </c>
      <c r="E1473" s="119" t="s">
        <v>6850</v>
      </c>
    </row>
    <row r="1474" spans="1:5" x14ac:dyDescent="0.25">
      <c r="A1474" s="119">
        <v>1963</v>
      </c>
      <c r="B1474" s="119" t="s">
        <v>6849</v>
      </c>
      <c r="C1474" s="119" t="s">
        <v>6126</v>
      </c>
      <c r="D1474" s="119" t="s">
        <v>47</v>
      </c>
      <c r="E1474" s="119" t="s">
        <v>6850</v>
      </c>
    </row>
    <row r="1475" spans="1:5" x14ac:dyDescent="0.25">
      <c r="A1475" s="119">
        <v>2079</v>
      </c>
      <c r="B1475" s="119" t="s">
        <v>6849</v>
      </c>
      <c r="C1475" s="119" t="s">
        <v>6126</v>
      </c>
      <c r="D1475" s="119" t="s">
        <v>47</v>
      </c>
      <c r="E1475" s="119" t="s">
        <v>6850</v>
      </c>
    </row>
    <row r="1476" spans="1:5" x14ac:dyDescent="0.25">
      <c r="A1476" s="119">
        <v>2087</v>
      </c>
      <c r="B1476" s="119" t="s">
        <v>6849</v>
      </c>
      <c r="C1476" s="119" t="s">
        <v>6126</v>
      </c>
      <c r="D1476" s="119" t="s">
        <v>47</v>
      </c>
      <c r="E1476" s="119" t="s">
        <v>6850</v>
      </c>
    </row>
    <row r="1477" spans="1:5" x14ac:dyDescent="0.25">
      <c r="A1477" s="119">
        <v>2095</v>
      </c>
      <c r="B1477" s="119" t="s">
        <v>6849</v>
      </c>
      <c r="C1477" s="119" t="s">
        <v>6126</v>
      </c>
      <c r="D1477" s="119" t="s">
        <v>47</v>
      </c>
      <c r="E1477" s="119" t="s">
        <v>6850</v>
      </c>
    </row>
    <row r="1478" spans="1:5" x14ac:dyDescent="0.25">
      <c r="A1478" s="119">
        <v>2104</v>
      </c>
      <c r="B1478" s="119" t="s">
        <v>6849</v>
      </c>
      <c r="C1478" s="119" t="s">
        <v>6126</v>
      </c>
      <c r="D1478" s="119" t="s">
        <v>47</v>
      </c>
      <c r="E1478" s="119" t="s">
        <v>6850</v>
      </c>
    </row>
    <row r="1479" spans="1:5" x14ac:dyDescent="0.25">
      <c r="A1479" s="119">
        <v>2113</v>
      </c>
      <c r="B1479" s="119" t="s">
        <v>6849</v>
      </c>
      <c r="C1479" s="119" t="s">
        <v>6126</v>
      </c>
      <c r="D1479" s="119" t="s">
        <v>47</v>
      </c>
      <c r="E1479" s="119" t="s">
        <v>6850</v>
      </c>
    </row>
    <row r="1480" spans="1:5" x14ac:dyDescent="0.25">
      <c r="A1480" s="119">
        <v>2121</v>
      </c>
      <c r="B1480" s="119" t="s">
        <v>6849</v>
      </c>
      <c r="C1480" s="119" t="s">
        <v>6126</v>
      </c>
      <c r="D1480" s="119" t="s">
        <v>47</v>
      </c>
      <c r="E1480" s="119" t="s">
        <v>6850</v>
      </c>
    </row>
    <row r="1481" spans="1:5" x14ac:dyDescent="0.25">
      <c r="A1481" s="119">
        <v>2148</v>
      </c>
      <c r="B1481" s="119" t="s">
        <v>6849</v>
      </c>
      <c r="C1481" s="119" t="s">
        <v>6126</v>
      </c>
      <c r="D1481" s="119" t="s">
        <v>47</v>
      </c>
      <c r="E1481" s="119" t="s">
        <v>6850</v>
      </c>
    </row>
    <row r="1482" spans="1:5" x14ac:dyDescent="0.25">
      <c r="A1482" s="119">
        <v>2154</v>
      </c>
      <c r="B1482" s="119" t="s">
        <v>6849</v>
      </c>
      <c r="C1482" s="119" t="s">
        <v>6126</v>
      </c>
      <c r="D1482" s="119" t="s">
        <v>47</v>
      </c>
      <c r="E1482" s="119" t="s">
        <v>6850</v>
      </c>
    </row>
    <row r="1483" spans="1:5" x14ac:dyDescent="0.25">
      <c r="A1483" s="119">
        <v>2155</v>
      </c>
      <c r="B1483" s="119" t="s">
        <v>6849</v>
      </c>
      <c r="C1483" s="119" t="s">
        <v>6126</v>
      </c>
      <c r="D1483" s="119" t="s">
        <v>47</v>
      </c>
      <c r="E1483" s="119" t="s">
        <v>6850</v>
      </c>
    </row>
    <row r="1484" spans="1:5" x14ac:dyDescent="0.25">
      <c r="A1484" s="119">
        <v>2156</v>
      </c>
      <c r="B1484" s="119" t="s">
        <v>6849</v>
      </c>
      <c r="C1484" s="119" t="s">
        <v>6126</v>
      </c>
      <c r="D1484" s="119" t="s">
        <v>47</v>
      </c>
      <c r="E1484" s="119" t="s">
        <v>6850</v>
      </c>
    </row>
    <row r="1485" spans="1:5" x14ac:dyDescent="0.25">
      <c r="A1485" s="119">
        <v>2157</v>
      </c>
      <c r="B1485" s="119" t="s">
        <v>6849</v>
      </c>
      <c r="C1485" s="119" t="s">
        <v>6126</v>
      </c>
      <c r="D1485" s="119" t="s">
        <v>47</v>
      </c>
      <c r="E1485" s="119" t="s">
        <v>6850</v>
      </c>
    </row>
    <row r="1486" spans="1:5" x14ac:dyDescent="0.25">
      <c r="A1486" s="119">
        <v>2158</v>
      </c>
      <c r="B1486" s="119" t="s">
        <v>6849</v>
      </c>
      <c r="C1486" s="119" t="s">
        <v>6126</v>
      </c>
      <c r="D1486" s="119" t="s">
        <v>47</v>
      </c>
      <c r="E1486" s="119" t="s">
        <v>6850</v>
      </c>
    </row>
    <row r="1487" spans="1:5" x14ac:dyDescent="0.25">
      <c r="A1487" s="119">
        <v>2159</v>
      </c>
      <c r="B1487" s="119" t="s">
        <v>6849</v>
      </c>
      <c r="C1487" s="119" t="s">
        <v>6126</v>
      </c>
      <c r="D1487" s="119" t="s">
        <v>47</v>
      </c>
      <c r="E1487" s="119" t="s">
        <v>6850</v>
      </c>
    </row>
    <row r="1488" spans="1:5" x14ac:dyDescent="0.25">
      <c r="A1488" s="119">
        <v>2160</v>
      </c>
      <c r="B1488" s="119" t="s">
        <v>6849</v>
      </c>
      <c r="C1488" s="119" t="s">
        <v>6126</v>
      </c>
      <c r="D1488" s="119" t="s">
        <v>47</v>
      </c>
      <c r="E1488" s="119" t="s">
        <v>6850</v>
      </c>
    </row>
    <row r="1489" spans="1:5" x14ac:dyDescent="0.25">
      <c r="A1489" s="119">
        <v>2161</v>
      </c>
      <c r="B1489" s="119" t="s">
        <v>6849</v>
      </c>
      <c r="C1489" s="119" t="s">
        <v>6126</v>
      </c>
      <c r="D1489" s="119" t="s">
        <v>47</v>
      </c>
      <c r="E1489" s="119" t="s">
        <v>6850</v>
      </c>
    </row>
    <row r="1490" spans="1:5" x14ac:dyDescent="0.25">
      <c r="A1490" s="119">
        <v>2162</v>
      </c>
      <c r="B1490" s="119" t="s">
        <v>6849</v>
      </c>
      <c r="C1490" s="119" t="s">
        <v>6126</v>
      </c>
      <c r="D1490" s="119" t="s">
        <v>47</v>
      </c>
      <c r="E1490" s="119" t="s">
        <v>6850</v>
      </c>
    </row>
    <row r="1491" spans="1:5" x14ac:dyDescent="0.25">
      <c r="A1491" s="119">
        <v>2163</v>
      </c>
      <c r="B1491" s="119" t="s">
        <v>6849</v>
      </c>
      <c r="C1491" s="119" t="s">
        <v>6126</v>
      </c>
      <c r="D1491" s="119" t="s">
        <v>47</v>
      </c>
      <c r="E1491" s="119" t="s">
        <v>6850</v>
      </c>
    </row>
    <row r="1492" spans="1:5" x14ac:dyDescent="0.25">
      <c r="A1492" s="119">
        <v>2164</v>
      </c>
      <c r="B1492" s="119" t="s">
        <v>6849</v>
      </c>
      <c r="C1492" s="119" t="s">
        <v>6126</v>
      </c>
      <c r="D1492" s="119" t="s">
        <v>47</v>
      </c>
      <c r="E1492" s="119" t="s">
        <v>6850</v>
      </c>
    </row>
    <row r="1493" spans="1:5" x14ac:dyDescent="0.25">
      <c r="A1493" s="119">
        <v>2165</v>
      </c>
      <c r="B1493" s="119" t="s">
        <v>6849</v>
      </c>
      <c r="C1493" s="119" t="s">
        <v>6126</v>
      </c>
      <c r="D1493" s="119" t="s">
        <v>47</v>
      </c>
      <c r="E1493" s="119" t="s">
        <v>6850</v>
      </c>
    </row>
    <row r="1494" spans="1:5" x14ac:dyDescent="0.25">
      <c r="A1494" s="119">
        <v>2166</v>
      </c>
      <c r="B1494" s="119" t="s">
        <v>6849</v>
      </c>
      <c r="C1494" s="119" t="s">
        <v>6126</v>
      </c>
      <c r="D1494" s="119" t="s">
        <v>47</v>
      </c>
      <c r="E1494" s="119" t="s">
        <v>6850</v>
      </c>
    </row>
    <row r="1495" spans="1:5" x14ac:dyDescent="0.25">
      <c r="A1495" s="119">
        <v>2167</v>
      </c>
      <c r="B1495" s="119" t="s">
        <v>6849</v>
      </c>
      <c r="C1495" s="119" t="s">
        <v>6126</v>
      </c>
      <c r="D1495" s="119" t="s">
        <v>47</v>
      </c>
      <c r="E1495" s="119" t="s">
        <v>6850</v>
      </c>
    </row>
    <row r="1496" spans="1:5" x14ac:dyDescent="0.25">
      <c r="A1496" s="119">
        <v>2168</v>
      </c>
      <c r="B1496" s="119" t="s">
        <v>6849</v>
      </c>
      <c r="C1496" s="119" t="s">
        <v>6126</v>
      </c>
      <c r="D1496" s="119" t="s">
        <v>47</v>
      </c>
      <c r="E1496" s="119" t="s">
        <v>6850</v>
      </c>
    </row>
    <row r="1497" spans="1:5" x14ac:dyDescent="0.25">
      <c r="A1497" s="119">
        <v>2169</v>
      </c>
      <c r="B1497" s="119" t="s">
        <v>6849</v>
      </c>
      <c r="C1497" s="119" t="s">
        <v>6126</v>
      </c>
      <c r="D1497" s="119" t="s">
        <v>47</v>
      </c>
      <c r="E1497" s="119" t="s">
        <v>6850</v>
      </c>
    </row>
    <row r="1498" spans="1:5" x14ac:dyDescent="0.25">
      <c r="A1498" s="119">
        <v>2170</v>
      </c>
      <c r="B1498" s="119" t="s">
        <v>6849</v>
      </c>
      <c r="C1498" s="119" t="s">
        <v>6126</v>
      </c>
      <c r="D1498" s="119" t="s">
        <v>47</v>
      </c>
      <c r="E1498" s="119" t="s">
        <v>6850</v>
      </c>
    </row>
    <row r="1499" spans="1:5" x14ac:dyDescent="0.25">
      <c r="A1499" s="119">
        <v>2171</v>
      </c>
      <c r="B1499" s="119" t="s">
        <v>6849</v>
      </c>
      <c r="C1499" s="119" t="s">
        <v>6126</v>
      </c>
      <c r="D1499" s="119" t="s">
        <v>47</v>
      </c>
      <c r="E1499" s="119" t="s">
        <v>6850</v>
      </c>
    </row>
    <row r="1500" spans="1:5" x14ac:dyDescent="0.25">
      <c r="A1500" s="119">
        <v>2172</v>
      </c>
      <c r="B1500" s="119" t="s">
        <v>6849</v>
      </c>
      <c r="C1500" s="119" t="s">
        <v>6126</v>
      </c>
      <c r="D1500" s="119" t="s">
        <v>47</v>
      </c>
      <c r="E1500" s="119" t="s">
        <v>6850</v>
      </c>
    </row>
    <row r="1501" spans="1:5" x14ac:dyDescent="0.25">
      <c r="A1501" s="119">
        <v>2173</v>
      </c>
      <c r="B1501" s="119" t="s">
        <v>6849</v>
      </c>
      <c r="C1501" s="119" t="s">
        <v>6126</v>
      </c>
      <c r="D1501" s="119" t="s">
        <v>47</v>
      </c>
      <c r="E1501" s="119" t="s">
        <v>6850</v>
      </c>
    </row>
    <row r="1502" spans="1:5" x14ac:dyDescent="0.25">
      <c r="A1502" s="119">
        <v>2174</v>
      </c>
      <c r="B1502" s="119" t="s">
        <v>6849</v>
      </c>
      <c r="C1502" s="119" t="s">
        <v>6126</v>
      </c>
      <c r="D1502" s="119" t="s">
        <v>47</v>
      </c>
      <c r="E1502" s="119" t="s">
        <v>6850</v>
      </c>
    </row>
    <row r="1503" spans="1:5" x14ac:dyDescent="0.25">
      <c r="A1503" s="119">
        <v>2175</v>
      </c>
      <c r="B1503" s="119" t="s">
        <v>6849</v>
      </c>
      <c r="C1503" s="119" t="s">
        <v>6126</v>
      </c>
      <c r="D1503" s="119" t="s">
        <v>47</v>
      </c>
      <c r="E1503" s="119" t="s">
        <v>6850</v>
      </c>
    </row>
    <row r="1504" spans="1:5" x14ac:dyDescent="0.25">
      <c r="A1504" s="119">
        <v>2176</v>
      </c>
      <c r="B1504" s="119" t="s">
        <v>6849</v>
      </c>
      <c r="C1504" s="119" t="s">
        <v>6126</v>
      </c>
      <c r="D1504" s="119" t="s">
        <v>47</v>
      </c>
      <c r="E1504" s="119" t="s">
        <v>6850</v>
      </c>
    </row>
    <row r="1505" spans="1:5" x14ac:dyDescent="0.25">
      <c r="A1505" s="119">
        <v>2222</v>
      </c>
      <c r="B1505" s="119" t="s">
        <v>6849</v>
      </c>
      <c r="C1505" s="119" t="s">
        <v>6126</v>
      </c>
      <c r="D1505" s="119" t="s">
        <v>47</v>
      </c>
      <c r="E1505" s="119" t="s">
        <v>6850</v>
      </c>
    </row>
    <row r="1506" spans="1:5" x14ac:dyDescent="0.25">
      <c r="A1506" s="119">
        <v>2224</v>
      </c>
      <c r="B1506" s="119" t="s">
        <v>6849</v>
      </c>
      <c r="C1506" s="119" t="s">
        <v>6126</v>
      </c>
      <c r="D1506" s="119" t="s">
        <v>47</v>
      </c>
      <c r="E1506" s="119" t="s">
        <v>6850</v>
      </c>
    </row>
    <row r="1507" spans="1:5" x14ac:dyDescent="0.25">
      <c r="A1507" s="119">
        <v>2316</v>
      </c>
      <c r="B1507" s="119" t="s">
        <v>6849</v>
      </c>
      <c r="C1507" s="119" t="s">
        <v>6126</v>
      </c>
      <c r="D1507" s="119" t="s">
        <v>47</v>
      </c>
      <c r="E1507" s="119" t="s">
        <v>6850</v>
      </c>
    </row>
    <row r="1508" spans="1:5" x14ac:dyDescent="0.25">
      <c r="A1508" s="119">
        <v>2319</v>
      </c>
      <c r="B1508" s="119" t="s">
        <v>6849</v>
      </c>
      <c r="C1508" s="119" t="s">
        <v>6126</v>
      </c>
      <c r="D1508" s="119" t="s">
        <v>47</v>
      </c>
      <c r="E1508" s="119" t="s">
        <v>6850</v>
      </c>
    </row>
    <row r="1509" spans="1:5" x14ac:dyDescent="0.25">
      <c r="A1509" s="119">
        <v>2489</v>
      </c>
      <c r="B1509" s="119" t="s">
        <v>6849</v>
      </c>
      <c r="C1509" s="119" t="s">
        <v>5218</v>
      </c>
      <c r="D1509" s="119" t="s">
        <v>78</v>
      </c>
      <c r="E1509" s="119" t="s">
        <v>6850</v>
      </c>
    </row>
    <row r="1510" spans="1:5" x14ac:dyDescent="0.25">
      <c r="A1510" s="119">
        <v>2490</v>
      </c>
      <c r="B1510" s="119" t="s">
        <v>6849</v>
      </c>
      <c r="C1510" s="119" t="s">
        <v>5218</v>
      </c>
      <c r="D1510" s="119" t="s">
        <v>78</v>
      </c>
      <c r="E1510" s="119" t="s">
        <v>6850</v>
      </c>
    </row>
    <row r="1511" spans="1:5" x14ac:dyDescent="0.25">
      <c r="A1511" s="119">
        <v>2497</v>
      </c>
      <c r="B1511" s="119" t="s">
        <v>6849</v>
      </c>
      <c r="C1511" s="119" t="s">
        <v>6856</v>
      </c>
      <c r="D1511" s="119" t="s">
        <v>78</v>
      </c>
      <c r="E1511" s="119" t="s">
        <v>6850</v>
      </c>
    </row>
    <row r="1512" spans="1:5" x14ac:dyDescent="0.25">
      <c r="A1512" s="119">
        <v>2498</v>
      </c>
      <c r="B1512" s="119" t="s">
        <v>6849</v>
      </c>
      <c r="C1512" s="119" t="s">
        <v>6856</v>
      </c>
      <c r="D1512" s="119" t="s">
        <v>78</v>
      </c>
      <c r="E1512" s="119" t="s">
        <v>6850</v>
      </c>
    </row>
    <row r="1513" spans="1:5" x14ac:dyDescent="0.25">
      <c r="A1513" s="119">
        <v>2512</v>
      </c>
      <c r="B1513" s="119" t="s">
        <v>6849</v>
      </c>
      <c r="C1513" s="119" t="s">
        <v>6856</v>
      </c>
      <c r="D1513" s="119" t="s">
        <v>78</v>
      </c>
      <c r="E1513" s="119" t="s">
        <v>6850</v>
      </c>
    </row>
    <row r="1514" spans="1:5" x14ac:dyDescent="0.25">
      <c r="A1514" s="119">
        <v>2553</v>
      </c>
      <c r="B1514" s="119" t="s">
        <v>6849</v>
      </c>
      <c r="C1514" s="119" t="s">
        <v>6856</v>
      </c>
      <c r="D1514" s="119" t="s">
        <v>78</v>
      </c>
      <c r="E1514" s="119" t="s">
        <v>6850</v>
      </c>
    </row>
    <row r="1515" spans="1:5" x14ac:dyDescent="0.25">
      <c r="A1515" s="119">
        <v>2579</v>
      </c>
      <c r="B1515" s="119" t="s">
        <v>6849</v>
      </c>
      <c r="C1515" s="119" t="s">
        <v>6856</v>
      </c>
      <c r="D1515" s="119" t="s">
        <v>78</v>
      </c>
      <c r="E1515" s="119" t="s">
        <v>6850</v>
      </c>
    </row>
    <row r="1516" spans="1:5" x14ac:dyDescent="0.25">
      <c r="A1516" s="119">
        <v>2580</v>
      </c>
      <c r="B1516" s="119" t="s">
        <v>6849</v>
      </c>
      <c r="C1516" s="119" t="s">
        <v>6856</v>
      </c>
      <c r="D1516" s="119" t="s">
        <v>78</v>
      </c>
      <c r="E1516" s="119" t="s">
        <v>6850</v>
      </c>
    </row>
    <row r="1517" spans="1:5" x14ac:dyDescent="0.25">
      <c r="A1517" s="119">
        <v>2581</v>
      </c>
      <c r="B1517" s="119" t="s">
        <v>6849</v>
      </c>
      <c r="C1517" s="119" t="s">
        <v>6856</v>
      </c>
      <c r="D1517" s="119" t="s">
        <v>78</v>
      </c>
      <c r="E1517" s="119" t="s">
        <v>6850</v>
      </c>
    </row>
    <row r="1518" spans="1:5" x14ac:dyDescent="0.25">
      <c r="A1518" s="119">
        <v>2582</v>
      </c>
      <c r="B1518" s="119" t="s">
        <v>6849</v>
      </c>
      <c r="C1518" s="119" t="s">
        <v>6856</v>
      </c>
      <c r="D1518" s="119" t="s">
        <v>78</v>
      </c>
      <c r="E1518" s="119" t="s">
        <v>6850</v>
      </c>
    </row>
    <row r="1519" spans="1:5" x14ac:dyDescent="0.25">
      <c r="A1519" s="119">
        <v>2583</v>
      </c>
      <c r="B1519" s="119" t="s">
        <v>6849</v>
      </c>
      <c r="C1519" s="119" t="s">
        <v>6856</v>
      </c>
      <c r="D1519" s="119" t="s">
        <v>78</v>
      </c>
      <c r="E1519" s="119" t="s">
        <v>6850</v>
      </c>
    </row>
    <row r="1520" spans="1:5" x14ac:dyDescent="0.25">
      <c r="A1520" s="119">
        <v>2584</v>
      </c>
      <c r="B1520" s="119" t="s">
        <v>6849</v>
      </c>
      <c r="C1520" s="119" t="s">
        <v>6856</v>
      </c>
      <c r="D1520" s="119" t="s">
        <v>78</v>
      </c>
      <c r="E1520" s="119" t="s">
        <v>6850</v>
      </c>
    </row>
    <row r="1521" spans="1:5" x14ac:dyDescent="0.25">
      <c r="A1521" s="119">
        <v>2585</v>
      </c>
      <c r="B1521" s="119" t="s">
        <v>6849</v>
      </c>
      <c r="C1521" s="119" t="s">
        <v>6856</v>
      </c>
      <c r="D1521" s="119" t="s">
        <v>78</v>
      </c>
      <c r="E1521" s="119" t="s">
        <v>6850</v>
      </c>
    </row>
    <row r="1522" spans="1:5" x14ac:dyDescent="0.25">
      <c r="A1522" s="119">
        <v>2586</v>
      </c>
      <c r="B1522" s="119" t="s">
        <v>6849</v>
      </c>
      <c r="C1522" s="119" t="s">
        <v>6856</v>
      </c>
      <c r="D1522" s="119" t="s">
        <v>78</v>
      </c>
      <c r="E1522" s="119" t="s">
        <v>6850</v>
      </c>
    </row>
    <row r="1523" spans="1:5" x14ac:dyDescent="0.25">
      <c r="A1523" s="119">
        <v>2587</v>
      </c>
      <c r="B1523" s="119" t="s">
        <v>6849</v>
      </c>
      <c r="C1523" s="119" t="s">
        <v>6856</v>
      </c>
      <c r="D1523" s="119" t="s">
        <v>78</v>
      </c>
      <c r="E1523" s="119" t="s">
        <v>6850</v>
      </c>
    </row>
    <row r="1524" spans="1:5" x14ac:dyDescent="0.25">
      <c r="A1524" s="119">
        <v>2588</v>
      </c>
      <c r="B1524" s="119" t="s">
        <v>6849</v>
      </c>
      <c r="C1524" s="119" t="s">
        <v>6856</v>
      </c>
      <c r="D1524" s="119" t="s">
        <v>78</v>
      </c>
      <c r="E1524" s="119" t="s">
        <v>6850</v>
      </c>
    </row>
    <row r="1525" spans="1:5" x14ac:dyDescent="0.25">
      <c r="A1525" s="119">
        <v>2590</v>
      </c>
      <c r="B1525" s="119" t="s">
        <v>6849</v>
      </c>
      <c r="C1525" s="119" t="s">
        <v>6856</v>
      </c>
      <c r="D1525" s="119" t="s">
        <v>78</v>
      </c>
      <c r="E1525" s="119" t="s">
        <v>6850</v>
      </c>
    </row>
    <row r="1526" spans="1:5" x14ac:dyDescent="0.25">
      <c r="A1526" s="119">
        <v>2591</v>
      </c>
      <c r="B1526" s="119" t="s">
        <v>6849</v>
      </c>
      <c r="C1526" s="119" t="s">
        <v>6856</v>
      </c>
      <c r="D1526" s="119" t="s">
        <v>78</v>
      </c>
      <c r="E1526" s="119" t="s">
        <v>6850</v>
      </c>
    </row>
    <row r="1527" spans="1:5" x14ac:dyDescent="0.25">
      <c r="A1527" s="119">
        <v>2592</v>
      </c>
      <c r="B1527" s="119" t="s">
        <v>6849</v>
      </c>
      <c r="C1527" s="119" t="s">
        <v>6856</v>
      </c>
      <c r="D1527" s="119" t="s">
        <v>78</v>
      </c>
      <c r="E1527" s="119" t="s">
        <v>6850</v>
      </c>
    </row>
    <row r="1528" spans="1:5" x14ac:dyDescent="0.25">
      <c r="A1528" s="119">
        <v>2593</v>
      </c>
      <c r="B1528" s="119" t="s">
        <v>6849</v>
      </c>
      <c r="C1528" s="119" t="s">
        <v>6856</v>
      </c>
      <c r="D1528" s="119" t="s">
        <v>78</v>
      </c>
      <c r="E1528" s="119" t="s">
        <v>6850</v>
      </c>
    </row>
    <row r="1529" spans="1:5" x14ac:dyDescent="0.25">
      <c r="A1529" s="119">
        <v>2595</v>
      </c>
      <c r="B1529" s="119" t="s">
        <v>6849</v>
      </c>
      <c r="C1529" s="119" t="s">
        <v>6856</v>
      </c>
      <c r="D1529" s="119" t="s">
        <v>78</v>
      </c>
      <c r="E1529" s="119" t="s">
        <v>6850</v>
      </c>
    </row>
    <row r="1530" spans="1:5" x14ac:dyDescent="0.25">
      <c r="A1530" s="119">
        <v>2602</v>
      </c>
      <c r="B1530" s="119" t="s">
        <v>6849</v>
      </c>
      <c r="C1530" s="119" t="s">
        <v>6856</v>
      </c>
      <c r="D1530" s="119" t="s">
        <v>78</v>
      </c>
      <c r="E1530" s="119" t="s">
        <v>6850</v>
      </c>
    </row>
    <row r="1531" spans="1:5" x14ac:dyDescent="0.25">
      <c r="A1531" s="119">
        <v>2604</v>
      </c>
      <c r="B1531" s="119" t="s">
        <v>6849</v>
      </c>
      <c r="C1531" s="119" t="s">
        <v>6856</v>
      </c>
      <c r="D1531" s="119" t="s">
        <v>78</v>
      </c>
      <c r="E1531" s="119" t="s">
        <v>6850</v>
      </c>
    </row>
    <row r="1532" spans="1:5" x14ac:dyDescent="0.25">
      <c r="A1532" s="119">
        <v>2638</v>
      </c>
      <c r="B1532" s="119" t="s">
        <v>6849</v>
      </c>
      <c r="C1532" s="119" t="s">
        <v>6856</v>
      </c>
      <c r="D1532" s="119" t="s">
        <v>78</v>
      </c>
      <c r="E1532" s="119" t="s">
        <v>6850</v>
      </c>
    </row>
    <row r="1533" spans="1:5" x14ac:dyDescent="0.25">
      <c r="A1533" s="119">
        <v>2640</v>
      </c>
      <c r="B1533" s="119" t="s">
        <v>6849</v>
      </c>
      <c r="C1533" s="119" t="s">
        <v>6856</v>
      </c>
      <c r="D1533" s="119" t="s">
        <v>78</v>
      </c>
      <c r="E1533" s="119" t="s">
        <v>6850</v>
      </c>
    </row>
    <row r="1534" spans="1:5" x14ac:dyDescent="0.25">
      <c r="A1534" s="119">
        <v>2641</v>
      </c>
      <c r="B1534" s="119" t="s">
        <v>6849</v>
      </c>
      <c r="C1534" s="119" t="s">
        <v>6856</v>
      </c>
      <c r="D1534" s="119" t="s">
        <v>78</v>
      </c>
      <c r="E1534" s="119" t="s">
        <v>6850</v>
      </c>
    </row>
    <row r="1535" spans="1:5" x14ac:dyDescent="0.25">
      <c r="A1535" s="119">
        <v>2642</v>
      </c>
      <c r="B1535" s="119" t="s">
        <v>6849</v>
      </c>
      <c r="C1535" s="119" t="s">
        <v>6856</v>
      </c>
      <c r="D1535" s="119" t="s">
        <v>78</v>
      </c>
      <c r="E1535" s="119" t="s">
        <v>6850</v>
      </c>
    </row>
    <row r="1536" spans="1:5" x14ac:dyDescent="0.25">
      <c r="A1536" s="119">
        <v>2643</v>
      </c>
      <c r="B1536" s="119" t="s">
        <v>6849</v>
      </c>
      <c r="C1536" s="119" t="s">
        <v>6856</v>
      </c>
      <c r="D1536" s="119" t="s">
        <v>78</v>
      </c>
      <c r="E1536" s="119" t="s">
        <v>6850</v>
      </c>
    </row>
    <row r="1537" spans="1:5" x14ac:dyDescent="0.25">
      <c r="A1537" s="119">
        <v>2644</v>
      </c>
      <c r="B1537" s="119" t="s">
        <v>6849</v>
      </c>
      <c r="C1537" s="119" t="s">
        <v>6856</v>
      </c>
      <c r="D1537" s="119" t="s">
        <v>78</v>
      </c>
      <c r="E1537" s="119" t="s">
        <v>6850</v>
      </c>
    </row>
    <row r="1538" spans="1:5" x14ac:dyDescent="0.25">
      <c r="A1538" s="119">
        <v>2645</v>
      </c>
      <c r="B1538" s="119" t="s">
        <v>6849</v>
      </c>
      <c r="C1538" s="119" t="s">
        <v>6856</v>
      </c>
      <c r="D1538" s="119" t="s">
        <v>78</v>
      </c>
      <c r="E1538" s="119" t="s">
        <v>6850</v>
      </c>
    </row>
    <row r="1539" spans="1:5" x14ac:dyDescent="0.25">
      <c r="A1539" s="119">
        <v>2646</v>
      </c>
      <c r="B1539" s="119" t="s">
        <v>6849</v>
      </c>
      <c r="C1539" s="119" t="s">
        <v>6856</v>
      </c>
      <c r="D1539" s="119" t="s">
        <v>78</v>
      </c>
      <c r="E1539" s="119" t="s">
        <v>6850</v>
      </c>
    </row>
    <row r="1540" spans="1:5" x14ac:dyDescent="0.25">
      <c r="A1540" s="119">
        <v>2648</v>
      </c>
      <c r="B1540" s="119" t="s">
        <v>6849</v>
      </c>
      <c r="C1540" s="119" t="s">
        <v>6856</v>
      </c>
      <c r="D1540" s="119" t="s">
        <v>78</v>
      </c>
      <c r="E1540" s="119" t="s">
        <v>6850</v>
      </c>
    </row>
    <row r="1541" spans="1:5" x14ac:dyDescent="0.25">
      <c r="A1541" s="119">
        <v>2649</v>
      </c>
      <c r="B1541" s="119" t="s">
        <v>6849</v>
      </c>
      <c r="C1541" s="119" t="s">
        <v>6856</v>
      </c>
      <c r="D1541" s="119" t="s">
        <v>78</v>
      </c>
      <c r="E1541" s="119" t="s">
        <v>6850</v>
      </c>
    </row>
    <row r="1542" spans="1:5" x14ac:dyDescent="0.25">
      <c r="A1542" s="119">
        <v>2650</v>
      </c>
      <c r="B1542" s="119" t="s">
        <v>6849</v>
      </c>
      <c r="C1542" s="119" t="s">
        <v>6856</v>
      </c>
      <c r="D1542" s="119" t="s">
        <v>78</v>
      </c>
      <c r="E1542" s="119" t="s">
        <v>6850</v>
      </c>
    </row>
    <row r="1543" spans="1:5" x14ac:dyDescent="0.25">
      <c r="A1543" s="119">
        <v>2652</v>
      </c>
      <c r="B1543" s="119" t="s">
        <v>6849</v>
      </c>
      <c r="C1543" s="119" t="s">
        <v>6856</v>
      </c>
      <c r="D1543" s="119" t="s">
        <v>78</v>
      </c>
      <c r="E1543" s="119" t="s">
        <v>6850</v>
      </c>
    </row>
    <row r="1544" spans="1:5" x14ac:dyDescent="0.25">
      <c r="A1544" s="119">
        <v>2653</v>
      </c>
      <c r="B1544" s="119" t="s">
        <v>6849</v>
      </c>
      <c r="C1544" s="119" t="s">
        <v>6856</v>
      </c>
      <c r="D1544" s="119" t="s">
        <v>78</v>
      </c>
      <c r="E1544" s="119" t="s">
        <v>6850</v>
      </c>
    </row>
    <row r="1545" spans="1:5" x14ac:dyDescent="0.25">
      <c r="A1545" s="119">
        <v>2654</v>
      </c>
      <c r="B1545" s="119" t="s">
        <v>6849</v>
      </c>
      <c r="C1545" s="119" t="s">
        <v>6856</v>
      </c>
      <c r="D1545" s="119" t="s">
        <v>78</v>
      </c>
      <c r="E1545" s="119" t="s">
        <v>6850</v>
      </c>
    </row>
    <row r="1546" spans="1:5" x14ac:dyDescent="0.25">
      <c r="A1546" s="119">
        <v>2655</v>
      </c>
      <c r="B1546" s="119" t="s">
        <v>6849</v>
      </c>
      <c r="C1546" s="119" t="s">
        <v>6856</v>
      </c>
      <c r="D1546" s="119" t="s">
        <v>78</v>
      </c>
      <c r="E1546" s="119" t="s">
        <v>6850</v>
      </c>
    </row>
    <row r="1547" spans="1:5" x14ac:dyDescent="0.25">
      <c r="A1547" s="119">
        <v>2656</v>
      </c>
      <c r="B1547" s="119" t="s">
        <v>6849</v>
      </c>
      <c r="C1547" s="119" t="s">
        <v>6856</v>
      </c>
      <c r="D1547" s="119" t="s">
        <v>78</v>
      </c>
      <c r="E1547" s="119" t="s">
        <v>6850</v>
      </c>
    </row>
    <row r="1548" spans="1:5" x14ac:dyDescent="0.25">
      <c r="A1548" s="119">
        <v>2657</v>
      </c>
      <c r="B1548" s="119" t="s">
        <v>6849</v>
      </c>
      <c r="C1548" s="119" t="s">
        <v>6856</v>
      </c>
      <c r="D1548" s="119" t="s">
        <v>78</v>
      </c>
      <c r="E1548" s="119" t="s">
        <v>6850</v>
      </c>
    </row>
    <row r="1549" spans="1:5" x14ac:dyDescent="0.25">
      <c r="A1549" s="119">
        <v>2658</v>
      </c>
      <c r="B1549" s="119" t="s">
        <v>6849</v>
      </c>
      <c r="C1549" s="119" t="s">
        <v>6856</v>
      </c>
      <c r="D1549" s="119" t="s">
        <v>78</v>
      </c>
      <c r="E1549" s="119" t="s">
        <v>6850</v>
      </c>
    </row>
    <row r="1550" spans="1:5" x14ac:dyDescent="0.25">
      <c r="A1550" s="119">
        <v>2659</v>
      </c>
      <c r="B1550" s="119" t="s">
        <v>6849</v>
      </c>
      <c r="C1550" s="119" t="s">
        <v>6856</v>
      </c>
      <c r="D1550" s="119" t="s">
        <v>78</v>
      </c>
      <c r="E1550" s="119" t="s">
        <v>6850</v>
      </c>
    </row>
    <row r="1551" spans="1:5" x14ac:dyDescent="0.25">
      <c r="A1551" s="119">
        <v>2660</v>
      </c>
      <c r="B1551" s="119" t="s">
        <v>6849</v>
      </c>
      <c r="C1551" s="119" t="s">
        <v>6856</v>
      </c>
      <c r="D1551" s="119" t="s">
        <v>78</v>
      </c>
      <c r="E1551" s="119" t="s">
        <v>6850</v>
      </c>
    </row>
    <row r="1552" spans="1:5" x14ac:dyDescent="0.25">
      <c r="A1552" s="119">
        <v>2661</v>
      </c>
      <c r="B1552" s="119" t="s">
        <v>6849</v>
      </c>
      <c r="C1552" s="119" t="s">
        <v>6856</v>
      </c>
      <c r="D1552" s="119" t="s">
        <v>78</v>
      </c>
      <c r="E1552" s="119" t="s">
        <v>6850</v>
      </c>
    </row>
    <row r="1553" spans="1:5" x14ac:dyDescent="0.25">
      <c r="A1553" s="119">
        <v>2662</v>
      </c>
      <c r="B1553" s="119" t="s">
        <v>6849</v>
      </c>
      <c r="C1553" s="119" t="s">
        <v>6856</v>
      </c>
      <c r="D1553" s="119" t="s">
        <v>78</v>
      </c>
      <c r="E1553" s="119" t="s">
        <v>6850</v>
      </c>
    </row>
    <row r="1554" spans="1:5" x14ac:dyDescent="0.25">
      <c r="A1554" s="119">
        <v>2663</v>
      </c>
      <c r="B1554" s="119" t="s">
        <v>6849</v>
      </c>
      <c r="C1554" s="119" t="s">
        <v>6856</v>
      </c>
      <c r="D1554" s="119" t="s">
        <v>78</v>
      </c>
      <c r="E1554" s="119" t="s">
        <v>6850</v>
      </c>
    </row>
    <row r="1555" spans="1:5" x14ac:dyDescent="0.25">
      <c r="A1555" s="119">
        <v>2664</v>
      </c>
      <c r="B1555" s="119" t="s">
        <v>6849</v>
      </c>
      <c r="C1555" s="119" t="s">
        <v>6856</v>
      </c>
      <c r="D1555" s="119" t="s">
        <v>78</v>
      </c>
      <c r="E1555" s="119" t="s">
        <v>6850</v>
      </c>
    </row>
    <row r="1556" spans="1:5" x14ac:dyDescent="0.25">
      <c r="A1556" s="119">
        <v>2665</v>
      </c>
      <c r="B1556" s="119" t="s">
        <v>6849</v>
      </c>
      <c r="C1556" s="119" t="s">
        <v>6856</v>
      </c>
      <c r="D1556" s="119" t="s">
        <v>78</v>
      </c>
      <c r="E1556" s="119" t="s">
        <v>6850</v>
      </c>
    </row>
    <row r="1557" spans="1:5" x14ac:dyDescent="0.25">
      <c r="A1557" s="119">
        <v>2666</v>
      </c>
      <c r="B1557" s="119" t="s">
        <v>6849</v>
      </c>
      <c r="C1557" s="119" t="s">
        <v>6856</v>
      </c>
      <c r="D1557" s="119" t="s">
        <v>78</v>
      </c>
      <c r="E1557" s="119" t="s">
        <v>6850</v>
      </c>
    </row>
    <row r="1558" spans="1:5" x14ac:dyDescent="0.25">
      <c r="A1558" s="119">
        <v>2667</v>
      </c>
      <c r="B1558" s="119" t="s">
        <v>6849</v>
      </c>
      <c r="C1558" s="119" t="s">
        <v>6856</v>
      </c>
      <c r="D1558" s="119" t="s">
        <v>78</v>
      </c>
      <c r="E1558" s="119" t="s">
        <v>6850</v>
      </c>
    </row>
    <row r="1559" spans="1:5" x14ac:dyDescent="0.25">
      <c r="A1559" s="119">
        <v>2668</v>
      </c>
      <c r="B1559" s="119" t="s">
        <v>6849</v>
      </c>
      <c r="C1559" s="119" t="s">
        <v>6856</v>
      </c>
      <c r="D1559" s="119" t="s">
        <v>78</v>
      </c>
      <c r="E1559" s="119" t="s">
        <v>6850</v>
      </c>
    </row>
    <row r="1560" spans="1:5" x14ac:dyDescent="0.25">
      <c r="A1560" s="119">
        <v>2669</v>
      </c>
      <c r="B1560" s="119" t="s">
        <v>6849</v>
      </c>
      <c r="C1560" s="119" t="s">
        <v>6856</v>
      </c>
      <c r="D1560" s="119" t="s">
        <v>78</v>
      </c>
      <c r="E1560" s="119" t="s">
        <v>6850</v>
      </c>
    </row>
    <row r="1561" spans="1:5" x14ac:dyDescent="0.25">
      <c r="A1561" s="119">
        <v>2670</v>
      </c>
      <c r="B1561" s="119" t="s">
        <v>6849</v>
      </c>
      <c r="C1561" s="119" t="s">
        <v>6856</v>
      </c>
      <c r="D1561" s="119" t="s">
        <v>78</v>
      </c>
      <c r="E1561" s="119" t="s">
        <v>6850</v>
      </c>
    </row>
    <row r="1562" spans="1:5" x14ac:dyDescent="0.25">
      <c r="A1562" s="119">
        <v>2671</v>
      </c>
      <c r="B1562" s="119" t="s">
        <v>6849</v>
      </c>
      <c r="C1562" s="119" t="s">
        <v>6856</v>
      </c>
      <c r="D1562" s="119" t="s">
        <v>78</v>
      </c>
      <c r="E1562" s="119" t="s">
        <v>6850</v>
      </c>
    </row>
    <row r="1563" spans="1:5" x14ac:dyDescent="0.25">
      <c r="A1563" s="119">
        <v>2672</v>
      </c>
      <c r="B1563" s="119" t="s">
        <v>6849</v>
      </c>
      <c r="C1563" s="119" t="s">
        <v>6857</v>
      </c>
      <c r="D1563" s="119" t="s">
        <v>47</v>
      </c>
      <c r="E1563" s="119" t="s">
        <v>6850</v>
      </c>
    </row>
    <row r="1564" spans="1:5" x14ac:dyDescent="0.25">
      <c r="A1564" s="119">
        <v>2673</v>
      </c>
      <c r="B1564" s="119" t="s">
        <v>6849</v>
      </c>
      <c r="C1564" s="119" t="s">
        <v>6857</v>
      </c>
      <c r="D1564" s="119" t="s">
        <v>47</v>
      </c>
      <c r="E1564" s="119" t="s">
        <v>6850</v>
      </c>
    </row>
    <row r="1565" spans="1:5" x14ac:dyDescent="0.25">
      <c r="A1565" s="119">
        <v>2674</v>
      </c>
      <c r="B1565" s="119" t="s">
        <v>6849</v>
      </c>
      <c r="C1565" s="119" t="s">
        <v>6857</v>
      </c>
      <c r="D1565" s="119" t="s">
        <v>47</v>
      </c>
      <c r="E1565" s="119" t="s">
        <v>6850</v>
      </c>
    </row>
    <row r="1566" spans="1:5" x14ac:dyDescent="0.25">
      <c r="A1566" s="119">
        <v>2675</v>
      </c>
      <c r="B1566" s="119" t="s">
        <v>6849</v>
      </c>
      <c r="C1566" s="119" t="s">
        <v>6857</v>
      </c>
      <c r="D1566" s="119" t="s">
        <v>47</v>
      </c>
      <c r="E1566" s="119" t="s">
        <v>6850</v>
      </c>
    </row>
    <row r="1567" spans="1:5" x14ac:dyDescent="0.25">
      <c r="A1567" s="119">
        <v>2676</v>
      </c>
      <c r="B1567" s="119" t="s">
        <v>6849</v>
      </c>
      <c r="C1567" s="119" t="s">
        <v>5218</v>
      </c>
      <c r="D1567" s="119" t="s">
        <v>78</v>
      </c>
      <c r="E1567" s="119" t="s">
        <v>6850</v>
      </c>
    </row>
    <row r="1568" spans="1:5" x14ac:dyDescent="0.25">
      <c r="A1568" s="119">
        <v>2678</v>
      </c>
      <c r="B1568" s="119" t="s">
        <v>6849</v>
      </c>
      <c r="C1568" s="119" t="s">
        <v>6856</v>
      </c>
      <c r="D1568" s="119" t="s">
        <v>78</v>
      </c>
      <c r="E1568" s="119" t="s">
        <v>6850</v>
      </c>
    </row>
    <row r="1569" spans="1:5" x14ac:dyDescent="0.25">
      <c r="A1569" s="119">
        <v>2679</v>
      </c>
      <c r="B1569" s="119" t="s">
        <v>6849</v>
      </c>
      <c r="C1569" s="119" t="s">
        <v>6856</v>
      </c>
      <c r="D1569" s="119" t="s">
        <v>78</v>
      </c>
      <c r="E1569" s="119" t="s">
        <v>6850</v>
      </c>
    </row>
    <row r="1570" spans="1:5" x14ac:dyDescent="0.25">
      <c r="A1570" s="119">
        <v>2680</v>
      </c>
      <c r="B1570" s="119" t="s">
        <v>6849</v>
      </c>
      <c r="C1570" s="119" t="s">
        <v>6856</v>
      </c>
      <c r="D1570" s="119" t="s">
        <v>78</v>
      </c>
      <c r="E1570" s="119" t="s">
        <v>6850</v>
      </c>
    </row>
    <row r="1571" spans="1:5" x14ac:dyDescent="0.25">
      <c r="A1571" s="119">
        <v>2681</v>
      </c>
      <c r="B1571" s="119" t="s">
        <v>6849</v>
      </c>
      <c r="C1571" s="119" t="s">
        <v>6856</v>
      </c>
      <c r="D1571" s="119" t="s">
        <v>78</v>
      </c>
      <c r="E1571" s="119" t="s">
        <v>6850</v>
      </c>
    </row>
    <row r="1572" spans="1:5" x14ac:dyDescent="0.25">
      <c r="A1572" s="119">
        <v>2682</v>
      </c>
      <c r="B1572" s="119" t="s">
        <v>6849</v>
      </c>
      <c r="C1572" s="119" t="s">
        <v>6856</v>
      </c>
      <c r="D1572" s="119" t="s">
        <v>78</v>
      </c>
      <c r="E1572" s="119" t="s">
        <v>6850</v>
      </c>
    </row>
    <row r="1573" spans="1:5" x14ac:dyDescent="0.25">
      <c r="A1573" s="119">
        <v>2684</v>
      </c>
      <c r="B1573" s="119" t="s">
        <v>6849</v>
      </c>
      <c r="C1573" s="119" t="s">
        <v>6856</v>
      </c>
      <c r="D1573" s="119" t="s">
        <v>78</v>
      </c>
      <c r="E1573" s="119" t="s">
        <v>6850</v>
      </c>
    </row>
    <row r="1574" spans="1:5" x14ac:dyDescent="0.25">
      <c r="A1574" s="119">
        <v>2685</v>
      </c>
      <c r="B1574" s="119" t="s">
        <v>6849</v>
      </c>
      <c r="C1574" s="119" t="s">
        <v>6856</v>
      </c>
      <c r="D1574" s="119" t="s">
        <v>78</v>
      </c>
      <c r="E1574" s="119" t="s">
        <v>6850</v>
      </c>
    </row>
    <row r="1575" spans="1:5" x14ac:dyDescent="0.25">
      <c r="A1575" s="119">
        <v>2686</v>
      </c>
      <c r="B1575" s="119" t="s">
        <v>6849</v>
      </c>
      <c r="C1575" s="119" t="s">
        <v>6856</v>
      </c>
      <c r="D1575" s="119" t="s">
        <v>78</v>
      </c>
      <c r="E1575" s="119" t="s">
        <v>6850</v>
      </c>
    </row>
    <row r="1576" spans="1:5" x14ac:dyDescent="0.25">
      <c r="A1576" s="119">
        <v>2687</v>
      </c>
      <c r="B1576" s="119" t="s">
        <v>6849</v>
      </c>
      <c r="C1576" s="119" t="s">
        <v>6856</v>
      </c>
      <c r="D1576" s="119" t="s">
        <v>78</v>
      </c>
      <c r="E1576" s="119" t="s">
        <v>6850</v>
      </c>
    </row>
    <row r="1577" spans="1:5" x14ac:dyDescent="0.25">
      <c r="A1577" s="119">
        <v>2688</v>
      </c>
      <c r="B1577" s="119" t="s">
        <v>6849</v>
      </c>
      <c r="C1577" s="119" t="s">
        <v>6856</v>
      </c>
      <c r="D1577" s="119" t="s">
        <v>78</v>
      </c>
      <c r="E1577" s="119" t="s">
        <v>6850</v>
      </c>
    </row>
    <row r="1578" spans="1:5" x14ac:dyDescent="0.25">
      <c r="A1578" s="119">
        <v>2689</v>
      </c>
      <c r="B1578" s="119" t="s">
        <v>6849</v>
      </c>
      <c r="C1578" s="119" t="s">
        <v>6856</v>
      </c>
      <c r="D1578" s="119" t="s">
        <v>78</v>
      </c>
      <c r="E1578" s="119" t="s">
        <v>6850</v>
      </c>
    </row>
    <row r="1579" spans="1:5" x14ac:dyDescent="0.25">
      <c r="A1579" s="119">
        <v>2691</v>
      </c>
      <c r="B1579" s="119" t="s">
        <v>6849</v>
      </c>
      <c r="C1579" s="119" t="s">
        <v>6857</v>
      </c>
      <c r="D1579" s="119" t="s">
        <v>47</v>
      </c>
      <c r="E1579" s="119" t="s">
        <v>6850</v>
      </c>
    </row>
    <row r="1580" spans="1:5" x14ac:dyDescent="0.25">
      <c r="A1580" s="119">
        <v>2693</v>
      </c>
      <c r="B1580" s="119" t="s">
        <v>6849</v>
      </c>
      <c r="C1580" s="119" t="s">
        <v>6856</v>
      </c>
      <c r="D1580" s="119" t="s">
        <v>78</v>
      </c>
      <c r="E1580" s="119" t="s">
        <v>6850</v>
      </c>
    </row>
    <row r="1581" spans="1:5" x14ac:dyDescent="0.25">
      <c r="A1581" s="119">
        <v>2694</v>
      </c>
      <c r="B1581" s="119" t="s">
        <v>6849</v>
      </c>
      <c r="C1581" s="119" t="s">
        <v>6856</v>
      </c>
      <c r="D1581" s="119" t="s">
        <v>78</v>
      </c>
      <c r="E1581" s="119" t="s">
        <v>6850</v>
      </c>
    </row>
    <row r="1582" spans="1:5" x14ac:dyDescent="0.25">
      <c r="A1582" s="119">
        <v>2695</v>
      </c>
      <c r="B1582" s="119" t="s">
        <v>6849</v>
      </c>
      <c r="C1582" s="119" t="s">
        <v>6856</v>
      </c>
      <c r="D1582" s="119" t="s">
        <v>78</v>
      </c>
      <c r="E1582" s="119" t="s">
        <v>6850</v>
      </c>
    </row>
    <row r="1583" spans="1:5" x14ac:dyDescent="0.25">
      <c r="A1583" s="119">
        <v>2696</v>
      </c>
      <c r="B1583" s="119" t="s">
        <v>6849</v>
      </c>
      <c r="C1583" s="119" t="s">
        <v>6856</v>
      </c>
      <c r="D1583" s="119" t="s">
        <v>78</v>
      </c>
      <c r="E1583" s="119" t="s">
        <v>6850</v>
      </c>
    </row>
    <row r="1584" spans="1:5" x14ac:dyDescent="0.25">
      <c r="A1584" s="119">
        <v>2697</v>
      </c>
      <c r="B1584" s="119" t="s">
        <v>6849</v>
      </c>
      <c r="C1584" s="119" t="s">
        <v>6856</v>
      </c>
      <c r="D1584" s="119" t="s">
        <v>78</v>
      </c>
      <c r="E1584" s="119" t="s">
        <v>6850</v>
      </c>
    </row>
    <row r="1585" spans="1:5" x14ac:dyDescent="0.25">
      <c r="A1585" s="119">
        <v>2699</v>
      </c>
      <c r="B1585" s="119" t="s">
        <v>6849</v>
      </c>
      <c r="C1585" s="119" t="s">
        <v>6856</v>
      </c>
      <c r="D1585" s="119" t="s">
        <v>78</v>
      </c>
      <c r="E1585" s="119" t="s">
        <v>6850</v>
      </c>
    </row>
    <row r="1586" spans="1:5" x14ac:dyDescent="0.25">
      <c r="A1586" s="119">
        <v>2700</v>
      </c>
      <c r="B1586" s="119" t="s">
        <v>6849</v>
      </c>
      <c r="C1586" s="119" t="s">
        <v>6856</v>
      </c>
      <c r="D1586" s="119" t="s">
        <v>78</v>
      </c>
      <c r="E1586" s="119" t="s">
        <v>6850</v>
      </c>
    </row>
    <row r="1587" spans="1:5" x14ac:dyDescent="0.25">
      <c r="A1587" s="119">
        <v>2701</v>
      </c>
      <c r="B1587" s="119" t="s">
        <v>6849</v>
      </c>
      <c r="C1587" s="119" t="s">
        <v>6856</v>
      </c>
      <c r="D1587" s="119" t="s">
        <v>78</v>
      </c>
      <c r="E1587" s="119" t="s">
        <v>6850</v>
      </c>
    </row>
    <row r="1588" spans="1:5" x14ac:dyDescent="0.25">
      <c r="A1588" s="119">
        <v>2702</v>
      </c>
      <c r="B1588" s="119" t="s">
        <v>6849</v>
      </c>
      <c r="C1588" s="119" t="s">
        <v>6856</v>
      </c>
      <c r="D1588" s="119" t="s">
        <v>78</v>
      </c>
      <c r="E1588" s="119" t="s">
        <v>6850</v>
      </c>
    </row>
    <row r="1589" spans="1:5" x14ac:dyDescent="0.25">
      <c r="A1589" s="119">
        <v>2703</v>
      </c>
      <c r="B1589" s="119" t="s">
        <v>6849</v>
      </c>
      <c r="C1589" s="119" t="s">
        <v>6856</v>
      </c>
      <c r="D1589" s="119" t="s">
        <v>78</v>
      </c>
      <c r="E1589" s="119" t="s">
        <v>6850</v>
      </c>
    </row>
    <row r="1590" spans="1:5" x14ac:dyDescent="0.25">
      <c r="A1590" s="119">
        <v>2704</v>
      </c>
      <c r="B1590" s="119" t="s">
        <v>6849</v>
      </c>
      <c r="C1590" s="119" t="s">
        <v>6856</v>
      </c>
      <c r="D1590" s="119" t="s">
        <v>78</v>
      </c>
      <c r="E1590" s="119" t="s">
        <v>6850</v>
      </c>
    </row>
    <row r="1591" spans="1:5" x14ac:dyDescent="0.25">
      <c r="A1591" s="119">
        <v>2706</v>
      </c>
      <c r="B1591" s="119" t="s">
        <v>6849</v>
      </c>
      <c r="C1591" s="119" t="s">
        <v>6857</v>
      </c>
      <c r="D1591" s="119" t="s">
        <v>47</v>
      </c>
      <c r="E1591" s="119" t="s">
        <v>6850</v>
      </c>
    </row>
    <row r="1592" spans="1:5" x14ac:dyDescent="0.25">
      <c r="A1592" s="119">
        <v>2708</v>
      </c>
      <c r="B1592" s="119" t="s">
        <v>6849</v>
      </c>
      <c r="C1592" s="119" t="s">
        <v>6856</v>
      </c>
      <c r="D1592" s="119" t="s">
        <v>78</v>
      </c>
      <c r="E1592" s="119" t="s">
        <v>6850</v>
      </c>
    </row>
    <row r="1593" spans="1:5" x14ac:dyDescent="0.25">
      <c r="A1593" s="119">
        <v>2709</v>
      </c>
      <c r="B1593" s="119" t="s">
        <v>6849</v>
      </c>
      <c r="C1593" s="119" t="s">
        <v>6856</v>
      </c>
      <c r="D1593" s="119" t="s">
        <v>78</v>
      </c>
      <c r="E1593" s="119" t="s">
        <v>6850</v>
      </c>
    </row>
    <row r="1594" spans="1:5" x14ac:dyDescent="0.25">
      <c r="A1594" s="119">
        <v>2710</v>
      </c>
      <c r="B1594" s="119" t="s">
        <v>6849</v>
      </c>
      <c r="C1594" s="119" t="s">
        <v>6856</v>
      </c>
      <c r="D1594" s="119" t="s">
        <v>78</v>
      </c>
      <c r="E1594" s="119" t="s">
        <v>6850</v>
      </c>
    </row>
    <row r="1595" spans="1:5" x14ac:dyDescent="0.25">
      <c r="A1595" s="119">
        <v>2711</v>
      </c>
      <c r="B1595" s="119" t="s">
        <v>6849</v>
      </c>
      <c r="C1595" s="119" t="s">
        <v>6856</v>
      </c>
      <c r="D1595" s="119" t="s">
        <v>78</v>
      </c>
      <c r="E1595" s="119" t="s">
        <v>6850</v>
      </c>
    </row>
    <row r="1596" spans="1:5" x14ac:dyDescent="0.25">
      <c r="A1596" s="119">
        <v>2712</v>
      </c>
      <c r="B1596" s="119" t="s">
        <v>6849</v>
      </c>
      <c r="C1596" s="119" t="s">
        <v>6856</v>
      </c>
      <c r="D1596" s="119" t="s">
        <v>78</v>
      </c>
      <c r="E1596" s="119" t="s">
        <v>6850</v>
      </c>
    </row>
    <row r="1597" spans="1:5" x14ac:dyDescent="0.25">
      <c r="A1597" s="119">
        <v>2713</v>
      </c>
      <c r="B1597" s="119" t="s">
        <v>6849</v>
      </c>
      <c r="C1597" s="119" t="s">
        <v>6856</v>
      </c>
      <c r="D1597" s="119" t="s">
        <v>78</v>
      </c>
      <c r="E1597" s="119" t="s">
        <v>6850</v>
      </c>
    </row>
    <row r="1598" spans="1:5" x14ac:dyDescent="0.25">
      <c r="A1598" s="119">
        <v>2714</v>
      </c>
      <c r="B1598" s="119" t="s">
        <v>6849</v>
      </c>
      <c r="C1598" s="119" t="s">
        <v>6856</v>
      </c>
      <c r="D1598" s="119" t="s">
        <v>78</v>
      </c>
      <c r="E1598" s="119" t="s">
        <v>6850</v>
      </c>
    </row>
    <row r="1599" spans="1:5" x14ac:dyDescent="0.25">
      <c r="A1599" s="119">
        <v>2717</v>
      </c>
      <c r="B1599" s="119" t="s">
        <v>6849</v>
      </c>
      <c r="C1599" s="119" t="s">
        <v>6856</v>
      </c>
      <c r="D1599" s="119" t="s">
        <v>78</v>
      </c>
      <c r="E1599" s="119" t="s">
        <v>6850</v>
      </c>
    </row>
    <row r="1600" spans="1:5" x14ac:dyDescent="0.25">
      <c r="A1600" s="119">
        <v>2718</v>
      </c>
      <c r="B1600" s="119" t="s">
        <v>6849</v>
      </c>
      <c r="C1600" s="119" t="s">
        <v>6856</v>
      </c>
      <c r="D1600" s="119" t="s">
        <v>78</v>
      </c>
      <c r="E1600" s="119" t="s">
        <v>6850</v>
      </c>
    </row>
    <row r="1601" spans="1:5" x14ac:dyDescent="0.25">
      <c r="A1601" s="119">
        <v>2719</v>
      </c>
      <c r="B1601" s="119" t="s">
        <v>6849</v>
      </c>
      <c r="C1601" s="119" t="s">
        <v>6856</v>
      </c>
      <c r="D1601" s="119" t="s">
        <v>78</v>
      </c>
      <c r="E1601" s="119" t="s">
        <v>6850</v>
      </c>
    </row>
    <row r="1602" spans="1:5" x14ac:dyDescent="0.25">
      <c r="A1602" s="119">
        <v>2721</v>
      </c>
      <c r="B1602" s="119" t="s">
        <v>6849</v>
      </c>
      <c r="C1602" s="119" t="s">
        <v>6856</v>
      </c>
      <c r="D1602" s="119" t="s">
        <v>78</v>
      </c>
      <c r="E1602" s="119" t="s">
        <v>6850</v>
      </c>
    </row>
    <row r="1603" spans="1:5" x14ac:dyDescent="0.25">
      <c r="A1603" s="119">
        <v>2723</v>
      </c>
      <c r="B1603" s="119" t="s">
        <v>6849</v>
      </c>
      <c r="C1603" s="119" t="s">
        <v>6856</v>
      </c>
      <c r="D1603" s="119" t="s">
        <v>78</v>
      </c>
      <c r="E1603" s="119" t="s">
        <v>6850</v>
      </c>
    </row>
    <row r="1604" spans="1:5" x14ac:dyDescent="0.25">
      <c r="A1604" s="119">
        <v>2724</v>
      </c>
      <c r="B1604" s="119" t="s">
        <v>6849</v>
      </c>
      <c r="C1604" s="119" t="s">
        <v>6856</v>
      </c>
      <c r="D1604" s="119" t="s">
        <v>78</v>
      </c>
      <c r="E1604" s="119" t="s">
        <v>6850</v>
      </c>
    </row>
    <row r="1605" spans="1:5" x14ac:dyDescent="0.25">
      <c r="A1605" s="119">
        <v>2725</v>
      </c>
      <c r="B1605" s="119" t="s">
        <v>6849</v>
      </c>
      <c r="C1605" s="119" t="s">
        <v>6856</v>
      </c>
      <c r="D1605" s="119" t="s">
        <v>78</v>
      </c>
      <c r="E1605" s="119" t="s">
        <v>6850</v>
      </c>
    </row>
    <row r="1606" spans="1:5" x14ac:dyDescent="0.25">
      <c r="A1606" s="119">
        <v>2727</v>
      </c>
      <c r="B1606" s="119" t="s">
        <v>6849</v>
      </c>
      <c r="C1606" s="119" t="s">
        <v>6856</v>
      </c>
      <c r="D1606" s="119" t="s">
        <v>78</v>
      </c>
      <c r="E1606" s="119" t="s">
        <v>6850</v>
      </c>
    </row>
    <row r="1607" spans="1:5" x14ac:dyDescent="0.25">
      <c r="A1607" s="119">
        <v>2729</v>
      </c>
      <c r="B1607" s="119" t="s">
        <v>6849</v>
      </c>
      <c r="C1607" s="119" t="s">
        <v>6856</v>
      </c>
      <c r="D1607" s="119" t="s">
        <v>78</v>
      </c>
      <c r="E1607" s="119" t="s">
        <v>6850</v>
      </c>
    </row>
    <row r="1608" spans="1:5" x14ac:dyDescent="0.25">
      <c r="A1608" s="119">
        <v>2730</v>
      </c>
      <c r="B1608" s="119" t="s">
        <v>6849</v>
      </c>
      <c r="C1608" s="119" t="s">
        <v>6856</v>
      </c>
      <c r="D1608" s="119" t="s">
        <v>78</v>
      </c>
      <c r="E1608" s="119" t="s">
        <v>6850</v>
      </c>
    </row>
    <row r="1609" spans="1:5" x14ac:dyDescent="0.25">
      <c r="A1609" s="119">
        <v>2731</v>
      </c>
      <c r="B1609" s="119" t="s">
        <v>6849</v>
      </c>
      <c r="C1609" s="119" t="s">
        <v>6856</v>
      </c>
      <c r="D1609" s="119" t="s">
        <v>78</v>
      </c>
      <c r="E1609" s="119" t="s">
        <v>6850</v>
      </c>
    </row>
    <row r="1610" spans="1:5" x14ac:dyDescent="0.25">
      <c r="A1610" s="119">
        <v>2732</v>
      </c>
      <c r="B1610" s="119" t="s">
        <v>6849</v>
      </c>
      <c r="C1610" s="119" t="s">
        <v>6856</v>
      </c>
      <c r="D1610" s="119" t="s">
        <v>78</v>
      </c>
      <c r="E1610" s="119" t="s">
        <v>6850</v>
      </c>
    </row>
    <row r="1611" spans="1:5" x14ac:dyDescent="0.25">
      <c r="A1611" s="119">
        <v>2733</v>
      </c>
      <c r="B1611" s="119" t="s">
        <v>6849</v>
      </c>
      <c r="C1611" s="119" t="s">
        <v>6856</v>
      </c>
      <c r="D1611" s="119" t="s">
        <v>78</v>
      </c>
      <c r="E1611" s="119" t="s">
        <v>6850</v>
      </c>
    </row>
    <row r="1612" spans="1:5" x14ac:dyDescent="0.25">
      <c r="A1612" s="119">
        <v>2734</v>
      </c>
      <c r="B1612" s="119" t="s">
        <v>6849</v>
      </c>
      <c r="C1612" s="119" t="s">
        <v>6856</v>
      </c>
      <c r="D1612" s="119" t="s">
        <v>78</v>
      </c>
      <c r="E1612" s="119" t="s">
        <v>6850</v>
      </c>
    </row>
    <row r="1613" spans="1:5" x14ac:dyDescent="0.25">
      <c r="A1613" s="119">
        <v>2735</v>
      </c>
      <c r="B1613" s="119" t="s">
        <v>6849</v>
      </c>
      <c r="C1613" s="119" t="s">
        <v>6856</v>
      </c>
      <c r="D1613" s="119" t="s">
        <v>78</v>
      </c>
      <c r="E1613" s="119" t="s">
        <v>6850</v>
      </c>
    </row>
    <row r="1614" spans="1:5" x14ac:dyDescent="0.25">
      <c r="A1614" s="119">
        <v>2737</v>
      </c>
      <c r="B1614" s="119" t="s">
        <v>6849</v>
      </c>
      <c r="C1614" s="119" t="s">
        <v>6857</v>
      </c>
      <c r="D1614" s="119" t="s">
        <v>47</v>
      </c>
      <c r="E1614" s="119" t="s">
        <v>6850</v>
      </c>
    </row>
    <row r="1615" spans="1:5" x14ac:dyDescent="0.25">
      <c r="A1615" s="119">
        <v>2741</v>
      </c>
      <c r="B1615" s="119" t="s">
        <v>6849</v>
      </c>
      <c r="C1615" s="119" t="s">
        <v>6856</v>
      </c>
      <c r="D1615" s="119" t="s">
        <v>78</v>
      </c>
      <c r="E1615" s="119" t="s">
        <v>6850</v>
      </c>
    </row>
    <row r="1616" spans="1:5" x14ac:dyDescent="0.25">
      <c r="A1616" s="119">
        <v>2742</v>
      </c>
      <c r="B1616" s="119" t="s">
        <v>6849</v>
      </c>
      <c r="C1616" s="119" t="s">
        <v>6856</v>
      </c>
      <c r="D1616" s="119" t="s">
        <v>78</v>
      </c>
      <c r="E1616" s="119" t="s">
        <v>6850</v>
      </c>
    </row>
    <row r="1617" spans="1:5" x14ac:dyDescent="0.25">
      <c r="A1617" s="119">
        <v>2743</v>
      </c>
      <c r="B1617" s="119" t="s">
        <v>6849</v>
      </c>
      <c r="C1617" s="119" t="s">
        <v>6856</v>
      </c>
      <c r="D1617" s="119" t="s">
        <v>78</v>
      </c>
      <c r="E1617" s="119" t="s">
        <v>6850</v>
      </c>
    </row>
    <row r="1618" spans="1:5" x14ac:dyDescent="0.25">
      <c r="A1618" s="119">
        <v>2745</v>
      </c>
      <c r="B1618" s="119" t="s">
        <v>6849</v>
      </c>
      <c r="C1618" s="119" t="s">
        <v>6856</v>
      </c>
      <c r="D1618" s="119" t="s">
        <v>78</v>
      </c>
      <c r="E1618" s="119" t="s">
        <v>6850</v>
      </c>
    </row>
    <row r="1619" spans="1:5" x14ac:dyDescent="0.25">
      <c r="A1619" s="119">
        <v>2746</v>
      </c>
      <c r="B1619" s="119" t="s">
        <v>6849</v>
      </c>
      <c r="C1619" s="119" t="s">
        <v>6856</v>
      </c>
      <c r="D1619" s="119" t="s">
        <v>78</v>
      </c>
      <c r="E1619" s="119" t="s">
        <v>6850</v>
      </c>
    </row>
    <row r="1620" spans="1:5" x14ac:dyDescent="0.25">
      <c r="A1620" s="119">
        <v>2747</v>
      </c>
      <c r="B1620" s="119" t="s">
        <v>6849</v>
      </c>
      <c r="C1620" s="119" t="s">
        <v>6856</v>
      </c>
      <c r="D1620" s="119" t="s">
        <v>78</v>
      </c>
      <c r="E1620" s="119" t="s">
        <v>6850</v>
      </c>
    </row>
    <row r="1621" spans="1:5" x14ac:dyDescent="0.25">
      <c r="A1621" s="119">
        <v>2748</v>
      </c>
      <c r="B1621" s="119" t="s">
        <v>6849</v>
      </c>
      <c r="C1621" s="119" t="s">
        <v>6856</v>
      </c>
      <c r="D1621" s="119" t="s">
        <v>78</v>
      </c>
      <c r="E1621" s="119" t="s">
        <v>6850</v>
      </c>
    </row>
    <row r="1622" spans="1:5" x14ac:dyDescent="0.25">
      <c r="A1622" s="119">
        <v>2750</v>
      </c>
      <c r="B1622" s="119" t="s">
        <v>6849</v>
      </c>
      <c r="C1622" s="119" t="s">
        <v>6856</v>
      </c>
      <c r="D1622" s="119" t="s">
        <v>78</v>
      </c>
      <c r="E1622" s="119" t="s">
        <v>6850</v>
      </c>
    </row>
    <row r="1623" spans="1:5" x14ac:dyDescent="0.25">
      <c r="A1623" s="119">
        <v>2751</v>
      </c>
      <c r="B1623" s="119" t="s">
        <v>6849</v>
      </c>
      <c r="C1623" s="119" t="s">
        <v>6856</v>
      </c>
      <c r="D1623" s="119" t="s">
        <v>78</v>
      </c>
      <c r="E1623" s="119" t="s">
        <v>6850</v>
      </c>
    </row>
    <row r="1624" spans="1:5" x14ac:dyDescent="0.25">
      <c r="A1624" s="119">
        <v>2752</v>
      </c>
      <c r="B1624" s="119" t="s">
        <v>6849</v>
      </c>
      <c r="C1624" s="119" t="s">
        <v>6856</v>
      </c>
      <c r="D1624" s="119" t="s">
        <v>78</v>
      </c>
      <c r="E1624" s="119" t="s">
        <v>6850</v>
      </c>
    </row>
    <row r="1625" spans="1:5" x14ac:dyDescent="0.25">
      <c r="A1625" s="119">
        <v>2753</v>
      </c>
      <c r="B1625" s="119" t="s">
        <v>6849</v>
      </c>
      <c r="C1625" s="119" t="s">
        <v>6856</v>
      </c>
      <c r="D1625" s="119" t="s">
        <v>78</v>
      </c>
      <c r="E1625" s="119" t="s">
        <v>6850</v>
      </c>
    </row>
    <row r="1626" spans="1:5" x14ac:dyDescent="0.25">
      <c r="A1626" s="119">
        <v>2754</v>
      </c>
      <c r="B1626" s="119" t="s">
        <v>6849</v>
      </c>
      <c r="C1626" s="119" t="s">
        <v>6856</v>
      </c>
      <c r="D1626" s="119" t="s">
        <v>78</v>
      </c>
      <c r="E1626" s="119" t="s">
        <v>6850</v>
      </c>
    </row>
    <row r="1627" spans="1:5" x14ac:dyDescent="0.25">
      <c r="A1627" s="119">
        <v>2755</v>
      </c>
      <c r="B1627" s="119" t="s">
        <v>6849</v>
      </c>
      <c r="C1627" s="119" t="s">
        <v>6856</v>
      </c>
      <c r="D1627" s="119" t="s">
        <v>78</v>
      </c>
      <c r="E1627" s="119" t="s">
        <v>6850</v>
      </c>
    </row>
    <row r="1628" spans="1:5" x14ac:dyDescent="0.25">
      <c r="A1628" s="119">
        <v>2756</v>
      </c>
      <c r="B1628" s="119" t="s">
        <v>6849</v>
      </c>
      <c r="C1628" s="119" t="s">
        <v>6856</v>
      </c>
      <c r="D1628" s="119" t="s">
        <v>78</v>
      </c>
      <c r="E1628" s="119" t="s">
        <v>6850</v>
      </c>
    </row>
    <row r="1629" spans="1:5" x14ac:dyDescent="0.25">
      <c r="A1629" s="119">
        <v>2758</v>
      </c>
      <c r="B1629" s="119" t="s">
        <v>6849</v>
      </c>
      <c r="C1629" s="119" t="s">
        <v>6857</v>
      </c>
      <c r="D1629" s="119" t="s">
        <v>47</v>
      </c>
      <c r="E1629" s="119" t="s">
        <v>6850</v>
      </c>
    </row>
    <row r="1630" spans="1:5" x14ac:dyDescent="0.25">
      <c r="A1630" s="119">
        <v>2762</v>
      </c>
      <c r="B1630" s="119" t="s">
        <v>6849</v>
      </c>
      <c r="C1630" s="119" t="s">
        <v>6856</v>
      </c>
      <c r="D1630" s="119" t="s">
        <v>78</v>
      </c>
      <c r="E1630" s="119" t="s">
        <v>6850</v>
      </c>
    </row>
    <row r="1631" spans="1:5" x14ac:dyDescent="0.25">
      <c r="A1631" s="119">
        <v>2763</v>
      </c>
      <c r="B1631" s="119" t="s">
        <v>6849</v>
      </c>
      <c r="C1631" s="119" t="s">
        <v>6856</v>
      </c>
      <c r="D1631" s="119" t="s">
        <v>78</v>
      </c>
      <c r="E1631" s="119" t="s">
        <v>6850</v>
      </c>
    </row>
    <row r="1632" spans="1:5" x14ac:dyDescent="0.25">
      <c r="A1632" s="119">
        <v>2764</v>
      </c>
      <c r="B1632" s="119" t="s">
        <v>6849</v>
      </c>
      <c r="C1632" s="119" t="s">
        <v>6856</v>
      </c>
      <c r="D1632" s="119" t="s">
        <v>78</v>
      </c>
      <c r="E1632" s="119" t="s">
        <v>6850</v>
      </c>
    </row>
    <row r="1633" spans="1:5" x14ac:dyDescent="0.25">
      <c r="A1633" s="119">
        <v>2766</v>
      </c>
      <c r="B1633" s="119" t="s">
        <v>6849</v>
      </c>
      <c r="C1633" s="119" t="s">
        <v>6856</v>
      </c>
      <c r="D1633" s="119" t="s">
        <v>78</v>
      </c>
      <c r="E1633" s="119" t="s">
        <v>6850</v>
      </c>
    </row>
    <row r="1634" spans="1:5" x14ac:dyDescent="0.25">
      <c r="A1634" s="119">
        <v>2767</v>
      </c>
      <c r="B1634" s="119" t="s">
        <v>6849</v>
      </c>
      <c r="C1634" s="119" t="s">
        <v>6856</v>
      </c>
      <c r="D1634" s="119" t="s">
        <v>78</v>
      </c>
      <c r="E1634" s="119" t="s">
        <v>6850</v>
      </c>
    </row>
    <row r="1635" spans="1:5" x14ac:dyDescent="0.25">
      <c r="A1635" s="119">
        <v>2768</v>
      </c>
      <c r="B1635" s="119" t="s">
        <v>6849</v>
      </c>
      <c r="C1635" s="119" t="s">
        <v>6856</v>
      </c>
      <c r="D1635" s="119" t="s">
        <v>78</v>
      </c>
      <c r="E1635" s="119" t="s">
        <v>6850</v>
      </c>
    </row>
    <row r="1636" spans="1:5" x14ac:dyDescent="0.25">
      <c r="A1636" s="119">
        <v>2769</v>
      </c>
      <c r="B1636" s="119" t="s">
        <v>6849</v>
      </c>
      <c r="C1636" s="119" t="s">
        <v>6856</v>
      </c>
      <c r="D1636" s="119" t="s">
        <v>78</v>
      </c>
      <c r="E1636" s="119" t="s">
        <v>6850</v>
      </c>
    </row>
    <row r="1637" spans="1:5" x14ac:dyDescent="0.25">
      <c r="A1637" s="119">
        <v>2771</v>
      </c>
      <c r="B1637" s="119" t="s">
        <v>6849</v>
      </c>
      <c r="C1637" s="119" t="s">
        <v>6856</v>
      </c>
      <c r="D1637" s="119" t="s">
        <v>78</v>
      </c>
      <c r="E1637" s="119" t="s">
        <v>6850</v>
      </c>
    </row>
    <row r="1638" spans="1:5" x14ac:dyDescent="0.25">
      <c r="A1638" s="119">
        <v>2772</v>
      </c>
      <c r="B1638" s="119" t="s">
        <v>6849</v>
      </c>
      <c r="C1638" s="119" t="s">
        <v>6856</v>
      </c>
      <c r="D1638" s="119" t="s">
        <v>78</v>
      </c>
      <c r="E1638" s="119" t="s">
        <v>6850</v>
      </c>
    </row>
    <row r="1639" spans="1:5" x14ac:dyDescent="0.25">
      <c r="A1639" s="119">
        <v>2773</v>
      </c>
      <c r="B1639" s="119" t="s">
        <v>6849</v>
      </c>
      <c r="C1639" s="119" t="s">
        <v>6856</v>
      </c>
      <c r="D1639" s="119" t="s">
        <v>78</v>
      </c>
      <c r="E1639" s="119" t="s">
        <v>6850</v>
      </c>
    </row>
    <row r="1640" spans="1:5" x14ac:dyDescent="0.25">
      <c r="A1640" s="119">
        <v>2774</v>
      </c>
      <c r="B1640" s="119" t="s">
        <v>6849</v>
      </c>
      <c r="C1640" s="119" t="s">
        <v>6856</v>
      </c>
      <c r="D1640" s="119" t="s">
        <v>78</v>
      </c>
      <c r="E1640" s="119" t="s">
        <v>6850</v>
      </c>
    </row>
    <row r="1641" spans="1:5" x14ac:dyDescent="0.25">
      <c r="A1641" s="119">
        <v>2775</v>
      </c>
      <c r="B1641" s="119" t="s">
        <v>6849</v>
      </c>
      <c r="C1641" s="119" t="s">
        <v>6856</v>
      </c>
      <c r="D1641" s="119" t="s">
        <v>78</v>
      </c>
      <c r="E1641" s="119" t="s">
        <v>6850</v>
      </c>
    </row>
    <row r="1642" spans="1:5" x14ac:dyDescent="0.25">
      <c r="A1642" s="119">
        <v>2776</v>
      </c>
      <c r="B1642" s="119" t="s">
        <v>6849</v>
      </c>
      <c r="C1642" s="119" t="s">
        <v>6856</v>
      </c>
      <c r="D1642" s="119" t="s">
        <v>78</v>
      </c>
      <c r="E1642" s="119" t="s">
        <v>6850</v>
      </c>
    </row>
    <row r="1643" spans="1:5" x14ac:dyDescent="0.25">
      <c r="A1643" s="119">
        <v>2777</v>
      </c>
      <c r="B1643" s="119" t="s">
        <v>6849</v>
      </c>
      <c r="C1643" s="119" t="s">
        <v>6856</v>
      </c>
      <c r="D1643" s="119" t="s">
        <v>78</v>
      </c>
      <c r="E1643" s="119" t="s">
        <v>6850</v>
      </c>
    </row>
    <row r="1644" spans="1:5" x14ac:dyDescent="0.25">
      <c r="A1644" s="119">
        <v>2778</v>
      </c>
      <c r="B1644" s="119" t="s">
        <v>6849</v>
      </c>
      <c r="C1644" s="119" t="s">
        <v>5218</v>
      </c>
      <c r="D1644" s="119" t="s">
        <v>78</v>
      </c>
      <c r="E1644" s="119" t="s">
        <v>6850</v>
      </c>
    </row>
    <row r="1645" spans="1:5" x14ac:dyDescent="0.25">
      <c r="A1645" s="119">
        <v>2779</v>
      </c>
      <c r="B1645" s="119" t="s">
        <v>6849</v>
      </c>
      <c r="C1645" s="119" t="s">
        <v>6856</v>
      </c>
      <c r="D1645" s="119" t="s">
        <v>78</v>
      </c>
      <c r="E1645" s="119" t="s">
        <v>6850</v>
      </c>
    </row>
    <row r="1646" spans="1:5" x14ac:dyDescent="0.25">
      <c r="A1646" s="119">
        <v>2781</v>
      </c>
      <c r="B1646" s="119" t="s">
        <v>6849</v>
      </c>
      <c r="C1646" s="119" t="s">
        <v>6857</v>
      </c>
      <c r="D1646" s="119" t="s">
        <v>47</v>
      </c>
      <c r="E1646" s="119" t="s">
        <v>6850</v>
      </c>
    </row>
    <row r="1647" spans="1:5" x14ac:dyDescent="0.25">
      <c r="A1647" s="119">
        <v>2784</v>
      </c>
      <c r="B1647" s="119" t="s">
        <v>6849</v>
      </c>
      <c r="C1647" s="119" t="s">
        <v>6856</v>
      </c>
      <c r="D1647" s="119" t="s">
        <v>78</v>
      </c>
      <c r="E1647" s="119" t="s">
        <v>6850</v>
      </c>
    </row>
    <row r="1648" spans="1:5" x14ac:dyDescent="0.25">
      <c r="A1648" s="119">
        <v>2785</v>
      </c>
      <c r="B1648" s="119" t="s">
        <v>6849</v>
      </c>
      <c r="C1648" s="119" t="s">
        <v>6856</v>
      </c>
      <c r="D1648" s="119" t="s">
        <v>78</v>
      </c>
      <c r="E1648" s="119" t="s">
        <v>6850</v>
      </c>
    </row>
    <row r="1649" spans="1:5" x14ac:dyDescent="0.25">
      <c r="A1649" s="119">
        <v>2786</v>
      </c>
      <c r="B1649" s="119" t="s">
        <v>6849</v>
      </c>
      <c r="C1649" s="119" t="s">
        <v>6856</v>
      </c>
      <c r="D1649" s="119" t="s">
        <v>78</v>
      </c>
      <c r="E1649" s="119" t="s">
        <v>6850</v>
      </c>
    </row>
    <row r="1650" spans="1:5" x14ac:dyDescent="0.25">
      <c r="A1650" s="119">
        <v>2787</v>
      </c>
      <c r="B1650" s="119" t="s">
        <v>6849</v>
      </c>
      <c r="C1650" s="119" t="s">
        <v>6856</v>
      </c>
      <c r="D1650" s="119" t="s">
        <v>78</v>
      </c>
      <c r="E1650" s="119" t="s">
        <v>6850</v>
      </c>
    </row>
    <row r="1651" spans="1:5" x14ac:dyDescent="0.25">
      <c r="A1651" s="119">
        <v>2788</v>
      </c>
      <c r="B1651" s="119" t="s">
        <v>6849</v>
      </c>
      <c r="C1651" s="119" t="s">
        <v>6856</v>
      </c>
      <c r="D1651" s="119" t="s">
        <v>78</v>
      </c>
      <c r="E1651" s="119" t="s">
        <v>6850</v>
      </c>
    </row>
    <row r="1652" spans="1:5" x14ac:dyDescent="0.25">
      <c r="A1652" s="119">
        <v>2790</v>
      </c>
      <c r="B1652" s="119" t="s">
        <v>6849</v>
      </c>
      <c r="C1652" s="119" t="s">
        <v>6856</v>
      </c>
      <c r="D1652" s="119" t="s">
        <v>78</v>
      </c>
      <c r="E1652" s="119" t="s">
        <v>6850</v>
      </c>
    </row>
    <row r="1653" spans="1:5" x14ac:dyDescent="0.25">
      <c r="A1653" s="119">
        <v>2792</v>
      </c>
      <c r="B1653" s="119" t="s">
        <v>6849</v>
      </c>
      <c r="C1653" s="119" t="s">
        <v>5218</v>
      </c>
      <c r="D1653" s="119" t="s">
        <v>78</v>
      </c>
      <c r="E1653" s="119" t="s">
        <v>6850</v>
      </c>
    </row>
    <row r="1654" spans="1:5" x14ac:dyDescent="0.25">
      <c r="A1654" s="119">
        <v>2793</v>
      </c>
      <c r="B1654" s="119" t="s">
        <v>6849</v>
      </c>
      <c r="C1654" s="119" t="s">
        <v>6858</v>
      </c>
      <c r="D1654" s="119" t="s">
        <v>576</v>
      </c>
      <c r="E1654" s="119" t="s">
        <v>6850</v>
      </c>
    </row>
    <row r="1655" spans="1:5" x14ac:dyDescent="0.25">
      <c r="A1655" s="119">
        <v>2794</v>
      </c>
      <c r="B1655" s="119" t="s">
        <v>6849</v>
      </c>
      <c r="C1655" s="119" t="s">
        <v>6358</v>
      </c>
      <c r="D1655" s="119" t="s">
        <v>47</v>
      </c>
      <c r="E1655" s="119" t="s">
        <v>6850</v>
      </c>
    </row>
    <row r="1656" spans="1:5" x14ac:dyDescent="0.25">
      <c r="A1656" s="119">
        <v>2797</v>
      </c>
      <c r="B1656" s="119" t="s">
        <v>6849</v>
      </c>
      <c r="C1656" s="119" t="s">
        <v>6358</v>
      </c>
      <c r="D1656" s="119" t="s">
        <v>47</v>
      </c>
      <c r="E1656" s="119" t="s">
        <v>6850</v>
      </c>
    </row>
    <row r="1657" spans="1:5" x14ac:dyDescent="0.25">
      <c r="A1657" s="119">
        <v>2800</v>
      </c>
      <c r="B1657" s="119" t="s">
        <v>6849</v>
      </c>
      <c r="C1657" s="119" t="s">
        <v>5218</v>
      </c>
      <c r="D1657" s="119" t="s">
        <v>78</v>
      </c>
      <c r="E1657" s="119" t="s">
        <v>6850</v>
      </c>
    </row>
    <row r="1658" spans="1:5" x14ac:dyDescent="0.25">
      <c r="A1658" s="119">
        <v>2802</v>
      </c>
      <c r="B1658" s="119" t="s">
        <v>6849</v>
      </c>
      <c r="C1658" s="119" t="s">
        <v>6856</v>
      </c>
      <c r="D1658" s="119" t="s">
        <v>78</v>
      </c>
      <c r="E1658" s="119" t="s">
        <v>6850</v>
      </c>
    </row>
    <row r="1659" spans="1:5" x14ac:dyDescent="0.25">
      <c r="A1659" s="119">
        <v>2803</v>
      </c>
      <c r="B1659" s="119" t="s">
        <v>6849</v>
      </c>
      <c r="C1659" s="119" t="s">
        <v>6856</v>
      </c>
      <c r="D1659" s="119" t="s">
        <v>78</v>
      </c>
      <c r="E1659" s="119" t="s">
        <v>6850</v>
      </c>
    </row>
    <row r="1660" spans="1:5" x14ac:dyDescent="0.25">
      <c r="A1660" s="119">
        <v>2804</v>
      </c>
      <c r="B1660" s="119" t="s">
        <v>6849</v>
      </c>
      <c r="C1660" s="119" t="s">
        <v>6856</v>
      </c>
      <c r="D1660" s="119" t="s">
        <v>78</v>
      </c>
      <c r="E1660" s="119" t="s">
        <v>6850</v>
      </c>
    </row>
    <row r="1661" spans="1:5" x14ac:dyDescent="0.25">
      <c r="A1661" s="119">
        <v>2805</v>
      </c>
      <c r="B1661" s="119" t="s">
        <v>6849</v>
      </c>
      <c r="C1661" s="119" t="s">
        <v>6856</v>
      </c>
      <c r="D1661" s="119" t="s">
        <v>78</v>
      </c>
      <c r="E1661" s="119" t="s">
        <v>6850</v>
      </c>
    </row>
    <row r="1662" spans="1:5" x14ac:dyDescent="0.25">
      <c r="A1662" s="119">
        <v>2806</v>
      </c>
      <c r="B1662" s="119" t="s">
        <v>6849</v>
      </c>
      <c r="C1662" s="119" t="s">
        <v>6856</v>
      </c>
      <c r="D1662" s="119" t="s">
        <v>78</v>
      </c>
      <c r="E1662" s="119" t="s">
        <v>6850</v>
      </c>
    </row>
    <row r="1663" spans="1:5" x14ac:dyDescent="0.25">
      <c r="A1663" s="119">
        <v>2807</v>
      </c>
      <c r="B1663" s="119" t="s">
        <v>6849</v>
      </c>
      <c r="C1663" s="119" t="s">
        <v>5218</v>
      </c>
      <c r="D1663" s="119" t="s">
        <v>78</v>
      </c>
      <c r="E1663" s="119" t="s">
        <v>6850</v>
      </c>
    </row>
    <row r="1664" spans="1:5" x14ac:dyDescent="0.25">
      <c r="A1664" s="119">
        <v>2808</v>
      </c>
      <c r="B1664" s="119" t="s">
        <v>6849</v>
      </c>
      <c r="C1664" s="119" t="s">
        <v>6856</v>
      </c>
      <c r="D1664" s="119" t="s">
        <v>78</v>
      </c>
      <c r="E1664" s="119" t="s">
        <v>6850</v>
      </c>
    </row>
    <row r="1665" spans="1:5" x14ac:dyDescent="0.25">
      <c r="A1665" s="119">
        <v>2809</v>
      </c>
      <c r="B1665" s="119" t="s">
        <v>6849</v>
      </c>
      <c r="C1665" s="119" t="s">
        <v>6856</v>
      </c>
      <c r="D1665" s="119" t="s">
        <v>78</v>
      </c>
      <c r="E1665" s="119" t="s">
        <v>6850</v>
      </c>
    </row>
    <row r="1666" spans="1:5" x14ac:dyDescent="0.25">
      <c r="A1666" s="119">
        <v>2810</v>
      </c>
      <c r="B1666" s="119" t="s">
        <v>6849</v>
      </c>
      <c r="C1666" s="119" t="s">
        <v>6856</v>
      </c>
      <c r="D1666" s="119" t="s">
        <v>78</v>
      </c>
      <c r="E1666" s="119" t="s">
        <v>6850</v>
      </c>
    </row>
    <row r="1667" spans="1:5" x14ac:dyDescent="0.25">
      <c r="A1667" s="119">
        <v>2812</v>
      </c>
      <c r="B1667" s="119" t="s">
        <v>6849</v>
      </c>
      <c r="C1667" s="119" t="s">
        <v>6857</v>
      </c>
      <c r="D1667" s="119" t="s">
        <v>47</v>
      </c>
      <c r="E1667" s="119" t="s">
        <v>6850</v>
      </c>
    </row>
    <row r="1668" spans="1:5" x14ac:dyDescent="0.25">
      <c r="A1668" s="119">
        <v>2815</v>
      </c>
      <c r="B1668" s="119" t="s">
        <v>6849</v>
      </c>
      <c r="C1668" s="119" t="s">
        <v>6856</v>
      </c>
      <c r="D1668" s="119" t="s">
        <v>78</v>
      </c>
      <c r="E1668" s="119" t="s">
        <v>6850</v>
      </c>
    </row>
    <row r="1669" spans="1:5" x14ac:dyDescent="0.25">
      <c r="A1669" s="119">
        <v>2816</v>
      </c>
      <c r="B1669" s="119" t="s">
        <v>6849</v>
      </c>
      <c r="C1669" s="119" t="s">
        <v>6856</v>
      </c>
      <c r="D1669" s="119" t="s">
        <v>78</v>
      </c>
      <c r="E1669" s="119" t="s">
        <v>6850</v>
      </c>
    </row>
    <row r="1670" spans="1:5" x14ac:dyDescent="0.25">
      <c r="A1670" s="119">
        <v>2817</v>
      </c>
      <c r="B1670" s="119" t="s">
        <v>6849</v>
      </c>
      <c r="C1670" s="119" t="s">
        <v>6856</v>
      </c>
      <c r="D1670" s="119" t="s">
        <v>78</v>
      </c>
      <c r="E1670" s="119" t="s">
        <v>6850</v>
      </c>
    </row>
    <row r="1671" spans="1:5" x14ac:dyDescent="0.25">
      <c r="A1671" s="119">
        <v>2818</v>
      </c>
      <c r="B1671" s="119" t="s">
        <v>6849</v>
      </c>
      <c r="C1671" s="119" t="s">
        <v>6856</v>
      </c>
      <c r="D1671" s="119" t="s">
        <v>78</v>
      </c>
      <c r="E1671" s="119" t="s">
        <v>6850</v>
      </c>
    </row>
    <row r="1672" spans="1:5" x14ac:dyDescent="0.25">
      <c r="A1672" s="119">
        <v>2819</v>
      </c>
      <c r="B1672" s="119" t="s">
        <v>6849</v>
      </c>
      <c r="C1672" s="119" t="s">
        <v>6856</v>
      </c>
      <c r="D1672" s="119" t="s">
        <v>78</v>
      </c>
      <c r="E1672" s="119" t="s">
        <v>6850</v>
      </c>
    </row>
    <row r="1673" spans="1:5" x14ac:dyDescent="0.25">
      <c r="A1673" s="119">
        <v>2821</v>
      </c>
      <c r="B1673" s="119" t="s">
        <v>6849</v>
      </c>
      <c r="C1673" s="119" t="s">
        <v>6856</v>
      </c>
      <c r="D1673" s="119" t="s">
        <v>78</v>
      </c>
      <c r="E1673" s="119" t="s">
        <v>6850</v>
      </c>
    </row>
    <row r="1674" spans="1:5" x14ac:dyDescent="0.25">
      <c r="A1674" s="119">
        <v>2823</v>
      </c>
      <c r="B1674" s="119" t="s">
        <v>6849</v>
      </c>
      <c r="C1674" s="119" t="s">
        <v>5218</v>
      </c>
      <c r="D1674" s="119" t="s">
        <v>78</v>
      </c>
      <c r="E1674" s="119" t="s">
        <v>6850</v>
      </c>
    </row>
    <row r="1675" spans="1:5" x14ac:dyDescent="0.25">
      <c r="A1675" s="119">
        <v>2824</v>
      </c>
      <c r="B1675" s="119" t="s">
        <v>6849</v>
      </c>
      <c r="C1675" s="119" t="s">
        <v>6858</v>
      </c>
      <c r="D1675" s="119" t="s">
        <v>576</v>
      </c>
      <c r="E1675" s="119" t="s">
        <v>6850</v>
      </c>
    </row>
    <row r="1676" spans="1:5" x14ac:dyDescent="0.25">
      <c r="A1676" s="119">
        <v>2825</v>
      </c>
      <c r="B1676" s="119" t="s">
        <v>6849</v>
      </c>
      <c r="C1676" s="119" t="s">
        <v>6358</v>
      </c>
      <c r="D1676" s="119" t="s">
        <v>47</v>
      </c>
      <c r="E1676" s="119" t="s">
        <v>6850</v>
      </c>
    </row>
    <row r="1677" spans="1:5" x14ac:dyDescent="0.25">
      <c r="A1677" s="119">
        <v>2828</v>
      </c>
      <c r="B1677" s="119" t="s">
        <v>6849</v>
      </c>
      <c r="C1677" s="119" t="s">
        <v>6358</v>
      </c>
      <c r="D1677" s="119" t="s">
        <v>47</v>
      </c>
      <c r="E1677" s="119" t="s">
        <v>6850</v>
      </c>
    </row>
    <row r="1678" spans="1:5" x14ac:dyDescent="0.25">
      <c r="A1678" s="119">
        <v>2831</v>
      </c>
      <c r="B1678" s="119" t="s">
        <v>6849</v>
      </c>
      <c r="C1678" s="119" t="s">
        <v>5218</v>
      </c>
      <c r="D1678" s="119" t="s">
        <v>78</v>
      </c>
      <c r="E1678" s="119" t="s">
        <v>6850</v>
      </c>
    </row>
    <row r="1679" spans="1:5" x14ac:dyDescent="0.25">
      <c r="A1679" s="119">
        <v>2833</v>
      </c>
      <c r="B1679" s="119" t="s">
        <v>6849</v>
      </c>
      <c r="C1679" s="119" t="s">
        <v>6856</v>
      </c>
      <c r="D1679" s="119" t="s">
        <v>78</v>
      </c>
      <c r="E1679" s="119" t="s">
        <v>6850</v>
      </c>
    </row>
    <row r="1680" spans="1:5" x14ac:dyDescent="0.25">
      <c r="A1680" s="119">
        <v>2834</v>
      </c>
      <c r="B1680" s="119" t="s">
        <v>6849</v>
      </c>
      <c r="C1680" s="119" t="s">
        <v>6856</v>
      </c>
      <c r="D1680" s="119" t="s">
        <v>78</v>
      </c>
      <c r="E1680" s="119" t="s">
        <v>6850</v>
      </c>
    </row>
    <row r="1681" spans="1:5" x14ac:dyDescent="0.25">
      <c r="A1681" s="119">
        <v>2835</v>
      </c>
      <c r="B1681" s="119" t="s">
        <v>6849</v>
      </c>
      <c r="C1681" s="119" t="s">
        <v>6856</v>
      </c>
      <c r="D1681" s="119" t="s">
        <v>78</v>
      </c>
      <c r="E1681" s="119" t="s">
        <v>6850</v>
      </c>
    </row>
    <row r="1682" spans="1:5" x14ac:dyDescent="0.25">
      <c r="A1682" s="119">
        <v>2836</v>
      </c>
      <c r="B1682" s="119" t="s">
        <v>6849</v>
      </c>
      <c r="C1682" s="119" t="s">
        <v>6856</v>
      </c>
      <c r="D1682" s="119" t="s">
        <v>78</v>
      </c>
      <c r="E1682" s="119" t="s">
        <v>6850</v>
      </c>
    </row>
    <row r="1683" spans="1:5" x14ac:dyDescent="0.25">
      <c r="A1683" s="119">
        <v>2837</v>
      </c>
      <c r="B1683" s="119" t="s">
        <v>6849</v>
      </c>
      <c r="C1683" s="119" t="s">
        <v>6856</v>
      </c>
      <c r="D1683" s="119" t="s">
        <v>78</v>
      </c>
      <c r="E1683" s="119" t="s">
        <v>6850</v>
      </c>
    </row>
    <row r="1684" spans="1:5" x14ac:dyDescent="0.25">
      <c r="A1684" s="119">
        <v>2838</v>
      </c>
      <c r="B1684" s="119" t="s">
        <v>6849</v>
      </c>
      <c r="C1684" s="119" t="s">
        <v>5218</v>
      </c>
      <c r="D1684" s="119" t="s">
        <v>78</v>
      </c>
      <c r="E1684" s="119" t="s">
        <v>6850</v>
      </c>
    </row>
    <row r="1685" spans="1:5" x14ac:dyDescent="0.25">
      <c r="A1685" s="119">
        <v>2839</v>
      </c>
      <c r="B1685" s="119" t="s">
        <v>6849</v>
      </c>
      <c r="C1685" s="119" t="s">
        <v>6856</v>
      </c>
      <c r="D1685" s="119" t="s">
        <v>78</v>
      </c>
      <c r="E1685" s="119" t="s">
        <v>6850</v>
      </c>
    </row>
    <row r="1686" spans="1:5" x14ac:dyDescent="0.25">
      <c r="A1686" s="119">
        <v>2840</v>
      </c>
      <c r="B1686" s="119" t="s">
        <v>6849</v>
      </c>
      <c r="C1686" s="119" t="s">
        <v>6856</v>
      </c>
      <c r="D1686" s="119" t="s">
        <v>78</v>
      </c>
      <c r="E1686" s="119" t="s">
        <v>6850</v>
      </c>
    </row>
    <row r="1687" spans="1:5" x14ac:dyDescent="0.25">
      <c r="A1687" s="119">
        <v>2841</v>
      </c>
      <c r="B1687" s="119" t="s">
        <v>6849</v>
      </c>
      <c r="C1687" s="119" t="s">
        <v>6856</v>
      </c>
      <c r="D1687" s="119" t="s">
        <v>78</v>
      </c>
      <c r="E1687" s="119" t="s">
        <v>6850</v>
      </c>
    </row>
    <row r="1688" spans="1:5" x14ac:dyDescent="0.25">
      <c r="A1688" s="119">
        <v>2843</v>
      </c>
      <c r="B1688" s="119" t="s">
        <v>6849</v>
      </c>
      <c r="C1688" s="119" t="s">
        <v>6857</v>
      </c>
      <c r="D1688" s="119" t="s">
        <v>47</v>
      </c>
      <c r="E1688" s="119" t="s">
        <v>6850</v>
      </c>
    </row>
    <row r="1689" spans="1:5" x14ac:dyDescent="0.25">
      <c r="A1689" s="119">
        <v>2846</v>
      </c>
      <c r="B1689" s="119" t="s">
        <v>6849</v>
      </c>
      <c r="C1689" s="119" t="s">
        <v>6856</v>
      </c>
      <c r="D1689" s="119" t="s">
        <v>78</v>
      </c>
      <c r="E1689" s="119" t="s">
        <v>6850</v>
      </c>
    </row>
    <row r="1690" spans="1:5" x14ac:dyDescent="0.25">
      <c r="A1690" s="119">
        <v>2847</v>
      </c>
      <c r="B1690" s="119" t="s">
        <v>6849</v>
      </c>
      <c r="C1690" s="119" t="s">
        <v>6856</v>
      </c>
      <c r="D1690" s="119" t="s">
        <v>78</v>
      </c>
      <c r="E1690" s="119" t="s">
        <v>6850</v>
      </c>
    </row>
    <row r="1691" spans="1:5" x14ac:dyDescent="0.25">
      <c r="A1691" s="119">
        <v>2848</v>
      </c>
      <c r="B1691" s="119" t="s">
        <v>6849</v>
      </c>
      <c r="C1691" s="119" t="s">
        <v>6856</v>
      </c>
      <c r="D1691" s="119" t="s">
        <v>78</v>
      </c>
      <c r="E1691" s="119" t="s">
        <v>6850</v>
      </c>
    </row>
    <row r="1692" spans="1:5" x14ac:dyDescent="0.25">
      <c r="A1692" s="119">
        <v>2849</v>
      </c>
      <c r="B1692" s="119" t="s">
        <v>6849</v>
      </c>
      <c r="C1692" s="119" t="s">
        <v>6856</v>
      </c>
      <c r="D1692" s="119" t="s">
        <v>78</v>
      </c>
      <c r="E1692" s="119" t="s">
        <v>6850</v>
      </c>
    </row>
    <row r="1693" spans="1:5" x14ac:dyDescent="0.25">
      <c r="A1693" s="119">
        <v>2850</v>
      </c>
      <c r="B1693" s="119" t="s">
        <v>6849</v>
      </c>
      <c r="C1693" s="119" t="s">
        <v>6856</v>
      </c>
      <c r="D1693" s="119" t="s">
        <v>78</v>
      </c>
      <c r="E1693" s="119" t="s">
        <v>6850</v>
      </c>
    </row>
    <row r="1694" spans="1:5" x14ac:dyDescent="0.25">
      <c r="A1694" s="119">
        <v>2852</v>
      </c>
      <c r="B1694" s="119" t="s">
        <v>6849</v>
      </c>
      <c r="C1694" s="119" t="s">
        <v>6856</v>
      </c>
      <c r="D1694" s="119" t="s">
        <v>78</v>
      </c>
      <c r="E1694" s="119" t="s">
        <v>6850</v>
      </c>
    </row>
    <row r="1695" spans="1:5" x14ac:dyDescent="0.25">
      <c r="A1695" s="119">
        <v>2854</v>
      </c>
      <c r="B1695" s="119" t="s">
        <v>6849</v>
      </c>
      <c r="C1695" s="119" t="s">
        <v>5218</v>
      </c>
      <c r="D1695" s="119" t="s">
        <v>78</v>
      </c>
      <c r="E1695" s="119" t="s">
        <v>6850</v>
      </c>
    </row>
    <row r="1696" spans="1:5" x14ac:dyDescent="0.25">
      <c r="A1696" s="119">
        <v>2855</v>
      </c>
      <c r="B1696" s="119" t="s">
        <v>6849</v>
      </c>
      <c r="C1696" s="119" t="s">
        <v>6858</v>
      </c>
      <c r="D1696" s="119" t="s">
        <v>576</v>
      </c>
      <c r="E1696" s="119" t="s">
        <v>6850</v>
      </c>
    </row>
    <row r="1697" spans="1:5" x14ac:dyDescent="0.25">
      <c r="A1697" s="119">
        <v>2856</v>
      </c>
      <c r="B1697" s="119" t="s">
        <v>6849</v>
      </c>
      <c r="C1697" s="119" t="s">
        <v>6358</v>
      </c>
      <c r="D1697" s="119" t="s">
        <v>47</v>
      </c>
      <c r="E1697" s="119" t="s">
        <v>6850</v>
      </c>
    </row>
    <row r="1698" spans="1:5" x14ac:dyDescent="0.25">
      <c r="A1698" s="119">
        <v>2859</v>
      </c>
      <c r="B1698" s="119" t="s">
        <v>6849</v>
      </c>
      <c r="C1698" s="119" t="s">
        <v>6358</v>
      </c>
      <c r="D1698" s="119" t="s">
        <v>47</v>
      </c>
      <c r="E1698" s="119" t="s">
        <v>6850</v>
      </c>
    </row>
    <row r="1699" spans="1:5" x14ac:dyDescent="0.25">
      <c r="A1699" s="119">
        <v>2862</v>
      </c>
      <c r="B1699" s="119" t="s">
        <v>6849</v>
      </c>
      <c r="C1699" s="119" t="s">
        <v>6362</v>
      </c>
      <c r="D1699" s="119" t="s">
        <v>78</v>
      </c>
      <c r="E1699" s="119" t="s">
        <v>6850</v>
      </c>
    </row>
    <row r="1700" spans="1:5" x14ac:dyDescent="0.25">
      <c r="A1700" s="119">
        <v>2864</v>
      </c>
      <c r="B1700" s="119" t="s">
        <v>6849</v>
      </c>
      <c r="C1700" s="119" t="s">
        <v>6856</v>
      </c>
      <c r="D1700" s="119" t="s">
        <v>78</v>
      </c>
      <c r="E1700" s="119" t="s">
        <v>6850</v>
      </c>
    </row>
    <row r="1701" spans="1:5" x14ac:dyDescent="0.25">
      <c r="A1701" s="119">
        <v>2865</v>
      </c>
      <c r="B1701" s="119" t="s">
        <v>6849</v>
      </c>
      <c r="C1701" s="119" t="s">
        <v>6856</v>
      </c>
      <c r="D1701" s="119" t="s">
        <v>78</v>
      </c>
      <c r="E1701" s="119" t="s">
        <v>6850</v>
      </c>
    </row>
    <row r="1702" spans="1:5" x14ac:dyDescent="0.25">
      <c r="A1702" s="119">
        <v>2866</v>
      </c>
      <c r="B1702" s="119" t="s">
        <v>6849</v>
      </c>
      <c r="C1702" s="119" t="s">
        <v>6856</v>
      </c>
      <c r="D1702" s="119" t="s">
        <v>78</v>
      </c>
      <c r="E1702" s="119" t="s">
        <v>6850</v>
      </c>
    </row>
    <row r="1703" spans="1:5" x14ac:dyDescent="0.25">
      <c r="A1703" s="119">
        <v>2867</v>
      </c>
      <c r="B1703" s="119" t="s">
        <v>6849</v>
      </c>
      <c r="C1703" s="119" t="s">
        <v>6856</v>
      </c>
      <c r="D1703" s="119" t="s">
        <v>78</v>
      </c>
      <c r="E1703" s="119" t="s">
        <v>6850</v>
      </c>
    </row>
    <row r="1704" spans="1:5" x14ac:dyDescent="0.25">
      <c r="A1704" s="119">
        <v>2868</v>
      </c>
      <c r="B1704" s="119" t="s">
        <v>6849</v>
      </c>
      <c r="C1704" s="119" t="s">
        <v>6856</v>
      </c>
      <c r="D1704" s="119" t="s">
        <v>78</v>
      </c>
      <c r="E1704" s="119" t="s">
        <v>6850</v>
      </c>
    </row>
    <row r="1705" spans="1:5" x14ac:dyDescent="0.25">
      <c r="A1705" s="119">
        <v>2869</v>
      </c>
      <c r="B1705" s="119" t="s">
        <v>6849</v>
      </c>
      <c r="C1705" s="119" t="s">
        <v>5218</v>
      </c>
      <c r="D1705" s="119" t="s">
        <v>78</v>
      </c>
      <c r="E1705" s="119" t="s">
        <v>6850</v>
      </c>
    </row>
    <row r="1706" spans="1:5" x14ac:dyDescent="0.25">
      <c r="A1706" s="119">
        <v>2870</v>
      </c>
      <c r="B1706" s="119" t="s">
        <v>6849</v>
      </c>
      <c r="C1706" s="119" t="s">
        <v>6856</v>
      </c>
      <c r="D1706" s="119" t="s">
        <v>78</v>
      </c>
      <c r="E1706" s="119" t="s">
        <v>6850</v>
      </c>
    </row>
    <row r="1707" spans="1:5" x14ac:dyDescent="0.25">
      <c r="A1707" s="119">
        <v>2871</v>
      </c>
      <c r="B1707" s="119" t="s">
        <v>6849</v>
      </c>
      <c r="C1707" s="119" t="s">
        <v>6856</v>
      </c>
      <c r="D1707" s="119" t="s">
        <v>78</v>
      </c>
      <c r="E1707" s="119" t="s">
        <v>6850</v>
      </c>
    </row>
    <row r="1708" spans="1:5" x14ac:dyDescent="0.25">
      <c r="A1708" s="119">
        <v>2872</v>
      </c>
      <c r="B1708" s="119" t="s">
        <v>6849</v>
      </c>
      <c r="C1708" s="119" t="s">
        <v>6856</v>
      </c>
      <c r="D1708" s="119" t="s">
        <v>78</v>
      </c>
      <c r="E1708" s="119" t="s">
        <v>6850</v>
      </c>
    </row>
    <row r="1709" spans="1:5" x14ac:dyDescent="0.25">
      <c r="A1709" s="119">
        <v>2874</v>
      </c>
      <c r="B1709" s="119" t="s">
        <v>6849</v>
      </c>
      <c r="C1709" s="119" t="s">
        <v>6857</v>
      </c>
      <c r="D1709" s="119" t="s">
        <v>47</v>
      </c>
      <c r="E1709" s="119" t="s">
        <v>6850</v>
      </c>
    </row>
    <row r="1710" spans="1:5" x14ac:dyDescent="0.25">
      <c r="A1710" s="119">
        <v>2877</v>
      </c>
      <c r="B1710" s="119" t="s">
        <v>6849</v>
      </c>
      <c r="C1710" s="119" t="s">
        <v>6856</v>
      </c>
      <c r="D1710" s="119" t="s">
        <v>78</v>
      </c>
      <c r="E1710" s="119" t="s">
        <v>6850</v>
      </c>
    </row>
    <row r="1711" spans="1:5" x14ac:dyDescent="0.25">
      <c r="A1711" s="119">
        <v>2878</v>
      </c>
      <c r="B1711" s="119" t="s">
        <v>6849</v>
      </c>
      <c r="C1711" s="119" t="s">
        <v>6856</v>
      </c>
      <c r="D1711" s="119" t="s">
        <v>78</v>
      </c>
      <c r="E1711" s="119" t="s">
        <v>6850</v>
      </c>
    </row>
    <row r="1712" spans="1:5" x14ac:dyDescent="0.25">
      <c r="A1712" s="119">
        <v>2879</v>
      </c>
      <c r="B1712" s="119" t="s">
        <v>6849</v>
      </c>
      <c r="C1712" s="119" t="s">
        <v>6856</v>
      </c>
      <c r="D1712" s="119" t="s">
        <v>78</v>
      </c>
      <c r="E1712" s="119" t="s">
        <v>6850</v>
      </c>
    </row>
    <row r="1713" spans="1:5" x14ac:dyDescent="0.25">
      <c r="A1713" s="119">
        <v>2880</v>
      </c>
      <c r="B1713" s="119" t="s">
        <v>6849</v>
      </c>
      <c r="C1713" s="119" t="s">
        <v>6856</v>
      </c>
      <c r="D1713" s="119" t="s">
        <v>78</v>
      </c>
      <c r="E1713" s="119" t="s">
        <v>6850</v>
      </c>
    </row>
    <row r="1714" spans="1:5" x14ac:dyDescent="0.25">
      <c r="A1714" s="119">
        <v>2881</v>
      </c>
      <c r="B1714" s="119" t="s">
        <v>6849</v>
      </c>
      <c r="C1714" s="119" t="s">
        <v>6856</v>
      </c>
      <c r="D1714" s="119" t="s">
        <v>78</v>
      </c>
      <c r="E1714" s="119" t="s">
        <v>6850</v>
      </c>
    </row>
    <row r="1715" spans="1:5" x14ac:dyDescent="0.25">
      <c r="A1715" s="119">
        <v>2883</v>
      </c>
      <c r="B1715" s="119" t="s">
        <v>6849</v>
      </c>
      <c r="C1715" s="119" t="s">
        <v>6856</v>
      </c>
      <c r="D1715" s="119" t="s">
        <v>78</v>
      </c>
      <c r="E1715" s="119" t="s">
        <v>6850</v>
      </c>
    </row>
    <row r="1716" spans="1:5" x14ac:dyDescent="0.25">
      <c r="A1716" s="119">
        <v>2885</v>
      </c>
      <c r="B1716" s="119" t="s">
        <v>6849</v>
      </c>
      <c r="C1716" s="119" t="s">
        <v>5218</v>
      </c>
      <c r="D1716" s="119" t="s">
        <v>78</v>
      </c>
      <c r="E1716" s="119" t="s">
        <v>6850</v>
      </c>
    </row>
    <row r="1717" spans="1:5" x14ac:dyDescent="0.25">
      <c r="A1717" s="119">
        <v>2886</v>
      </c>
      <c r="B1717" s="119" t="s">
        <v>6849</v>
      </c>
      <c r="C1717" s="119" t="s">
        <v>6858</v>
      </c>
      <c r="D1717" s="119" t="s">
        <v>576</v>
      </c>
      <c r="E1717" s="119" t="s">
        <v>6850</v>
      </c>
    </row>
    <row r="1718" spans="1:5" x14ac:dyDescent="0.25">
      <c r="A1718" s="119">
        <v>2887</v>
      </c>
      <c r="B1718" s="119" t="s">
        <v>6849</v>
      </c>
      <c r="C1718" s="119" t="s">
        <v>6358</v>
      </c>
      <c r="D1718" s="119" t="s">
        <v>47</v>
      </c>
      <c r="E1718" s="119" t="s">
        <v>6850</v>
      </c>
    </row>
    <row r="1719" spans="1:5" x14ac:dyDescent="0.25">
      <c r="A1719" s="119">
        <v>2890</v>
      </c>
      <c r="B1719" s="119" t="s">
        <v>6849</v>
      </c>
      <c r="C1719" s="119" t="s">
        <v>6358</v>
      </c>
      <c r="D1719" s="119" t="s">
        <v>47</v>
      </c>
      <c r="E1719" s="119" t="s">
        <v>6850</v>
      </c>
    </row>
    <row r="1720" spans="1:5" x14ac:dyDescent="0.25">
      <c r="A1720" s="119">
        <v>2893</v>
      </c>
      <c r="B1720" s="119" t="s">
        <v>6849</v>
      </c>
      <c r="C1720" s="119" t="s">
        <v>5218</v>
      </c>
      <c r="D1720" s="119" t="s">
        <v>78</v>
      </c>
      <c r="E1720" s="119" t="s">
        <v>6850</v>
      </c>
    </row>
    <row r="1721" spans="1:5" x14ac:dyDescent="0.25">
      <c r="A1721" s="119">
        <v>2895</v>
      </c>
      <c r="B1721" s="119" t="s">
        <v>6849</v>
      </c>
      <c r="C1721" s="119" t="s">
        <v>6856</v>
      </c>
      <c r="D1721" s="119" t="s">
        <v>78</v>
      </c>
      <c r="E1721" s="119" t="s">
        <v>6850</v>
      </c>
    </row>
    <row r="1722" spans="1:5" x14ac:dyDescent="0.25">
      <c r="A1722" s="119">
        <v>2896</v>
      </c>
      <c r="B1722" s="119" t="s">
        <v>6849</v>
      </c>
      <c r="C1722" s="119" t="s">
        <v>6856</v>
      </c>
      <c r="D1722" s="119" t="s">
        <v>78</v>
      </c>
      <c r="E1722" s="119" t="s">
        <v>6850</v>
      </c>
    </row>
    <row r="1723" spans="1:5" x14ac:dyDescent="0.25">
      <c r="A1723" s="119">
        <v>2897</v>
      </c>
      <c r="B1723" s="119" t="s">
        <v>6849</v>
      </c>
      <c r="C1723" s="119" t="s">
        <v>6856</v>
      </c>
      <c r="D1723" s="119" t="s">
        <v>78</v>
      </c>
      <c r="E1723" s="119" t="s">
        <v>6850</v>
      </c>
    </row>
    <row r="1724" spans="1:5" x14ac:dyDescent="0.25">
      <c r="A1724" s="119">
        <v>2898</v>
      </c>
      <c r="B1724" s="119" t="s">
        <v>6849</v>
      </c>
      <c r="C1724" s="119" t="s">
        <v>6856</v>
      </c>
      <c r="D1724" s="119" t="s">
        <v>78</v>
      </c>
      <c r="E1724" s="119" t="s">
        <v>6850</v>
      </c>
    </row>
    <row r="1725" spans="1:5" x14ac:dyDescent="0.25">
      <c r="A1725" s="119">
        <v>2899</v>
      </c>
      <c r="B1725" s="119" t="s">
        <v>6849</v>
      </c>
      <c r="C1725" s="119" t="s">
        <v>6856</v>
      </c>
      <c r="D1725" s="119" t="s">
        <v>78</v>
      </c>
      <c r="E1725" s="119" t="s">
        <v>6850</v>
      </c>
    </row>
    <row r="1726" spans="1:5" x14ac:dyDescent="0.25">
      <c r="A1726" s="119">
        <v>2900</v>
      </c>
      <c r="B1726" s="119" t="s">
        <v>6849</v>
      </c>
      <c r="C1726" s="119" t="s">
        <v>5218</v>
      </c>
      <c r="D1726" s="119" t="s">
        <v>78</v>
      </c>
      <c r="E1726" s="119" t="s">
        <v>6850</v>
      </c>
    </row>
    <row r="1727" spans="1:5" x14ac:dyDescent="0.25">
      <c r="A1727" s="119">
        <v>2901</v>
      </c>
      <c r="B1727" s="119" t="s">
        <v>6849</v>
      </c>
      <c r="C1727" s="119" t="s">
        <v>6856</v>
      </c>
      <c r="D1727" s="119" t="s">
        <v>78</v>
      </c>
      <c r="E1727" s="119" t="s">
        <v>6850</v>
      </c>
    </row>
    <row r="1728" spans="1:5" x14ac:dyDescent="0.25">
      <c r="A1728" s="119">
        <v>2902</v>
      </c>
      <c r="B1728" s="119" t="s">
        <v>6849</v>
      </c>
      <c r="C1728" s="119" t="s">
        <v>6856</v>
      </c>
      <c r="D1728" s="119" t="s">
        <v>78</v>
      </c>
      <c r="E1728" s="119" t="s">
        <v>6850</v>
      </c>
    </row>
    <row r="1729" spans="1:5" x14ac:dyDescent="0.25">
      <c r="A1729" s="119">
        <v>2903</v>
      </c>
      <c r="B1729" s="119" t="s">
        <v>6849</v>
      </c>
      <c r="C1729" s="119" t="s">
        <v>6856</v>
      </c>
      <c r="D1729" s="119" t="s">
        <v>78</v>
      </c>
      <c r="E1729" s="119" t="s">
        <v>6850</v>
      </c>
    </row>
    <row r="1730" spans="1:5" x14ac:dyDescent="0.25">
      <c r="A1730" s="119">
        <v>2905</v>
      </c>
      <c r="B1730" s="119" t="s">
        <v>6849</v>
      </c>
      <c r="C1730" s="119" t="s">
        <v>6856</v>
      </c>
      <c r="D1730" s="119" t="s">
        <v>78</v>
      </c>
      <c r="E1730" s="119" t="s">
        <v>6850</v>
      </c>
    </row>
    <row r="1731" spans="1:5" x14ac:dyDescent="0.25">
      <c r="A1731" s="119">
        <v>2908</v>
      </c>
      <c r="B1731" s="119" t="s">
        <v>6849</v>
      </c>
      <c r="C1731" s="119" t="s">
        <v>6856</v>
      </c>
      <c r="D1731" s="119" t="s">
        <v>78</v>
      </c>
      <c r="E1731" s="119" t="s">
        <v>6850</v>
      </c>
    </row>
    <row r="1732" spans="1:5" x14ac:dyDescent="0.25">
      <c r="A1732" s="119">
        <v>2909</v>
      </c>
      <c r="B1732" s="119" t="s">
        <v>6849</v>
      </c>
      <c r="C1732" s="119" t="s">
        <v>6856</v>
      </c>
      <c r="D1732" s="119" t="s">
        <v>78</v>
      </c>
      <c r="E1732" s="119" t="s">
        <v>6850</v>
      </c>
    </row>
    <row r="1733" spans="1:5" x14ac:dyDescent="0.25">
      <c r="A1733" s="119">
        <v>2910</v>
      </c>
      <c r="B1733" s="119" t="s">
        <v>6849</v>
      </c>
      <c r="C1733" s="119" t="s">
        <v>6856</v>
      </c>
      <c r="D1733" s="119" t="s">
        <v>78</v>
      </c>
      <c r="E1733" s="119" t="s">
        <v>6850</v>
      </c>
    </row>
    <row r="1734" spans="1:5" x14ac:dyDescent="0.25">
      <c r="A1734" s="119">
        <v>2911</v>
      </c>
      <c r="B1734" s="119" t="s">
        <v>6849</v>
      </c>
      <c r="C1734" s="119" t="s">
        <v>6856</v>
      </c>
      <c r="D1734" s="119" t="s">
        <v>78</v>
      </c>
      <c r="E1734" s="119" t="s">
        <v>6850</v>
      </c>
    </row>
    <row r="1735" spans="1:5" x14ac:dyDescent="0.25">
      <c r="A1735" s="119">
        <v>2912</v>
      </c>
      <c r="B1735" s="119" t="s">
        <v>6849</v>
      </c>
      <c r="C1735" s="119" t="s">
        <v>6856</v>
      </c>
      <c r="D1735" s="119" t="s">
        <v>78</v>
      </c>
      <c r="E1735" s="119" t="s">
        <v>6850</v>
      </c>
    </row>
    <row r="1736" spans="1:5" x14ac:dyDescent="0.25">
      <c r="A1736" s="119">
        <v>2914</v>
      </c>
      <c r="B1736" s="119" t="s">
        <v>6849</v>
      </c>
      <c r="C1736" s="119" t="s">
        <v>6856</v>
      </c>
      <c r="D1736" s="119" t="s">
        <v>78</v>
      </c>
      <c r="E1736" s="119" t="s">
        <v>6850</v>
      </c>
    </row>
    <row r="1737" spans="1:5" x14ac:dyDescent="0.25">
      <c r="A1737" s="119">
        <v>2916</v>
      </c>
      <c r="B1737" s="119" t="s">
        <v>6849</v>
      </c>
      <c r="C1737" s="119" t="s">
        <v>5218</v>
      </c>
      <c r="D1737" s="119" t="s">
        <v>78</v>
      </c>
      <c r="E1737" s="119" t="s">
        <v>6850</v>
      </c>
    </row>
    <row r="1738" spans="1:5" x14ac:dyDescent="0.25">
      <c r="A1738" s="119">
        <v>2917</v>
      </c>
      <c r="B1738" s="119" t="s">
        <v>6849</v>
      </c>
      <c r="C1738" s="119" t="s">
        <v>6858</v>
      </c>
      <c r="D1738" s="119" t="s">
        <v>576</v>
      </c>
      <c r="E1738" s="119" t="s">
        <v>6850</v>
      </c>
    </row>
    <row r="1739" spans="1:5" x14ac:dyDescent="0.25">
      <c r="A1739" s="119">
        <v>2918</v>
      </c>
      <c r="B1739" s="119" t="s">
        <v>6849</v>
      </c>
      <c r="C1739" s="119" t="s">
        <v>6358</v>
      </c>
      <c r="D1739" s="119" t="s">
        <v>47</v>
      </c>
      <c r="E1739" s="119" t="s">
        <v>6850</v>
      </c>
    </row>
    <row r="1740" spans="1:5" x14ac:dyDescent="0.25">
      <c r="A1740" s="119">
        <v>2921</v>
      </c>
      <c r="B1740" s="119" t="s">
        <v>6849</v>
      </c>
      <c r="C1740" s="119" t="s">
        <v>6358</v>
      </c>
      <c r="D1740" s="119" t="s">
        <v>47</v>
      </c>
      <c r="E1740" s="119" t="s">
        <v>6850</v>
      </c>
    </row>
    <row r="1741" spans="1:5" x14ac:dyDescent="0.25">
      <c r="A1741" s="119">
        <v>2924</v>
      </c>
      <c r="B1741" s="119" t="s">
        <v>6849</v>
      </c>
      <c r="C1741" s="119" t="s">
        <v>5218</v>
      </c>
      <c r="D1741" s="119" t="s">
        <v>78</v>
      </c>
      <c r="E1741" s="119" t="s">
        <v>6850</v>
      </c>
    </row>
    <row r="1742" spans="1:5" x14ac:dyDescent="0.25">
      <c r="A1742" s="119">
        <v>2926</v>
      </c>
      <c r="B1742" s="119" t="s">
        <v>6849</v>
      </c>
      <c r="C1742" s="119" t="s">
        <v>6856</v>
      </c>
      <c r="D1742" s="119" t="s">
        <v>78</v>
      </c>
      <c r="E1742" s="119" t="s">
        <v>6850</v>
      </c>
    </row>
    <row r="1743" spans="1:5" x14ac:dyDescent="0.25">
      <c r="A1743" s="119">
        <v>2927</v>
      </c>
      <c r="B1743" s="119" t="s">
        <v>6849</v>
      </c>
      <c r="C1743" s="119" t="s">
        <v>6856</v>
      </c>
      <c r="D1743" s="119" t="s">
        <v>78</v>
      </c>
      <c r="E1743" s="119" t="s">
        <v>6850</v>
      </c>
    </row>
    <row r="1744" spans="1:5" x14ac:dyDescent="0.25">
      <c r="A1744" s="119">
        <v>2928</v>
      </c>
      <c r="B1744" s="119" t="s">
        <v>6849</v>
      </c>
      <c r="C1744" s="119" t="s">
        <v>6856</v>
      </c>
      <c r="D1744" s="119" t="s">
        <v>78</v>
      </c>
      <c r="E1744" s="119" t="s">
        <v>6850</v>
      </c>
    </row>
    <row r="1745" spans="1:5" x14ac:dyDescent="0.25">
      <c r="A1745" s="119">
        <v>2929</v>
      </c>
      <c r="B1745" s="119" t="s">
        <v>6849</v>
      </c>
      <c r="C1745" s="119" t="s">
        <v>6856</v>
      </c>
      <c r="D1745" s="119" t="s">
        <v>78</v>
      </c>
      <c r="E1745" s="119" t="s">
        <v>6850</v>
      </c>
    </row>
    <row r="1746" spans="1:5" x14ac:dyDescent="0.25">
      <c r="A1746" s="119">
        <v>2930</v>
      </c>
      <c r="B1746" s="119" t="s">
        <v>6849</v>
      </c>
      <c r="C1746" s="119" t="s">
        <v>6856</v>
      </c>
      <c r="D1746" s="119" t="s">
        <v>78</v>
      </c>
      <c r="E1746" s="119" t="s">
        <v>6850</v>
      </c>
    </row>
    <row r="1747" spans="1:5" x14ac:dyDescent="0.25">
      <c r="A1747" s="119">
        <v>2931</v>
      </c>
      <c r="B1747" s="119" t="s">
        <v>6849</v>
      </c>
      <c r="C1747" s="119" t="s">
        <v>5218</v>
      </c>
      <c r="D1747" s="119" t="s">
        <v>78</v>
      </c>
      <c r="E1747" s="119" t="s">
        <v>6850</v>
      </c>
    </row>
    <row r="1748" spans="1:5" x14ac:dyDescent="0.25">
      <c r="A1748" s="119">
        <v>2932</v>
      </c>
      <c r="B1748" s="119" t="s">
        <v>6849</v>
      </c>
      <c r="C1748" s="119" t="s">
        <v>6856</v>
      </c>
      <c r="D1748" s="119" t="s">
        <v>78</v>
      </c>
      <c r="E1748" s="119" t="s">
        <v>6850</v>
      </c>
    </row>
    <row r="1749" spans="1:5" x14ac:dyDescent="0.25">
      <c r="A1749" s="119">
        <v>2933</v>
      </c>
      <c r="B1749" s="119" t="s">
        <v>6849</v>
      </c>
      <c r="C1749" s="119" t="s">
        <v>6856</v>
      </c>
      <c r="D1749" s="119" t="s">
        <v>78</v>
      </c>
      <c r="E1749" s="119" t="s">
        <v>6850</v>
      </c>
    </row>
    <row r="1750" spans="1:5" x14ac:dyDescent="0.25">
      <c r="A1750" s="119">
        <v>2934</v>
      </c>
      <c r="B1750" s="119" t="s">
        <v>6849</v>
      </c>
      <c r="C1750" s="119" t="s">
        <v>6856</v>
      </c>
      <c r="D1750" s="119" t="s">
        <v>78</v>
      </c>
      <c r="E1750" s="119" t="s">
        <v>6850</v>
      </c>
    </row>
    <row r="1751" spans="1:5" x14ac:dyDescent="0.25">
      <c r="A1751" s="119">
        <v>2936</v>
      </c>
      <c r="B1751" s="119" t="s">
        <v>6849</v>
      </c>
      <c r="C1751" s="119" t="s">
        <v>6857</v>
      </c>
      <c r="D1751" s="119" t="s">
        <v>47</v>
      </c>
      <c r="E1751" s="119" t="s">
        <v>6850</v>
      </c>
    </row>
    <row r="1752" spans="1:5" x14ac:dyDescent="0.25">
      <c r="A1752" s="119">
        <v>2939</v>
      </c>
      <c r="B1752" s="119" t="s">
        <v>6849</v>
      </c>
      <c r="C1752" s="119" t="s">
        <v>6856</v>
      </c>
      <c r="D1752" s="119" t="s">
        <v>78</v>
      </c>
      <c r="E1752" s="119" t="s">
        <v>6850</v>
      </c>
    </row>
    <row r="1753" spans="1:5" x14ac:dyDescent="0.25">
      <c r="A1753" s="119">
        <v>2940</v>
      </c>
      <c r="B1753" s="119" t="s">
        <v>6849</v>
      </c>
      <c r="C1753" s="119" t="s">
        <v>6856</v>
      </c>
      <c r="D1753" s="119" t="s">
        <v>78</v>
      </c>
      <c r="E1753" s="119" t="s">
        <v>6850</v>
      </c>
    </row>
    <row r="1754" spans="1:5" x14ac:dyDescent="0.25">
      <c r="A1754" s="119">
        <v>2941</v>
      </c>
      <c r="B1754" s="119" t="s">
        <v>6849</v>
      </c>
      <c r="C1754" s="119" t="s">
        <v>6856</v>
      </c>
      <c r="D1754" s="119" t="s">
        <v>78</v>
      </c>
      <c r="E1754" s="119" t="s">
        <v>6850</v>
      </c>
    </row>
    <row r="1755" spans="1:5" x14ac:dyDescent="0.25">
      <c r="A1755" s="119">
        <v>2942</v>
      </c>
      <c r="B1755" s="119" t="s">
        <v>6849</v>
      </c>
      <c r="C1755" s="119" t="s">
        <v>6856</v>
      </c>
      <c r="D1755" s="119" t="s">
        <v>78</v>
      </c>
      <c r="E1755" s="119" t="s">
        <v>6850</v>
      </c>
    </row>
    <row r="1756" spans="1:5" x14ac:dyDescent="0.25">
      <c r="A1756" s="119">
        <v>2943</v>
      </c>
      <c r="B1756" s="119" t="s">
        <v>6849</v>
      </c>
      <c r="C1756" s="119" t="s">
        <v>6856</v>
      </c>
      <c r="D1756" s="119" t="s">
        <v>78</v>
      </c>
      <c r="E1756" s="119" t="s">
        <v>6850</v>
      </c>
    </row>
    <row r="1757" spans="1:5" x14ac:dyDescent="0.25">
      <c r="A1757" s="119">
        <v>2945</v>
      </c>
      <c r="B1757" s="119" t="s">
        <v>6849</v>
      </c>
      <c r="C1757" s="119" t="s">
        <v>6856</v>
      </c>
      <c r="D1757" s="119" t="s">
        <v>78</v>
      </c>
      <c r="E1757" s="119" t="s">
        <v>6850</v>
      </c>
    </row>
    <row r="1758" spans="1:5" x14ac:dyDescent="0.25">
      <c r="A1758" s="119">
        <v>2947</v>
      </c>
      <c r="B1758" s="119" t="s">
        <v>6849</v>
      </c>
      <c r="C1758" s="119" t="s">
        <v>5218</v>
      </c>
      <c r="D1758" s="119" t="s">
        <v>78</v>
      </c>
      <c r="E1758" s="119" t="s">
        <v>6850</v>
      </c>
    </row>
    <row r="1759" spans="1:5" x14ac:dyDescent="0.25">
      <c r="A1759" s="119">
        <v>2948</v>
      </c>
      <c r="B1759" s="119" t="s">
        <v>6849</v>
      </c>
      <c r="C1759" s="119" t="s">
        <v>6858</v>
      </c>
      <c r="D1759" s="119" t="s">
        <v>576</v>
      </c>
      <c r="E1759" s="119" t="s">
        <v>6850</v>
      </c>
    </row>
    <row r="1760" spans="1:5" x14ac:dyDescent="0.25">
      <c r="A1760" s="119">
        <v>2949</v>
      </c>
      <c r="B1760" s="119" t="s">
        <v>6849</v>
      </c>
      <c r="C1760" s="119" t="s">
        <v>6358</v>
      </c>
      <c r="D1760" s="119" t="s">
        <v>47</v>
      </c>
      <c r="E1760" s="119" t="s">
        <v>6850</v>
      </c>
    </row>
    <row r="1761" spans="1:5" x14ac:dyDescent="0.25">
      <c r="A1761" s="119">
        <v>2952</v>
      </c>
      <c r="B1761" s="119" t="s">
        <v>6849</v>
      </c>
      <c r="C1761" s="119" t="s">
        <v>6358</v>
      </c>
      <c r="D1761" s="119" t="s">
        <v>47</v>
      </c>
      <c r="E1761" s="119" t="s">
        <v>6850</v>
      </c>
    </row>
    <row r="1762" spans="1:5" x14ac:dyDescent="0.25">
      <c r="A1762" s="119">
        <v>2955</v>
      </c>
      <c r="B1762" s="119" t="s">
        <v>6849</v>
      </c>
      <c r="C1762" s="119" t="s">
        <v>5218</v>
      </c>
      <c r="D1762" s="119" t="s">
        <v>78</v>
      </c>
      <c r="E1762" s="119" t="s">
        <v>6850</v>
      </c>
    </row>
    <row r="1763" spans="1:5" x14ac:dyDescent="0.25">
      <c r="A1763" s="119">
        <v>2957</v>
      </c>
      <c r="B1763" s="119" t="s">
        <v>6849</v>
      </c>
      <c r="C1763" s="119" t="s">
        <v>6358</v>
      </c>
      <c r="D1763" s="119" t="s">
        <v>47</v>
      </c>
      <c r="E1763" s="119" t="s">
        <v>6850</v>
      </c>
    </row>
    <row r="1764" spans="1:5" x14ac:dyDescent="0.25">
      <c r="A1764" s="119">
        <v>2958</v>
      </c>
      <c r="B1764" s="119" t="s">
        <v>6849</v>
      </c>
      <c r="C1764" s="119" t="s">
        <v>6358</v>
      </c>
      <c r="D1764" s="119" t="s">
        <v>47</v>
      </c>
      <c r="E1764" s="119" t="s">
        <v>6850</v>
      </c>
    </row>
    <row r="1765" spans="1:5" x14ac:dyDescent="0.25">
      <c r="A1765" s="119">
        <v>2959</v>
      </c>
      <c r="B1765" s="119" t="s">
        <v>6849</v>
      </c>
      <c r="C1765" s="119" t="s">
        <v>6358</v>
      </c>
      <c r="D1765" s="119" t="s">
        <v>47</v>
      </c>
      <c r="E1765" s="119" t="s">
        <v>6850</v>
      </c>
    </row>
    <row r="1766" spans="1:5" x14ac:dyDescent="0.25">
      <c r="A1766" s="119">
        <v>2960</v>
      </c>
      <c r="B1766" s="119" t="s">
        <v>6849</v>
      </c>
      <c r="C1766" s="119" t="s">
        <v>5218</v>
      </c>
      <c r="D1766" s="119" t="s">
        <v>78</v>
      </c>
      <c r="E1766" s="119" t="s">
        <v>6850</v>
      </c>
    </row>
    <row r="1767" spans="1:5" x14ac:dyDescent="0.25">
      <c r="A1767" s="119">
        <v>2961</v>
      </c>
      <c r="B1767" s="119" t="s">
        <v>6849</v>
      </c>
      <c r="C1767" s="119" t="s">
        <v>6358</v>
      </c>
      <c r="D1767" s="119" t="s">
        <v>47</v>
      </c>
      <c r="E1767" s="119" t="s">
        <v>6850</v>
      </c>
    </row>
    <row r="1768" spans="1:5" x14ac:dyDescent="0.25">
      <c r="A1768" s="119">
        <v>2962</v>
      </c>
      <c r="B1768" s="119" t="s">
        <v>6849</v>
      </c>
      <c r="C1768" s="119" t="s">
        <v>6358</v>
      </c>
      <c r="D1768" s="119" t="s">
        <v>47</v>
      </c>
      <c r="E1768" s="119" t="s">
        <v>6850</v>
      </c>
    </row>
    <row r="1769" spans="1:5" x14ac:dyDescent="0.25">
      <c r="A1769" s="119">
        <v>2964</v>
      </c>
      <c r="B1769" s="119" t="s">
        <v>6849</v>
      </c>
      <c r="C1769" s="119" t="s">
        <v>6859</v>
      </c>
      <c r="D1769" s="119" t="s">
        <v>47</v>
      </c>
      <c r="E1769" s="119" t="s">
        <v>6850</v>
      </c>
    </row>
    <row r="1770" spans="1:5" x14ac:dyDescent="0.25">
      <c r="A1770" s="119">
        <v>2966</v>
      </c>
      <c r="B1770" s="119" t="s">
        <v>6849</v>
      </c>
      <c r="C1770" s="119" t="s">
        <v>6859</v>
      </c>
      <c r="D1770" s="119" t="s">
        <v>47</v>
      </c>
      <c r="E1770" s="119" t="s">
        <v>6850</v>
      </c>
    </row>
    <row r="1771" spans="1:5" x14ac:dyDescent="0.25">
      <c r="A1771" s="119">
        <v>2971</v>
      </c>
      <c r="B1771" s="119" t="s">
        <v>6849</v>
      </c>
      <c r="C1771" s="119" t="s">
        <v>6856</v>
      </c>
      <c r="D1771" s="119" t="s">
        <v>78</v>
      </c>
      <c r="E1771" s="119" t="s">
        <v>6850</v>
      </c>
    </row>
    <row r="1772" spans="1:5" x14ac:dyDescent="0.25">
      <c r="A1772" s="119">
        <v>2972</v>
      </c>
      <c r="B1772" s="119" t="s">
        <v>6849</v>
      </c>
      <c r="C1772" s="119" t="s">
        <v>6358</v>
      </c>
      <c r="D1772" s="119" t="s">
        <v>47</v>
      </c>
      <c r="E1772" s="119" t="s">
        <v>6850</v>
      </c>
    </row>
    <row r="1773" spans="1:5" x14ac:dyDescent="0.25">
      <c r="A1773" s="119">
        <v>2973</v>
      </c>
      <c r="B1773" s="119" t="s">
        <v>6849</v>
      </c>
      <c r="C1773" s="119" t="s">
        <v>5218</v>
      </c>
      <c r="D1773" s="119" t="s">
        <v>78</v>
      </c>
      <c r="E1773" s="119" t="s">
        <v>6850</v>
      </c>
    </row>
    <row r="1774" spans="1:5" x14ac:dyDescent="0.25">
      <c r="A1774" s="119">
        <v>2974</v>
      </c>
      <c r="B1774" s="119" t="s">
        <v>6849</v>
      </c>
      <c r="C1774" s="119" t="s">
        <v>6358</v>
      </c>
      <c r="D1774" s="119" t="s">
        <v>47</v>
      </c>
      <c r="E1774" s="119" t="s">
        <v>6850</v>
      </c>
    </row>
    <row r="1775" spans="1:5" x14ac:dyDescent="0.25">
      <c r="A1775" s="119">
        <v>2975</v>
      </c>
      <c r="B1775" s="119" t="s">
        <v>6849</v>
      </c>
      <c r="C1775" s="119" t="s">
        <v>6358</v>
      </c>
      <c r="D1775" s="119" t="s">
        <v>47</v>
      </c>
      <c r="E1775" s="119" t="s">
        <v>6850</v>
      </c>
    </row>
    <row r="1776" spans="1:5" x14ac:dyDescent="0.25">
      <c r="A1776" s="119">
        <v>2976</v>
      </c>
      <c r="B1776" s="119" t="s">
        <v>6849</v>
      </c>
      <c r="C1776" s="119" t="s">
        <v>5218</v>
      </c>
      <c r="D1776" s="119" t="s">
        <v>78</v>
      </c>
      <c r="E1776" s="119" t="s">
        <v>6850</v>
      </c>
    </row>
    <row r="1777" spans="1:5" x14ac:dyDescent="0.25">
      <c r="A1777" s="119">
        <v>2977</v>
      </c>
      <c r="B1777" s="119" t="s">
        <v>6849</v>
      </c>
      <c r="C1777" s="119" t="s">
        <v>6358</v>
      </c>
      <c r="D1777" s="119" t="s">
        <v>47</v>
      </c>
      <c r="E1777" s="119" t="s">
        <v>6850</v>
      </c>
    </row>
    <row r="1778" spans="1:5" x14ac:dyDescent="0.25">
      <c r="A1778" s="119">
        <v>2979</v>
      </c>
      <c r="B1778" s="119" t="s">
        <v>6849</v>
      </c>
      <c r="C1778" s="119" t="s">
        <v>6856</v>
      </c>
      <c r="D1778" s="119" t="s">
        <v>78</v>
      </c>
      <c r="E1778" s="119" t="s">
        <v>6850</v>
      </c>
    </row>
    <row r="1779" spans="1:5" x14ac:dyDescent="0.25">
      <c r="A1779" s="119">
        <v>2980</v>
      </c>
      <c r="B1779" s="119" t="s">
        <v>6849</v>
      </c>
      <c r="C1779" s="119" t="s">
        <v>6856</v>
      </c>
      <c r="D1779" s="119" t="s">
        <v>78</v>
      </c>
      <c r="E1779" s="119" t="s">
        <v>6850</v>
      </c>
    </row>
    <row r="1780" spans="1:5" x14ac:dyDescent="0.25">
      <c r="A1780" s="119">
        <v>2981</v>
      </c>
      <c r="B1780" s="119" t="s">
        <v>6849</v>
      </c>
      <c r="C1780" s="119" t="s">
        <v>6856</v>
      </c>
      <c r="D1780" s="119" t="s">
        <v>78</v>
      </c>
      <c r="E1780" s="119" t="s">
        <v>6850</v>
      </c>
    </row>
    <row r="1781" spans="1:5" x14ac:dyDescent="0.25">
      <c r="A1781" s="119">
        <v>2982</v>
      </c>
      <c r="B1781" s="119" t="s">
        <v>6849</v>
      </c>
      <c r="C1781" s="119" t="s">
        <v>6856</v>
      </c>
      <c r="D1781" s="119" t="s">
        <v>78</v>
      </c>
      <c r="E1781" s="119" t="s">
        <v>6850</v>
      </c>
    </row>
    <row r="1782" spans="1:5" x14ac:dyDescent="0.25">
      <c r="A1782" s="119">
        <v>2984</v>
      </c>
      <c r="B1782" s="119" t="s">
        <v>6849</v>
      </c>
      <c r="C1782" s="119" t="s">
        <v>6856</v>
      </c>
      <c r="D1782" s="119" t="s">
        <v>78</v>
      </c>
      <c r="E1782" s="119" t="s">
        <v>6850</v>
      </c>
    </row>
    <row r="1783" spans="1:5" x14ac:dyDescent="0.25">
      <c r="A1783" s="119">
        <v>2985</v>
      </c>
      <c r="B1783" s="119" t="s">
        <v>6849</v>
      </c>
      <c r="C1783" s="119" t="s">
        <v>6856</v>
      </c>
      <c r="D1783" s="119" t="s">
        <v>78</v>
      </c>
      <c r="E1783" s="119" t="s">
        <v>6850</v>
      </c>
    </row>
    <row r="1784" spans="1:5" x14ac:dyDescent="0.25">
      <c r="A1784" s="119">
        <v>2987</v>
      </c>
      <c r="B1784" s="119" t="s">
        <v>6849</v>
      </c>
      <c r="C1784" s="119" t="s">
        <v>5218</v>
      </c>
      <c r="D1784" s="119" t="s">
        <v>78</v>
      </c>
      <c r="E1784" s="119" t="s">
        <v>6850</v>
      </c>
    </row>
    <row r="1785" spans="1:5" x14ac:dyDescent="0.25">
      <c r="A1785" s="119">
        <v>2988</v>
      </c>
      <c r="B1785" s="119" t="s">
        <v>6849</v>
      </c>
      <c r="C1785" s="119" t="s">
        <v>5218</v>
      </c>
      <c r="D1785" s="119" t="s">
        <v>78</v>
      </c>
      <c r="E1785" s="119" t="s">
        <v>6850</v>
      </c>
    </row>
    <row r="1786" spans="1:5" x14ac:dyDescent="0.25">
      <c r="A1786" s="119">
        <v>2989</v>
      </c>
      <c r="B1786" s="119" t="s">
        <v>6849</v>
      </c>
      <c r="C1786" s="119" t="s">
        <v>5218</v>
      </c>
      <c r="D1786" s="119" t="s">
        <v>78</v>
      </c>
      <c r="E1786" s="119" t="s">
        <v>6850</v>
      </c>
    </row>
    <row r="1787" spans="1:5" x14ac:dyDescent="0.25">
      <c r="A1787" s="119">
        <v>2990</v>
      </c>
      <c r="B1787" s="119" t="s">
        <v>6849</v>
      </c>
      <c r="C1787" s="119" t="s">
        <v>5218</v>
      </c>
      <c r="D1787" s="119" t="s">
        <v>78</v>
      </c>
      <c r="E1787" s="119" t="s">
        <v>6850</v>
      </c>
    </row>
    <row r="1788" spans="1:5" x14ac:dyDescent="0.25">
      <c r="A1788" s="119">
        <v>2993</v>
      </c>
      <c r="B1788" s="119" t="s">
        <v>6849</v>
      </c>
      <c r="C1788" s="119" t="s">
        <v>6856</v>
      </c>
      <c r="D1788" s="119" t="s">
        <v>78</v>
      </c>
      <c r="E1788" s="119" t="s">
        <v>6850</v>
      </c>
    </row>
    <row r="1789" spans="1:5" x14ac:dyDescent="0.25">
      <c r="A1789" s="119">
        <v>2994</v>
      </c>
      <c r="B1789" s="119" t="s">
        <v>6849</v>
      </c>
      <c r="C1789" s="119" t="s">
        <v>6856</v>
      </c>
      <c r="D1789" s="119" t="s">
        <v>78</v>
      </c>
      <c r="E1789" s="119" t="s">
        <v>6850</v>
      </c>
    </row>
    <row r="1790" spans="1:5" x14ac:dyDescent="0.25">
      <c r="A1790" s="119">
        <v>2995</v>
      </c>
      <c r="B1790" s="119" t="s">
        <v>6849</v>
      </c>
      <c r="C1790" s="119" t="s">
        <v>6856</v>
      </c>
      <c r="D1790" s="119" t="s">
        <v>78</v>
      </c>
      <c r="E1790" s="119" t="s">
        <v>6850</v>
      </c>
    </row>
    <row r="1791" spans="1:5" x14ac:dyDescent="0.25">
      <c r="A1791" s="119">
        <v>2996</v>
      </c>
      <c r="B1791" s="119" t="s">
        <v>6849</v>
      </c>
      <c r="C1791" s="119" t="s">
        <v>6856</v>
      </c>
      <c r="D1791" s="119" t="s">
        <v>78</v>
      </c>
      <c r="E1791" s="119" t="s">
        <v>6850</v>
      </c>
    </row>
    <row r="1792" spans="1:5" x14ac:dyDescent="0.25">
      <c r="A1792" s="119">
        <v>2998</v>
      </c>
      <c r="B1792" s="119" t="s">
        <v>6849</v>
      </c>
      <c r="C1792" s="119" t="s">
        <v>5218</v>
      </c>
      <c r="D1792" s="119" t="s">
        <v>78</v>
      </c>
      <c r="E1792" s="119" t="s">
        <v>6850</v>
      </c>
    </row>
    <row r="1793" spans="1:5" x14ac:dyDescent="0.25">
      <c r="A1793" s="119">
        <v>2999</v>
      </c>
      <c r="B1793" s="119" t="s">
        <v>6849</v>
      </c>
      <c r="C1793" s="119" t="s">
        <v>5218</v>
      </c>
      <c r="D1793" s="119" t="s">
        <v>78</v>
      </c>
      <c r="E1793" s="119" t="s">
        <v>6850</v>
      </c>
    </row>
    <row r="1794" spans="1:5" x14ac:dyDescent="0.25">
      <c r="A1794" s="119">
        <v>3000</v>
      </c>
      <c r="B1794" s="119" t="s">
        <v>6849</v>
      </c>
      <c r="C1794" s="119" t="s">
        <v>5218</v>
      </c>
      <c r="D1794" s="119" t="s">
        <v>78</v>
      </c>
      <c r="E1794" s="119" t="s">
        <v>6850</v>
      </c>
    </row>
    <row r="1795" spans="1:5" x14ac:dyDescent="0.25">
      <c r="A1795" s="119">
        <v>3002</v>
      </c>
      <c r="B1795" s="119" t="s">
        <v>6849</v>
      </c>
      <c r="C1795" s="119" t="s">
        <v>6856</v>
      </c>
      <c r="D1795" s="119" t="s">
        <v>78</v>
      </c>
      <c r="E1795" s="119" t="s">
        <v>6850</v>
      </c>
    </row>
    <row r="1796" spans="1:5" x14ac:dyDescent="0.25">
      <c r="A1796" s="119">
        <v>3004</v>
      </c>
      <c r="B1796" s="119" t="s">
        <v>6849</v>
      </c>
      <c r="C1796" s="119" t="s">
        <v>6856</v>
      </c>
      <c r="D1796" s="119" t="s">
        <v>78</v>
      </c>
      <c r="E1796" s="119" t="s">
        <v>6850</v>
      </c>
    </row>
    <row r="1797" spans="1:5" x14ac:dyDescent="0.25">
      <c r="A1797" s="119">
        <v>3005</v>
      </c>
      <c r="B1797" s="119" t="s">
        <v>6849</v>
      </c>
      <c r="C1797" s="119" t="s">
        <v>6856</v>
      </c>
      <c r="D1797" s="119" t="s">
        <v>78</v>
      </c>
      <c r="E1797" s="119" t="s">
        <v>6850</v>
      </c>
    </row>
    <row r="1798" spans="1:5" x14ac:dyDescent="0.25">
      <c r="A1798" s="119">
        <v>3006</v>
      </c>
      <c r="B1798" s="119" t="s">
        <v>6849</v>
      </c>
      <c r="C1798" s="119" t="s">
        <v>6856</v>
      </c>
      <c r="D1798" s="119" t="s">
        <v>78</v>
      </c>
      <c r="E1798" s="119" t="s">
        <v>6850</v>
      </c>
    </row>
    <row r="1799" spans="1:5" x14ac:dyDescent="0.25">
      <c r="A1799" s="119">
        <v>3007</v>
      </c>
      <c r="B1799" s="119" t="s">
        <v>6849</v>
      </c>
      <c r="C1799" s="119" t="s">
        <v>6856</v>
      </c>
      <c r="D1799" s="119" t="s">
        <v>78</v>
      </c>
      <c r="E1799" s="119" t="s">
        <v>6850</v>
      </c>
    </row>
    <row r="1800" spans="1:5" x14ac:dyDescent="0.25">
      <c r="A1800" s="119">
        <v>3008</v>
      </c>
      <c r="B1800" s="119" t="s">
        <v>6849</v>
      </c>
      <c r="C1800" s="119" t="s">
        <v>6856</v>
      </c>
      <c r="D1800" s="119" t="s">
        <v>78</v>
      </c>
      <c r="E1800" s="119" t="s">
        <v>6850</v>
      </c>
    </row>
    <row r="1801" spans="1:5" x14ac:dyDescent="0.25">
      <c r="A1801" s="119">
        <v>3009</v>
      </c>
      <c r="B1801" s="119" t="s">
        <v>6849</v>
      </c>
      <c r="C1801" s="119" t="s">
        <v>6856</v>
      </c>
      <c r="D1801" s="119" t="s">
        <v>78</v>
      </c>
      <c r="E1801" s="119" t="s">
        <v>6850</v>
      </c>
    </row>
    <row r="1802" spans="1:5" x14ac:dyDescent="0.25">
      <c r="A1802" s="119">
        <v>3010</v>
      </c>
      <c r="B1802" s="119" t="s">
        <v>6849</v>
      </c>
      <c r="C1802" s="119" t="s">
        <v>6856</v>
      </c>
      <c r="D1802" s="119" t="s">
        <v>78</v>
      </c>
      <c r="E1802" s="119" t="s">
        <v>6850</v>
      </c>
    </row>
    <row r="1803" spans="1:5" x14ac:dyDescent="0.25">
      <c r="A1803" s="119">
        <v>3011</v>
      </c>
      <c r="B1803" s="119" t="s">
        <v>6849</v>
      </c>
      <c r="C1803" s="119" t="s">
        <v>6856</v>
      </c>
      <c r="D1803" s="119" t="s">
        <v>78</v>
      </c>
      <c r="E1803" s="119" t="s">
        <v>6850</v>
      </c>
    </row>
    <row r="1804" spans="1:5" x14ac:dyDescent="0.25">
      <c r="A1804" s="119">
        <v>3012</v>
      </c>
      <c r="B1804" s="119" t="s">
        <v>6849</v>
      </c>
      <c r="C1804" s="119" t="s">
        <v>6856</v>
      </c>
      <c r="D1804" s="119" t="s">
        <v>78</v>
      </c>
      <c r="E1804" s="119" t="s">
        <v>6850</v>
      </c>
    </row>
    <row r="1805" spans="1:5" x14ac:dyDescent="0.25">
      <c r="A1805" s="119">
        <v>3013</v>
      </c>
      <c r="B1805" s="119" t="s">
        <v>6849</v>
      </c>
      <c r="C1805" s="119" t="s">
        <v>6856</v>
      </c>
      <c r="D1805" s="119" t="s">
        <v>78</v>
      </c>
      <c r="E1805" s="119" t="s">
        <v>6850</v>
      </c>
    </row>
    <row r="1806" spans="1:5" x14ac:dyDescent="0.25">
      <c r="A1806" s="119">
        <v>3014</v>
      </c>
      <c r="B1806" s="119" t="s">
        <v>6849</v>
      </c>
      <c r="C1806" s="119" t="s">
        <v>6856</v>
      </c>
      <c r="D1806" s="119" t="s">
        <v>78</v>
      </c>
      <c r="E1806" s="119" t="s">
        <v>6850</v>
      </c>
    </row>
    <row r="1807" spans="1:5" x14ac:dyDescent="0.25">
      <c r="A1807" s="119">
        <v>3015</v>
      </c>
      <c r="B1807" s="119" t="s">
        <v>6849</v>
      </c>
      <c r="C1807" s="119" t="s">
        <v>6856</v>
      </c>
      <c r="D1807" s="119" t="s">
        <v>78</v>
      </c>
      <c r="E1807" s="119" t="s">
        <v>6850</v>
      </c>
    </row>
    <row r="1808" spans="1:5" x14ac:dyDescent="0.25">
      <c r="A1808" s="119">
        <v>3016</v>
      </c>
      <c r="B1808" s="119" t="s">
        <v>6849</v>
      </c>
      <c r="C1808" s="119" t="s">
        <v>6856</v>
      </c>
      <c r="D1808" s="119" t="s">
        <v>78</v>
      </c>
      <c r="E1808" s="119" t="s">
        <v>6850</v>
      </c>
    </row>
    <row r="1809" spans="1:5" x14ac:dyDescent="0.25">
      <c r="A1809" s="119">
        <v>3017</v>
      </c>
      <c r="B1809" s="119" t="s">
        <v>6849</v>
      </c>
      <c r="C1809" s="119" t="s">
        <v>6856</v>
      </c>
      <c r="D1809" s="119" t="s">
        <v>78</v>
      </c>
      <c r="E1809" s="119" t="s">
        <v>6850</v>
      </c>
    </row>
    <row r="1810" spans="1:5" x14ac:dyDescent="0.25">
      <c r="A1810" s="119">
        <v>3018</v>
      </c>
      <c r="B1810" s="119" t="s">
        <v>6849</v>
      </c>
      <c r="C1810" s="119" t="s">
        <v>6856</v>
      </c>
      <c r="D1810" s="119" t="s">
        <v>78</v>
      </c>
      <c r="E1810" s="119" t="s">
        <v>6850</v>
      </c>
    </row>
    <row r="1811" spans="1:5" x14ac:dyDescent="0.25">
      <c r="A1811" s="119">
        <v>3019</v>
      </c>
      <c r="B1811" s="119" t="s">
        <v>6849</v>
      </c>
      <c r="C1811" s="119" t="s">
        <v>6856</v>
      </c>
      <c r="D1811" s="119" t="s">
        <v>78</v>
      </c>
      <c r="E1811" s="119" t="s">
        <v>6850</v>
      </c>
    </row>
    <row r="1812" spans="1:5" x14ac:dyDescent="0.25">
      <c r="A1812" s="119">
        <v>3020</v>
      </c>
      <c r="B1812" s="119" t="s">
        <v>6849</v>
      </c>
      <c r="C1812" s="119" t="s">
        <v>6856</v>
      </c>
      <c r="D1812" s="119" t="s">
        <v>78</v>
      </c>
      <c r="E1812" s="119" t="s">
        <v>6850</v>
      </c>
    </row>
    <row r="1813" spans="1:5" x14ac:dyDescent="0.25">
      <c r="A1813" s="119">
        <v>3021</v>
      </c>
      <c r="B1813" s="119" t="s">
        <v>6849</v>
      </c>
      <c r="C1813" s="119" t="s">
        <v>6856</v>
      </c>
      <c r="D1813" s="119" t="s">
        <v>78</v>
      </c>
      <c r="E1813" s="119" t="s">
        <v>6850</v>
      </c>
    </row>
    <row r="1814" spans="1:5" x14ac:dyDescent="0.25">
      <c r="A1814" s="119">
        <v>3022</v>
      </c>
      <c r="B1814" s="119" t="s">
        <v>6849</v>
      </c>
      <c r="C1814" s="119" t="s">
        <v>6856</v>
      </c>
      <c r="D1814" s="119" t="s">
        <v>78</v>
      </c>
      <c r="E1814" s="119" t="s">
        <v>6850</v>
      </c>
    </row>
    <row r="1815" spans="1:5" x14ac:dyDescent="0.25">
      <c r="A1815" s="119">
        <v>3023</v>
      </c>
      <c r="B1815" s="119" t="s">
        <v>6849</v>
      </c>
      <c r="C1815" s="119" t="s">
        <v>6856</v>
      </c>
      <c r="D1815" s="119" t="s">
        <v>78</v>
      </c>
      <c r="E1815" s="119" t="s">
        <v>6850</v>
      </c>
    </row>
    <row r="1816" spans="1:5" x14ac:dyDescent="0.25">
      <c r="A1816" s="119">
        <v>3024</v>
      </c>
      <c r="B1816" s="119" t="s">
        <v>6849</v>
      </c>
      <c r="C1816" s="119" t="s">
        <v>6856</v>
      </c>
      <c r="D1816" s="119" t="s">
        <v>78</v>
      </c>
      <c r="E1816" s="119" t="s">
        <v>6850</v>
      </c>
    </row>
    <row r="1817" spans="1:5" x14ac:dyDescent="0.25">
      <c r="A1817" s="119">
        <v>3025</v>
      </c>
      <c r="B1817" s="119" t="s">
        <v>6849</v>
      </c>
      <c r="C1817" s="119" t="s">
        <v>6856</v>
      </c>
      <c r="D1817" s="119" t="s">
        <v>78</v>
      </c>
      <c r="E1817" s="119" t="s">
        <v>6850</v>
      </c>
    </row>
    <row r="1818" spans="1:5" x14ac:dyDescent="0.25">
      <c r="A1818" s="119">
        <v>3026</v>
      </c>
      <c r="B1818" s="119" t="s">
        <v>6849</v>
      </c>
      <c r="C1818" s="119" t="s">
        <v>6856</v>
      </c>
      <c r="D1818" s="119" t="s">
        <v>78</v>
      </c>
      <c r="E1818" s="119" t="s">
        <v>6850</v>
      </c>
    </row>
    <row r="1819" spans="1:5" x14ac:dyDescent="0.25">
      <c r="A1819" s="119">
        <v>3027</v>
      </c>
      <c r="B1819" s="119" t="s">
        <v>6849</v>
      </c>
      <c r="C1819" s="119" t="s">
        <v>6856</v>
      </c>
      <c r="D1819" s="119" t="s">
        <v>78</v>
      </c>
      <c r="E1819" s="119" t="s">
        <v>6850</v>
      </c>
    </row>
    <row r="1820" spans="1:5" x14ac:dyDescent="0.25">
      <c r="A1820" s="119">
        <v>3028</v>
      </c>
      <c r="B1820" s="119" t="s">
        <v>6849</v>
      </c>
      <c r="C1820" s="119" t="s">
        <v>6856</v>
      </c>
      <c r="D1820" s="119" t="s">
        <v>78</v>
      </c>
      <c r="E1820" s="119" t="s">
        <v>6850</v>
      </c>
    </row>
    <row r="1821" spans="1:5" x14ac:dyDescent="0.25">
      <c r="A1821" s="119">
        <v>3029</v>
      </c>
      <c r="B1821" s="119" t="s">
        <v>6849</v>
      </c>
      <c r="C1821" s="119" t="s">
        <v>6857</v>
      </c>
      <c r="D1821" s="119" t="s">
        <v>47</v>
      </c>
      <c r="E1821" s="119" t="s">
        <v>6850</v>
      </c>
    </row>
    <row r="1822" spans="1:5" x14ac:dyDescent="0.25">
      <c r="A1822" s="119">
        <v>3030</v>
      </c>
      <c r="B1822" s="119" t="s">
        <v>6849</v>
      </c>
      <c r="C1822" s="119" t="s">
        <v>6857</v>
      </c>
      <c r="D1822" s="119" t="s">
        <v>47</v>
      </c>
      <c r="E1822" s="119" t="s">
        <v>6850</v>
      </c>
    </row>
    <row r="1823" spans="1:5" x14ac:dyDescent="0.25">
      <c r="A1823" s="119">
        <v>3031</v>
      </c>
      <c r="B1823" s="119" t="s">
        <v>6849</v>
      </c>
      <c r="C1823" s="119" t="s">
        <v>6857</v>
      </c>
      <c r="D1823" s="119" t="s">
        <v>47</v>
      </c>
      <c r="E1823" s="119" t="s">
        <v>6850</v>
      </c>
    </row>
    <row r="1824" spans="1:5" x14ac:dyDescent="0.25">
      <c r="A1824" s="119">
        <v>3032</v>
      </c>
      <c r="B1824" s="119" t="s">
        <v>6849</v>
      </c>
      <c r="C1824" s="119" t="s">
        <v>6856</v>
      </c>
      <c r="D1824" s="119" t="s">
        <v>78</v>
      </c>
      <c r="E1824" s="119" t="s">
        <v>6850</v>
      </c>
    </row>
    <row r="1825" spans="1:5" x14ac:dyDescent="0.25">
      <c r="A1825" s="119">
        <v>3033</v>
      </c>
      <c r="B1825" s="119" t="s">
        <v>6849</v>
      </c>
      <c r="C1825" s="119" t="s">
        <v>6856</v>
      </c>
      <c r="D1825" s="119" t="s">
        <v>78</v>
      </c>
      <c r="E1825" s="119" t="s">
        <v>6850</v>
      </c>
    </row>
    <row r="1826" spans="1:5" x14ac:dyDescent="0.25">
      <c r="A1826" s="119">
        <v>3034</v>
      </c>
      <c r="B1826" s="119" t="s">
        <v>6849</v>
      </c>
      <c r="C1826" s="119" t="s">
        <v>6856</v>
      </c>
      <c r="D1826" s="119" t="s">
        <v>78</v>
      </c>
      <c r="E1826" s="119" t="s">
        <v>6850</v>
      </c>
    </row>
    <row r="1827" spans="1:5" x14ac:dyDescent="0.25">
      <c r="A1827" s="119">
        <v>3035</v>
      </c>
      <c r="B1827" s="119" t="s">
        <v>6849</v>
      </c>
      <c r="C1827" s="119" t="s">
        <v>6856</v>
      </c>
      <c r="D1827" s="119" t="s">
        <v>78</v>
      </c>
      <c r="E1827" s="119" t="s">
        <v>6850</v>
      </c>
    </row>
    <row r="1828" spans="1:5" x14ac:dyDescent="0.25">
      <c r="A1828" s="119">
        <v>3036</v>
      </c>
      <c r="B1828" s="119" t="s">
        <v>6849</v>
      </c>
      <c r="C1828" s="119" t="s">
        <v>5218</v>
      </c>
      <c r="D1828" s="119" t="s">
        <v>78</v>
      </c>
      <c r="E1828" s="119" t="s">
        <v>6850</v>
      </c>
    </row>
    <row r="1829" spans="1:5" x14ac:dyDescent="0.25">
      <c r="A1829" s="119">
        <v>3037</v>
      </c>
      <c r="B1829" s="119" t="s">
        <v>6849</v>
      </c>
      <c r="C1829" s="119" t="s">
        <v>5218</v>
      </c>
      <c r="D1829" s="119" t="s">
        <v>78</v>
      </c>
      <c r="E1829" s="119" t="s">
        <v>6850</v>
      </c>
    </row>
    <row r="1830" spans="1:5" x14ac:dyDescent="0.25">
      <c r="A1830" s="119">
        <v>3038</v>
      </c>
      <c r="B1830" s="119" t="s">
        <v>6849</v>
      </c>
      <c r="C1830" s="119" t="s">
        <v>6856</v>
      </c>
      <c r="D1830" s="119" t="s">
        <v>78</v>
      </c>
      <c r="E1830" s="119" t="s">
        <v>6850</v>
      </c>
    </row>
    <row r="1831" spans="1:5" x14ac:dyDescent="0.25">
      <c r="A1831" s="119">
        <v>3040</v>
      </c>
      <c r="B1831" s="119" t="s">
        <v>6849</v>
      </c>
      <c r="C1831" s="119" t="s">
        <v>6856</v>
      </c>
      <c r="D1831" s="119" t="s">
        <v>78</v>
      </c>
      <c r="E1831" s="119" t="s">
        <v>6850</v>
      </c>
    </row>
    <row r="1832" spans="1:5" x14ac:dyDescent="0.25">
      <c r="A1832" s="119">
        <v>3068</v>
      </c>
      <c r="B1832" s="119" t="s">
        <v>6849</v>
      </c>
      <c r="C1832" s="119" t="s">
        <v>6856</v>
      </c>
      <c r="D1832" s="119" t="s">
        <v>78</v>
      </c>
      <c r="E1832" s="119" t="s">
        <v>6850</v>
      </c>
    </row>
    <row r="1833" spans="1:5" x14ac:dyDescent="0.25">
      <c r="A1833" s="119">
        <v>3069</v>
      </c>
      <c r="B1833" s="119" t="s">
        <v>6849</v>
      </c>
      <c r="C1833" s="119" t="s">
        <v>6856</v>
      </c>
      <c r="D1833" s="119" t="s">
        <v>78</v>
      </c>
      <c r="E1833" s="119" t="s">
        <v>6850</v>
      </c>
    </row>
    <row r="1834" spans="1:5" x14ac:dyDescent="0.25">
      <c r="A1834" s="119">
        <v>3070</v>
      </c>
      <c r="B1834" s="119" t="s">
        <v>6849</v>
      </c>
      <c r="C1834" s="119" t="s">
        <v>6856</v>
      </c>
      <c r="D1834" s="119" t="s">
        <v>78</v>
      </c>
      <c r="E1834" s="119" t="s">
        <v>6850</v>
      </c>
    </row>
    <row r="1835" spans="1:5" x14ac:dyDescent="0.25">
      <c r="A1835" s="119">
        <v>3071</v>
      </c>
      <c r="B1835" s="119" t="s">
        <v>6849</v>
      </c>
      <c r="C1835" s="119" t="s">
        <v>6857</v>
      </c>
      <c r="D1835" s="119" t="s">
        <v>47</v>
      </c>
      <c r="E1835" s="119" t="s">
        <v>6850</v>
      </c>
    </row>
    <row r="1836" spans="1:5" x14ac:dyDescent="0.25">
      <c r="A1836" s="119">
        <v>3072</v>
      </c>
      <c r="B1836" s="119" t="s">
        <v>6849</v>
      </c>
      <c r="C1836" s="119" t="s">
        <v>6857</v>
      </c>
      <c r="D1836" s="119" t="s">
        <v>47</v>
      </c>
      <c r="E1836" s="119" t="s">
        <v>6850</v>
      </c>
    </row>
    <row r="1837" spans="1:5" x14ac:dyDescent="0.25">
      <c r="A1837" s="119">
        <v>3078</v>
      </c>
      <c r="B1837" s="119" t="s">
        <v>6849</v>
      </c>
      <c r="C1837" s="119" t="s">
        <v>6856</v>
      </c>
      <c r="D1837" s="119" t="s">
        <v>78</v>
      </c>
      <c r="E1837" s="119" t="s">
        <v>6850</v>
      </c>
    </row>
    <row r="1838" spans="1:5" x14ac:dyDescent="0.25">
      <c r="A1838" s="119">
        <v>3079</v>
      </c>
      <c r="B1838" s="119" t="s">
        <v>6849</v>
      </c>
      <c r="C1838" s="119" t="s">
        <v>6856</v>
      </c>
      <c r="D1838" s="119" t="s">
        <v>78</v>
      </c>
      <c r="E1838" s="119" t="s">
        <v>6850</v>
      </c>
    </row>
    <row r="1839" spans="1:5" x14ac:dyDescent="0.25">
      <c r="A1839" s="119">
        <v>3080</v>
      </c>
      <c r="B1839" s="119" t="s">
        <v>6849</v>
      </c>
      <c r="C1839" s="119" t="s">
        <v>6856</v>
      </c>
      <c r="D1839" s="119" t="s">
        <v>78</v>
      </c>
      <c r="E1839" s="119" t="s">
        <v>6850</v>
      </c>
    </row>
    <row r="1840" spans="1:5" x14ac:dyDescent="0.25">
      <c r="A1840" s="119">
        <v>3081</v>
      </c>
      <c r="B1840" s="119" t="s">
        <v>6849</v>
      </c>
      <c r="C1840" s="119" t="s">
        <v>6856</v>
      </c>
      <c r="D1840" s="119" t="s">
        <v>78</v>
      </c>
      <c r="E1840" s="119" t="s">
        <v>6850</v>
      </c>
    </row>
    <row r="1841" spans="1:5" x14ac:dyDescent="0.25">
      <c r="A1841" s="119">
        <v>3083</v>
      </c>
      <c r="B1841" s="119" t="s">
        <v>6849</v>
      </c>
      <c r="C1841" s="119" t="s">
        <v>6856</v>
      </c>
      <c r="D1841" s="119" t="s">
        <v>78</v>
      </c>
      <c r="E1841" s="119" t="s">
        <v>6850</v>
      </c>
    </row>
    <row r="1842" spans="1:5" x14ac:dyDescent="0.25">
      <c r="A1842" s="119">
        <v>3084</v>
      </c>
      <c r="B1842" s="119" t="s">
        <v>6849</v>
      </c>
      <c r="C1842" s="119" t="s">
        <v>6856</v>
      </c>
      <c r="D1842" s="119" t="s">
        <v>78</v>
      </c>
      <c r="E1842" s="119" t="s">
        <v>6850</v>
      </c>
    </row>
    <row r="1843" spans="1:5" x14ac:dyDescent="0.25">
      <c r="A1843" s="119">
        <v>3085</v>
      </c>
      <c r="B1843" s="119" t="s">
        <v>6849</v>
      </c>
      <c r="C1843" s="119" t="s">
        <v>6856</v>
      </c>
      <c r="D1843" s="119" t="s">
        <v>78</v>
      </c>
      <c r="E1843" s="119" t="s">
        <v>6850</v>
      </c>
    </row>
    <row r="1844" spans="1:5" x14ac:dyDescent="0.25">
      <c r="A1844" s="119">
        <v>3086</v>
      </c>
      <c r="B1844" s="119" t="s">
        <v>6849</v>
      </c>
      <c r="C1844" s="119" t="s">
        <v>6856</v>
      </c>
      <c r="D1844" s="119" t="s">
        <v>78</v>
      </c>
      <c r="E1844" s="119" t="s">
        <v>6850</v>
      </c>
    </row>
    <row r="1845" spans="1:5" x14ac:dyDescent="0.25">
      <c r="A1845" s="119">
        <v>3087</v>
      </c>
      <c r="B1845" s="119" t="s">
        <v>6849</v>
      </c>
      <c r="C1845" s="119" t="s">
        <v>6856</v>
      </c>
      <c r="D1845" s="119" t="s">
        <v>78</v>
      </c>
      <c r="E1845" s="119" t="s">
        <v>6850</v>
      </c>
    </row>
    <row r="1846" spans="1:5" x14ac:dyDescent="0.25">
      <c r="A1846" s="119">
        <v>3088</v>
      </c>
      <c r="B1846" s="119" t="s">
        <v>6849</v>
      </c>
      <c r="C1846" s="119" t="s">
        <v>6856</v>
      </c>
      <c r="D1846" s="119" t="s">
        <v>78</v>
      </c>
      <c r="E1846" s="119" t="s">
        <v>6850</v>
      </c>
    </row>
    <row r="1847" spans="1:5" x14ac:dyDescent="0.25">
      <c r="A1847" s="119">
        <v>3105</v>
      </c>
      <c r="B1847" s="119" t="s">
        <v>6849</v>
      </c>
      <c r="C1847" s="119" t="s">
        <v>6856</v>
      </c>
      <c r="D1847" s="119" t="s">
        <v>78</v>
      </c>
      <c r="E1847" s="119" t="s">
        <v>6850</v>
      </c>
    </row>
    <row r="1848" spans="1:5" x14ac:dyDescent="0.25">
      <c r="A1848" s="119">
        <v>3106</v>
      </c>
      <c r="B1848" s="119" t="s">
        <v>6849</v>
      </c>
      <c r="C1848" s="119" t="s">
        <v>6856</v>
      </c>
      <c r="D1848" s="119" t="s">
        <v>78</v>
      </c>
      <c r="E1848" s="119" t="s">
        <v>6850</v>
      </c>
    </row>
    <row r="1849" spans="1:5" x14ac:dyDescent="0.25">
      <c r="A1849" s="119">
        <v>3107</v>
      </c>
      <c r="B1849" s="119" t="s">
        <v>6849</v>
      </c>
      <c r="C1849" s="119" t="s">
        <v>6856</v>
      </c>
      <c r="D1849" s="119" t="s">
        <v>78</v>
      </c>
      <c r="E1849" s="119" t="s">
        <v>6850</v>
      </c>
    </row>
    <row r="1850" spans="1:5" x14ac:dyDescent="0.25">
      <c r="A1850" s="119">
        <v>3108</v>
      </c>
      <c r="B1850" s="119" t="s">
        <v>6849</v>
      </c>
      <c r="C1850" s="119" t="s">
        <v>5218</v>
      </c>
      <c r="D1850" s="119" t="s">
        <v>78</v>
      </c>
      <c r="E1850" s="119" t="s">
        <v>6850</v>
      </c>
    </row>
    <row r="1851" spans="1:5" x14ac:dyDescent="0.25">
      <c r="A1851" s="119">
        <v>3109</v>
      </c>
      <c r="B1851" s="119" t="s">
        <v>6849</v>
      </c>
      <c r="C1851" s="119" t="s">
        <v>5218</v>
      </c>
      <c r="D1851" s="119" t="s">
        <v>78</v>
      </c>
      <c r="E1851" s="119" t="s">
        <v>6850</v>
      </c>
    </row>
    <row r="1852" spans="1:5" x14ac:dyDescent="0.25">
      <c r="A1852" s="119">
        <v>3111</v>
      </c>
      <c r="B1852" s="119" t="s">
        <v>6849</v>
      </c>
      <c r="C1852" s="119" t="s">
        <v>5218</v>
      </c>
      <c r="D1852" s="119" t="s">
        <v>78</v>
      </c>
      <c r="E1852" s="119" t="s">
        <v>6850</v>
      </c>
    </row>
    <row r="1853" spans="1:5" x14ac:dyDescent="0.25">
      <c r="A1853" s="119">
        <v>3112</v>
      </c>
      <c r="B1853" s="119" t="s">
        <v>6849</v>
      </c>
      <c r="C1853" s="119" t="s">
        <v>5218</v>
      </c>
      <c r="D1853" s="119" t="s">
        <v>78</v>
      </c>
      <c r="E1853" s="119" t="s">
        <v>6850</v>
      </c>
    </row>
    <row r="1854" spans="1:5" x14ac:dyDescent="0.25">
      <c r="A1854" s="119">
        <v>3113</v>
      </c>
      <c r="B1854" s="119" t="s">
        <v>6849</v>
      </c>
      <c r="C1854" s="119" t="s">
        <v>5218</v>
      </c>
      <c r="D1854" s="119" t="s">
        <v>78</v>
      </c>
      <c r="E1854" s="119" t="s">
        <v>6850</v>
      </c>
    </row>
    <row r="1855" spans="1:5" x14ac:dyDescent="0.25">
      <c r="A1855" s="119">
        <v>3114</v>
      </c>
      <c r="B1855" s="119" t="s">
        <v>6849</v>
      </c>
      <c r="C1855" s="119" t="s">
        <v>5218</v>
      </c>
      <c r="D1855" s="119" t="s">
        <v>78</v>
      </c>
      <c r="E1855" s="119" t="s">
        <v>6850</v>
      </c>
    </row>
    <row r="1856" spans="1:5" x14ac:dyDescent="0.25">
      <c r="A1856" s="119">
        <v>3117</v>
      </c>
      <c r="B1856" s="119" t="s">
        <v>6849</v>
      </c>
      <c r="C1856" s="119" t="s">
        <v>5218</v>
      </c>
      <c r="D1856" s="119" t="s">
        <v>78</v>
      </c>
      <c r="E1856" s="119" t="s">
        <v>6850</v>
      </c>
    </row>
    <row r="1857" spans="1:5" x14ac:dyDescent="0.25">
      <c r="A1857" s="119">
        <v>3118</v>
      </c>
      <c r="B1857" s="119" t="s">
        <v>6849</v>
      </c>
      <c r="C1857" s="119" t="s">
        <v>6346</v>
      </c>
      <c r="D1857" s="119" t="s">
        <v>47</v>
      </c>
      <c r="E1857" s="119" t="s">
        <v>6850</v>
      </c>
    </row>
    <row r="1858" spans="1:5" x14ac:dyDescent="0.25">
      <c r="A1858" s="119">
        <v>3127</v>
      </c>
      <c r="B1858" s="119" t="s">
        <v>6849</v>
      </c>
      <c r="C1858" s="119" t="s">
        <v>6856</v>
      </c>
      <c r="D1858" s="119" t="s">
        <v>78</v>
      </c>
      <c r="E1858" s="119" t="s">
        <v>6850</v>
      </c>
    </row>
    <row r="1859" spans="1:5" x14ac:dyDescent="0.25">
      <c r="A1859" s="119">
        <v>3128</v>
      </c>
      <c r="B1859" s="119" t="s">
        <v>6849</v>
      </c>
      <c r="C1859" s="119" t="s">
        <v>6856</v>
      </c>
      <c r="D1859" s="119" t="s">
        <v>78</v>
      </c>
      <c r="E1859" s="119" t="s">
        <v>6850</v>
      </c>
    </row>
    <row r="1860" spans="1:5" x14ac:dyDescent="0.25">
      <c r="A1860" s="119">
        <v>3129</v>
      </c>
      <c r="B1860" s="119" t="s">
        <v>6849</v>
      </c>
      <c r="C1860" s="119" t="s">
        <v>6856</v>
      </c>
      <c r="D1860" s="119" t="s">
        <v>78</v>
      </c>
      <c r="E1860" s="119" t="s">
        <v>6850</v>
      </c>
    </row>
    <row r="1861" spans="1:5" x14ac:dyDescent="0.25">
      <c r="A1861" s="119">
        <v>3130</v>
      </c>
      <c r="B1861" s="119" t="s">
        <v>6849</v>
      </c>
      <c r="C1861" s="119" t="s">
        <v>6856</v>
      </c>
      <c r="D1861" s="119" t="s">
        <v>78</v>
      </c>
      <c r="E1861" s="119" t="s">
        <v>6850</v>
      </c>
    </row>
    <row r="1862" spans="1:5" x14ac:dyDescent="0.25">
      <c r="A1862" s="119">
        <v>3131</v>
      </c>
      <c r="B1862" s="119" t="s">
        <v>6849</v>
      </c>
      <c r="C1862" s="119" t="s">
        <v>6856</v>
      </c>
      <c r="D1862" s="119" t="s">
        <v>78</v>
      </c>
      <c r="E1862" s="119" t="s">
        <v>6850</v>
      </c>
    </row>
    <row r="1863" spans="1:5" x14ac:dyDescent="0.25">
      <c r="A1863" s="119">
        <v>3132</v>
      </c>
      <c r="B1863" s="119" t="s">
        <v>6849</v>
      </c>
      <c r="C1863" s="119" t="s">
        <v>6856</v>
      </c>
      <c r="D1863" s="119" t="s">
        <v>78</v>
      </c>
      <c r="E1863" s="119" t="s">
        <v>6850</v>
      </c>
    </row>
    <row r="1864" spans="1:5" x14ac:dyDescent="0.25">
      <c r="A1864" s="119">
        <v>3133</v>
      </c>
      <c r="B1864" s="119" t="s">
        <v>6849</v>
      </c>
      <c r="C1864" s="119" t="s">
        <v>6856</v>
      </c>
      <c r="D1864" s="119" t="s">
        <v>78</v>
      </c>
      <c r="E1864" s="119" t="s">
        <v>6850</v>
      </c>
    </row>
    <row r="1865" spans="1:5" x14ac:dyDescent="0.25">
      <c r="A1865" s="119">
        <v>3134</v>
      </c>
      <c r="B1865" s="119" t="s">
        <v>6849</v>
      </c>
      <c r="C1865" s="119" t="s">
        <v>6856</v>
      </c>
      <c r="D1865" s="119" t="s">
        <v>78</v>
      </c>
      <c r="E1865" s="119" t="s">
        <v>6850</v>
      </c>
    </row>
    <row r="1866" spans="1:5" x14ac:dyDescent="0.25">
      <c r="A1866" s="119">
        <v>3135</v>
      </c>
      <c r="B1866" s="119" t="s">
        <v>6849</v>
      </c>
      <c r="C1866" s="119" t="s">
        <v>6856</v>
      </c>
      <c r="D1866" s="119" t="s">
        <v>78</v>
      </c>
      <c r="E1866" s="119" t="s">
        <v>6850</v>
      </c>
    </row>
    <row r="1867" spans="1:5" x14ac:dyDescent="0.25">
      <c r="A1867" s="119">
        <v>3136</v>
      </c>
      <c r="B1867" s="119" t="s">
        <v>6849</v>
      </c>
      <c r="C1867" s="119" t="s">
        <v>6856</v>
      </c>
      <c r="D1867" s="119" t="s">
        <v>78</v>
      </c>
      <c r="E1867" s="119" t="s">
        <v>6850</v>
      </c>
    </row>
    <row r="1868" spans="1:5" x14ac:dyDescent="0.25">
      <c r="A1868" s="119">
        <v>3137</v>
      </c>
      <c r="B1868" s="119" t="s">
        <v>6849</v>
      </c>
      <c r="C1868" s="119" t="s">
        <v>6856</v>
      </c>
      <c r="D1868" s="119" t="s">
        <v>78</v>
      </c>
      <c r="E1868" s="119" t="s">
        <v>6850</v>
      </c>
    </row>
    <row r="1869" spans="1:5" x14ac:dyDescent="0.25">
      <c r="A1869" s="119">
        <v>3138</v>
      </c>
      <c r="B1869" s="119" t="s">
        <v>6849</v>
      </c>
      <c r="C1869" s="119" t="s">
        <v>6856</v>
      </c>
      <c r="D1869" s="119" t="s">
        <v>78</v>
      </c>
      <c r="E1869" s="119" t="s">
        <v>6850</v>
      </c>
    </row>
    <row r="1870" spans="1:5" x14ac:dyDescent="0.25">
      <c r="A1870" s="119">
        <v>3139</v>
      </c>
      <c r="B1870" s="119" t="s">
        <v>6849</v>
      </c>
      <c r="C1870" s="119" t="s">
        <v>6856</v>
      </c>
      <c r="D1870" s="119" t="s">
        <v>78</v>
      </c>
      <c r="E1870" s="119" t="s">
        <v>6850</v>
      </c>
    </row>
    <row r="1871" spans="1:5" x14ac:dyDescent="0.25">
      <c r="A1871" s="119">
        <v>3140</v>
      </c>
      <c r="B1871" s="119" t="s">
        <v>6849</v>
      </c>
      <c r="C1871" s="119" t="s">
        <v>6856</v>
      </c>
      <c r="D1871" s="119" t="s">
        <v>78</v>
      </c>
      <c r="E1871" s="119" t="s">
        <v>6850</v>
      </c>
    </row>
    <row r="1872" spans="1:5" x14ac:dyDescent="0.25">
      <c r="A1872" s="119">
        <v>3141</v>
      </c>
      <c r="B1872" s="119" t="s">
        <v>6849</v>
      </c>
      <c r="C1872" s="119" t="s">
        <v>6856</v>
      </c>
      <c r="D1872" s="119" t="s">
        <v>78</v>
      </c>
      <c r="E1872" s="119" t="s">
        <v>6850</v>
      </c>
    </row>
    <row r="1873" spans="1:5" x14ac:dyDescent="0.25">
      <c r="A1873" s="119">
        <v>3142</v>
      </c>
      <c r="B1873" s="119" t="s">
        <v>6849</v>
      </c>
      <c r="C1873" s="119" t="s">
        <v>6856</v>
      </c>
      <c r="D1873" s="119" t="s">
        <v>78</v>
      </c>
      <c r="E1873" s="119" t="s">
        <v>6850</v>
      </c>
    </row>
    <row r="1874" spans="1:5" x14ac:dyDescent="0.25">
      <c r="A1874" s="119">
        <v>3143</v>
      </c>
      <c r="B1874" s="119" t="s">
        <v>6849</v>
      </c>
      <c r="C1874" s="119" t="s">
        <v>6856</v>
      </c>
      <c r="D1874" s="119" t="s">
        <v>78</v>
      </c>
      <c r="E1874" s="119" t="s">
        <v>6850</v>
      </c>
    </row>
    <row r="1875" spans="1:5" x14ac:dyDescent="0.25">
      <c r="A1875" s="119">
        <v>3144</v>
      </c>
      <c r="B1875" s="119" t="s">
        <v>6849</v>
      </c>
      <c r="C1875" s="119" t="s">
        <v>6856</v>
      </c>
      <c r="D1875" s="119" t="s">
        <v>78</v>
      </c>
      <c r="E1875" s="119" t="s">
        <v>6850</v>
      </c>
    </row>
    <row r="1876" spans="1:5" x14ac:dyDescent="0.25">
      <c r="A1876" s="119">
        <v>3145</v>
      </c>
      <c r="B1876" s="119" t="s">
        <v>6849</v>
      </c>
      <c r="C1876" s="119" t="s">
        <v>6856</v>
      </c>
      <c r="D1876" s="119" t="s">
        <v>78</v>
      </c>
      <c r="E1876" s="119" t="s">
        <v>6850</v>
      </c>
    </row>
    <row r="1877" spans="1:5" x14ac:dyDescent="0.25">
      <c r="A1877" s="119">
        <v>3146</v>
      </c>
      <c r="B1877" s="119" t="s">
        <v>6849</v>
      </c>
      <c r="C1877" s="119" t="s">
        <v>6856</v>
      </c>
      <c r="D1877" s="119" t="s">
        <v>78</v>
      </c>
      <c r="E1877" s="119" t="s">
        <v>6850</v>
      </c>
    </row>
    <row r="1878" spans="1:5" x14ac:dyDescent="0.25">
      <c r="A1878" s="119">
        <v>3147</v>
      </c>
      <c r="B1878" s="119" t="s">
        <v>6849</v>
      </c>
      <c r="C1878" s="119" t="s">
        <v>6856</v>
      </c>
      <c r="D1878" s="119" t="s">
        <v>78</v>
      </c>
      <c r="E1878" s="119" t="s">
        <v>6850</v>
      </c>
    </row>
    <row r="1879" spans="1:5" x14ac:dyDescent="0.25">
      <c r="A1879" s="119">
        <v>3148</v>
      </c>
      <c r="B1879" s="119" t="s">
        <v>6849</v>
      </c>
      <c r="C1879" s="119" t="s">
        <v>6856</v>
      </c>
      <c r="D1879" s="119" t="s">
        <v>78</v>
      </c>
      <c r="E1879" s="119" t="s">
        <v>6850</v>
      </c>
    </row>
    <row r="1880" spans="1:5" x14ac:dyDescent="0.25">
      <c r="A1880" s="119">
        <v>3149</v>
      </c>
      <c r="B1880" s="119" t="s">
        <v>6849</v>
      </c>
      <c r="C1880" s="119" t="s">
        <v>6857</v>
      </c>
      <c r="D1880" s="119" t="s">
        <v>47</v>
      </c>
      <c r="E1880" s="119" t="s">
        <v>6850</v>
      </c>
    </row>
    <row r="1881" spans="1:5" x14ac:dyDescent="0.25">
      <c r="A1881" s="119">
        <v>3150</v>
      </c>
      <c r="B1881" s="119" t="s">
        <v>6849</v>
      </c>
      <c r="C1881" s="119" t="s">
        <v>6857</v>
      </c>
      <c r="D1881" s="119" t="s">
        <v>47</v>
      </c>
      <c r="E1881" s="119" t="s">
        <v>6850</v>
      </c>
    </row>
    <row r="1882" spans="1:5" x14ac:dyDescent="0.25">
      <c r="A1882" s="119">
        <v>3151</v>
      </c>
      <c r="B1882" s="119" t="s">
        <v>6849</v>
      </c>
      <c r="C1882" s="119" t="s">
        <v>6857</v>
      </c>
      <c r="D1882" s="119" t="s">
        <v>47</v>
      </c>
      <c r="E1882" s="119" t="s">
        <v>6850</v>
      </c>
    </row>
    <row r="1883" spans="1:5" x14ac:dyDescent="0.25">
      <c r="A1883" s="119">
        <v>3152</v>
      </c>
      <c r="B1883" s="119" t="s">
        <v>6849</v>
      </c>
      <c r="C1883" s="119" t="s">
        <v>6856</v>
      </c>
      <c r="D1883" s="119" t="s">
        <v>78</v>
      </c>
      <c r="E1883" s="119" t="s">
        <v>6850</v>
      </c>
    </row>
    <row r="1884" spans="1:5" x14ac:dyDescent="0.25">
      <c r="A1884" s="119">
        <v>3153</v>
      </c>
      <c r="B1884" s="119" t="s">
        <v>6849</v>
      </c>
      <c r="C1884" s="119" t="s">
        <v>6856</v>
      </c>
      <c r="D1884" s="119" t="s">
        <v>78</v>
      </c>
      <c r="E1884" s="119" t="s">
        <v>6850</v>
      </c>
    </row>
    <row r="1885" spans="1:5" x14ac:dyDescent="0.25">
      <c r="A1885" s="119">
        <v>3154</v>
      </c>
      <c r="B1885" s="119" t="s">
        <v>6849</v>
      </c>
      <c r="C1885" s="119" t="s">
        <v>6856</v>
      </c>
      <c r="D1885" s="119" t="s">
        <v>78</v>
      </c>
      <c r="E1885" s="119" t="s">
        <v>6850</v>
      </c>
    </row>
    <row r="1886" spans="1:5" x14ac:dyDescent="0.25">
      <c r="A1886" s="119">
        <v>3155</v>
      </c>
      <c r="B1886" s="119" t="s">
        <v>6849</v>
      </c>
      <c r="C1886" s="119" t="s">
        <v>6856</v>
      </c>
      <c r="D1886" s="119" t="s">
        <v>78</v>
      </c>
      <c r="E1886" s="119" t="s">
        <v>6850</v>
      </c>
    </row>
    <row r="1887" spans="1:5" x14ac:dyDescent="0.25">
      <c r="A1887" s="119">
        <v>3156</v>
      </c>
      <c r="B1887" s="119" t="s">
        <v>6849</v>
      </c>
      <c r="C1887" s="119" t="s">
        <v>6856</v>
      </c>
      <c r="D1887" s="119" t="s">
        <v>78</v>
      </c>
      <c r="E1887" s="119" t="s">
        <v>6850</v>
      </c>
    </row>
    <row r="1888" spans="1:5" x14ac:dyDescent="0.25">
      <c r="A1888" s="119">
        <v>3157</v>
      </c>
      <c r="B1888" s="119" t="s">
        <v>6849</v>
      </c>
      <c r="C1888" s="119" t="s">
        <v>5218</v>
      </c>
      <c r="D1888" s="119" t="s">
        <v>78</v>
      </c>
      <c r="E1888" s="119" t="s">
        <v>6850</v>
      </c>
    </row>
    <row r="1889" spans="1:5" x14ac:dyDescent="0.25">
      <c r="A1889" s="119">
        <v>3158</v>
      </c>
      <c r="B1889" s="119" t="s">
        <v>6849</v>
      </c>
      <c r="C1889" s="119" t="s">
        <v>5218</v>
      </c>
      <c r="D1889" s="119" t="s">
        <v>78</v>
      </c>
      <c r="E1889" s="119" t="s">
        <v>6850</v>
      </c>
    </row>
    <row r="1890" spans="1:5" x14ac:dyDescent="0.25">
      <c r="A1890" s="119">
        <v>3159</v>
      </c>
      <c r="B1890" s="119" t="s">
        <v>6849</v>
      </c>
      <c r="C1890" s="119" t="s">
        <v>5218</v>
      </c>
      <c r="D1890" s="119" t="s">
        <v>78</v>
      </c>
      <c r="E1890" s="119" t="s">
        <v>6850</v>
      </c>
    </row>
    <row r="1891" spans="1:5" x14ac:dyDescent="0.25">
      <c r="A1891" s="119">
        <v>3161</v>
      </c>
      <c r="B1891" s="119" t="s">
        <v>6849</v>
      </c>
      <c r="C1891" s="119" t="s">
        <v>6856</v>
      </c>
      <c r="D1891" s="119" t="s">
        <v>78</v>
      </c>
      <c r="E1891" s="119" t="s">
        <v>6850</v>
      </c>
    </row>
    <row r="1892" spans="1:5" x14ac:dyDescent="0.25">
      <c r="A1892" s="119">
        <v>3166</v>
      </c>
      <c r="B1892" s="119" t="s">
        <v>6849</v>
      </c>
      <c r="C1892" s="119" t="s">
        <v>5218</v>
      </c>
      <c r="D1892" s="119" t="s">
        <v>78</v>
      </c>
      <c r="E1892" s="119" t="s">
        <v>6850</v>
      </c>
    </row>
    <row r="1893" spans="1:5" x14ac:dyDescent="0.25">
      <c r="A1893" s="119">
        <v>3167</v>
      </c>
      <c r="B1893" s="119" t="s">
        <v>6849</v>
      </c>
      <c r="C1893" s="119" t="s">
        <v>5218</v>
      </c>
      <c r="D1893" s="119" t="s">
        <v>78</v>
      </c>
      <c r="E1893" s="119" t="s">
        <v>6850</v>
      </c>
    </row>
    <row r="1894" spans="1:5" x14ac:dyDescent="0.25">
      <c r="A1894" s="119">
        <v>3168</v>
      </c>
      <c r="B1894" s="119" t="s">
        <v>6849</v>
      </c>
      <c r="C1894" s="119" t="s">
        <v>5218</v>
      </c>
      <c r="D1894" s="119" t="s">
        <v>78</v>
      </c>
      <c r="E1894" s="119" t="s">
        <v>6850</v>
      </c>
    </row>
    <row r="1895" spans="1:5" x14ac:dyDescent="0.25">
      <c r="A1895" s="119">
        <v>3169</v>
      </c>
      <c r="B1895" s="119" t="s">
        <v>6849</v>
      </c>
      <c r="C1895" s="119" t="s">
        <v>5218</v>
      </c>
      <c r="D1895" s="119" t="s">
        <v>78</v>
      </c>
      <c r="E1895" s="119" t="s">
        <v>6850</v>
      </c>
    </row>
    <row r="1896" spans="1:5" x14ac:dyDescent="0.25">
      <c r="A1896" s="119">
        <v>3172</v>
      </c>
      <c r="B1896" s="119" t="s">
        <v>6849</v>
      </c>
      <c r="C1896" s="119" t="s">
        <v>5218</v>
      </c>
      <c r="D1896" s="119" t="s">
        <v>78</v>
      </c>
      <c r="E1896" s="119" t="s">
        <v>6850</v>
      </c>
    </row>
    <row r="1897" spans="1:5" x14ac:dyDescent="0.25">
      <c r="A1897" s="119">
        <v>3173</v>
      </c>
      <c r="B1897" s="119" t="s">
        <v>6849</v>
      </c>
      <c r="C1897" s="119" t="s">
        <v>5218</v>
      </c>
      <c r="D1897" s="119" t="s">
        <v>78</v>
      </c>
      <c r="E1897" s="119" t="s">
        <v>6850</v>
      </c>
    </row>
    <row r="1898" spans="1:5" x14ac:dyDescent="0.25">
      <c r="A1898" s="119">
        <v>3174</v>
      </c>
      <c r="B1898" s="119" t="s">
        <v>6849</v>
      </c>
      <c r="C1898" s="119" t="s">
        <v>5218</v>
      </c>
      <c r="D1898" s="119" t="s">
        <v>78</v>
      </c>
      <c r="E1898" s="119" t="s">
        <v>6850</v>
      </c>
    </row>
    <row r="1899" spans="1:5" x14ac:dyDescent="0.25">
      <c r="A1899" s="119">
        <v>3175</v>
      </c>
      <c r="B1899" s="119" t="s">
        <v>6849</v>
      </c>
      <c r="C1899" s="119" t="s">
        <v>5218</v>
      </c>
      <c r="D1899" s="119" t="s">
        <v>78</v>
      </c>
      <c r="E1899" s="119" t="s">
        <v>6850</v>
      </c>
    </row>
    <row r="1900" spans="1:5" x14ac:dyDescent="0.25">
      <c r="A1900" s="119">
        <v>3178</v>
      </c>
      <c r="B1900" s="119" t="s">
        <v>6849</v>
      </c>
      <c r="C1900" s="119" t="s">
        <v>6856</v>
      </c>
      <c r="D1900" s="119" t="s">
        <v>78</v>
      </c>
      <c r="E1900" s="119" t="s">
        <v>6850</v>
      </c>
    </row>
    <row r="1901" spans="1:5" x14ac:dyDescent="0.25">
      <c r="A1901" s="119">
        <v>3179</v>
      </c>
      <c r="B1901" s="119" t="s">
        <v>6849</v>
      </c>
      <c r="C1901" s="119" t="s">
        <v>6856</v>
      </c>
      <c r="D1901" s="119" t="s">
        <v>78</v>
      </c>
      <c r="E1901" s="119" t="s">
        <v>6850</v>
      </c>
    </row>
    <row r="1902" spans="1:5" x14ac:dyDescent="0.25">
      <c r="A1902" s="119">
        <v>3180</v>
      </c>
      <c r="B1902" s="119" t="s">
        <v>6849</v>
      </c>
      <c r="C1902" s="119" t="s">
        <v>6856</v>
      </c>
      <c r="D1902" s="119" t="s">
        <v>78</v>
      </c>
      <c r="E1902" s="119" t="s">
        <v>6850</v>
      </c>
    </row>
    <row r="1903" spans="1:5" x14ac:dyDescent="0.25">
      <c r="A1903" s="119">
        <v>3181</v>
      </c>
      <c r="B1903" s="119" t="s">
        <v>6849</v>
      </c>
      <c r="C1903" s="119" t="s">
        <v>6856</v>
      </c>
      <c r="D1903" s="119" t="s">
        <v>78</v>
      </c>
      <c r="E1903" s="119" t="s">
        <v>6850</v>
      </c>
    </row>
    <row r="1904" spans="1:5" x14ac:dyDescent="0.25">
      <c r="A1904" s="119">
        <v>3182</v>
      </c>
      <c r="B1904" s="119" t="s">
        <v>6849</v>
      </c>
      <c r="C1904" s="119" t="s">
        <v>6856</v>
      </c>
      <c r="D1904" s="119" t="s">
        <v>78</v>
      </c>
      <c r="E1904" s="119" t="s">
        <v>6850</v>
      </c>
    </row>
    <row r="1905" spans="1:5" x14ac:dyDescent="0.25">
      <c r="A1905" s="119">
        <v>3184</v>
      </c>
      <c r="B1905" s="119" t="s">
        <v>6849</v>
      </c>
      <c r="C1905" s="119" t="s">
        <v>6856</v>
      </c>
      <c r="D1905" s="119" t="s">
        <v>78</v>
      </c>
      <c r="E1905" s="119" t="s">
        <v>6850</v>
      </c>
    </row>
    <row r="1906" spans="1:5" x14ac:dyDescent="0.25">
      <c r="A1906" s="119">
        <v>3185</v>
      </c>
      <c r="B1906" s="119" t="s">
        <v>6849</v>
      </c>
      <c r="C1906" s="119" t="s">
        <v>6856</v>
      </c>
      <c r="D1906" s="119" t="s">
        <v>78</v>
      </c>
      <c r="E1906" s="119" t="s">
        <v>6850</v>
      </c>
    </row>
    <row r="1907" spans="1:5" x14ac:dyDescent="0.25">
      <c r="A1907" s="119">
        <v>3186</v>
      </c>
      <c r="B1907" s="119" t="s">
        <v>6849</v>
      </c>
      <c r="C1907" s="119" t="s">
        <v>6856</v>
      </c>
      <c r="D1907" s="119" t="s">
        <v>78</v>
      </c>
      <c r="E1907" s="119" t="s">
        <v>6850</v>
      </c>
    </row>
    <row r="1908" spans="1:5" x14ac:dyDescent="0.25">
      <c r="A1908" s="119">
        <v>3187</v>
      </c>
      <c r="B1908" s="119" t="s">
        <v>6849</v>
      </c>
      <c r="C1908" s="119" t="s">
        <v>6856</v>
      </c>
      <c r="D1908" s="119" t="s">
        <v>78</v>
      </c>
      <c r="E1908" s="119" t="s">
        <v>6850</v>
      </c>
    </row>
    <row r="1909" spans="1:5" x14ac:dyDescent="0.25">
      <c r="A1909" s="119">
        <v>3197</v>
      </c>
      <c r="B1909" s="119" t="s">
        <v>6849</v>
      </c>
      <c r="C1909" s="119" t="s">
        <v>6856</v>
      </c>
      <c r="D1909" s="119" t="s">
        <v>78</v>
      </c>
      <c r="E1909" s="119" t="s">
        <v>6850</v>
      </c>
    </row>
    <row r="1910" spans="1:5" x14ac:dyDescent="0.25">
      <c r="A1910" s="119">
        <v>3198</v>
      </c>
      <c r="B1910" s="119" t="s">
        <v>6849</v>
      </c>
      <c r="C1910" s="119" t="s">
        <v>6856</v>
      </c>
      <c r="D1910" s="119" t="s">
        <v>78</v>
      </c>
      <c r="E1910" s="119" t="s">
        <v>6850</v>
      </c>
    </row>
    <row r="1911" spans="1:5" x14ac:dyDescent="0.25">
      <c r="A1911" s="119">
        <v>3199</v>
      </c>
      <c r="B1911" s="119" t="s">
        <v>6849</v>
      </c>
      <c r="C1911" s="119" t="s">
        <v>6856</v>
      </c>
      <c r="D1911" s="119" t="s">
        <v>78</v>
      </c>
      <c r="E1911" s="119" t="s">
        <v>6850</v>
      </c>
    </row>
    <row r="1912" spans="1:5" x14ac:dyDescent="0.25">
      <c r="A1912" s="119">
        <v>3200</v>
      </c>
      <c r="B1912" s="119" t="s">
        <v>6849</v>
      </c>
      <c r="C1912" s="119" t="s">
        <v>6856</v>
      </c>
      <c r="D1912" s="119" t="s">
        <v>78</v>
      </c>
      <c r="E1912" s="119" t="s">
        <v>6850</v>
      </c>
    </row>
    <row r="1913" spans="1:5" x14ac:dyDescent="0.25">
      <c r="A1913" s="119">
        <v>3201</v>
      </c>
      <c r="B1913" s="119" t="s">
        <v>6849</v>
      </c>
      <c r="C1913" s="119" t="s">
        <v>6856</v>
      </c>
      <c r="D1913" s="119" t="s">
        <v>78</v>
      </c>
      <c r="E1913" s="119" t="s">
        <v>6850</v>
      </c>
    </row>
    <row r="1914" spans="1:5" x14ac:dyDescent="0.25">
      <c r="A1914" s="119">
        <v>3202</v>
      </c>
      <c r="B1914" s="119" t="s">
        <v>6849</v>
      </c>
      <c r="C1914" s="119" t="s">
        <v>6856</v>
      </c>
      <c r="D1914" s="119" t="s">
        <v>78</v>
      </c>
      <c r="E1914" s="119" t="s">
        <v>6850</v>
      </c>
    </row>
    <row r="1915" spans="1:5" x14ac:dyDescent="0.25">
      <c r="A1915" s="119">
        <v>3206</v>
      </c>
      <c r="B1915" s="119" t="s">
        <v>6849</v>
      </c>
      <c r="C1915" s="119" t="s">
        <v>6856</v>
      </c>
      <c r="D1915" s="119" t="s">
        <v>78</v>
      </c>
      <c r="E1915" s="119" t="s">
        <v>6850</v>
      </c>
    </row>
    <row r="1916" spans="1:5" x14ac:dyDescent="0.25">
      <c r="A1916" s="119">
        <v>3208</v>
      </c>
      <c r="B1916" s="119" t="s">
        <v>6849</v>
      </c>
      <c r="C1916" s="119" t="s">
        <v>6856</v>
      </c>
      <c r="D1916" s="119" t="s">
        <v>78</v>
      </c>
      <c r="E1916" s="119" t="s">
        <v>6850</v>
      </c>
    </row>
    <row r="1917" spans="1:5" x14ac:dyDescent="0.25">
      <c r="A1917" s="119">
        <v>3210</v>
      </c>
      <c r="B1917" s="119" t="s">
        <v>6849</v>
      </c>
      <c r="C1917" s="119" t="s">
        <v>6856</v>
      </c>
      <c r="D1917" s="119" t="s">
        <v>78</v>
      </c>
      <c r="E1917" s="119" t="s">
        <v>6850</v>
      </c>
    </row>
    <row r="1918" spans="1:5" x14ac:dyDescent="0.25">
      <c r="A1918" s="119">
        <v>3212</v>
      </c>
      <c r="B1918" s="119" t="s">
        <v>6849</v>
      </c>
      <c r="C1918" s="119" t="s">
        <v>6856</v>
      </c>
      <c r="D1918" s="119" t="s">
        <v>78</v>
      </c>
      <c r="E1918" s="119" t="s">
        <v>6850</v>
      </c>
    </row>
    <row r="1919" spans="1:5" x14ac:dyDescent="0.25">
      <c r="A1919" s="119">
        <v>3214</v>
      </c>
      <c r="B1919" s="119" t="s">
        <v>6849</v>
      </c>
      <c r="C1919" s="119" t="s">
        <v>6856</v>
      </c>
      <c r="D1919" s="119" t="s">
        <v>78</v>
      </c>
      <c r="E1919" s="119" t="s">
        <v>6850</v>
      </c>
    </row>
    <row r="1920" spans="1:5" x14ac:dyDescent="0.25">
      <c r="A1920" s="119">
        <v>3216</v>
      </c>
      <c r="B1920" s="119" t="s">
        <v>6849</v>
      </c>
      <c r="C1920" s="119" t="s">
        <v>6856</v>
      </c>
      <c r="D1920" s="119" t="s">
        <v>78</v>
      </c>
      <c r="E1920" s="119" t="s">
        <v>6850</v>
      </c>
    </row>
    <row r="1921" spans="1:5" x14ac:dyDescent="0.25">
      <c r="A1921" s="119">
        <v>3218</v>
      </c>
      <c r="B1921" s="119" t="s">
        <v>6849</v>
      </c>
      <c r="C1921" s="119" t="s">
        <v>6856</v>
      </c>
      <c r="D1921" s="119" t="s">
        <v>78</v>
      </c>
      <c r="E1921" s="119" t="s">
        <v>6850</v>
      </c>
    </row>
    <row r="1922" spans="1:5" x14ac:dyDescent="0.25">
      <c r="A1922" s="119">
        <v>3219</v>
      </c>
      <c r="B1922" s="119" t="s">
        <v>6849</v>
      </c>
      <c r="C1922" s="119" t="s">
        <v>6856</v>
      </c>
      <c r="D1922" s="119" t="s">
        <v>78</v>
      </c>
      <c r="E1922" s="119" t="s">
        <v>6850</v>
      </c>
    </row>
    <row r="1923" spans="1:5" x14ac:dyDescent="0.25">
      <c r="A1923" s="119">
        <v>3220</v>
      </c>
      <c r="B1923" s="119" t="s">
        <v>6849</v>
      </c>
      <c r="C1923" s="119" t="s">
        <v>6856</v>
      </c>
      <c r="D1923" s="119" t="s">
        <v>78</v>
      </c>
      <c r="E1923" s="119" t="s">
        <v>6850</v>
      </c>
    </row>
    <row r="1924" spans="1:5" x14ac:dyDescent="0.25">
      <c r="A1924" s="119">
        <v>3221</v>
      </c>
      <c r="B1924" s="119" t="s">
        <v>6849</v>
      </c>
      <c r="C1924" s="119" t="s">
        <v>6856</v>
      </c>
      <c r="D1924" s="119" t="s">
        <v>78</v>
      </c>
      <c r="E1924" s="119" t="s">
        <v>6850</v>
      </c>
    </row>
    <row r="1925" spans="1:5" x14ac:dyDescent="0.25">
      <c r="A1925" s="119">
        <v>3222</v>
      </c>
      <c r="B1925" s="119" t="s">
        <v>6849</v>
      </c>
      <c r="C1925" s="119" t="s">
        <v>6856</v>
      </c>
      <c r="D1925" s="119" t="s">
        <v>78</v>
      </c>
      <c r="E1925" s="119" t="s">
        <v>6850</v>
      </c>
    </row>
    <row r="1926" spans="1:5" x14ac:dyDescent="0.25">
      <c r="A1926" s="119">
        <v>3223</v>
      </c>
      <c r="B1926" s="119" t="s">
        <v>6849</v>
      </c>
      <c r="C1926" s="119" t="s">
        <v>6856</v>
      </c>
      <c r="D1926" s="119" t="s">
        <v>78</v>
      </c>
      <c r="E1926" s="119" t="s">
        <v>6850</v>
      </c>
    </row>
    <row r="1927" spans="1:5" x14ac:dyDescent="0.25">
      <c r="A1927" s="119">
        <v>3224</v>
      </c>
      <c r="B1927" s="119" t="s">
        <v>6849</v>
      </c>
      <c r="C1927" s="119" t="s">
        <v>6856</v>
      </c>
      <c r="D1927" s="119" t="s">
        <v>78</v>
      </c>
      <c r="E1927" s="119" t="s">
        <v>6850</v>
      </c>
    </row>
    <row r="1928" spans="1:5" x14ac:dyDescent="0.25">
      <c r="A1928" s="119">
        <v>3225</v>
      </c>
      <c r="B1928" s="119" t="s">
        <v>6849</v>
      </c>
      <c r="C1928" s="119" t="s">
        <v>6856</v>
      </c>
      <c r="D1928" s="119" t="s">
        <v>78</v>
      </c>
      <c r="E1928" s="119" t="s">
        <v>6850</v>
      </c>
    </row>
    <row r="1929" spans="1:5" x14ac:dyDescent="0.25">
      <c r="A1929" s="119">
        <v>3240</v>
      </c>
      <c r="B1929" s="119" t="s">
        <v>6849</v>
      </c>
      <c r="C1929" s="119" t="s">
        <v>6856</v>
      </c>
      <c r="D1929" s="119" t="s">
        <v>78</v>
      </c>
      <c r="E1929" s="119" t="s">
        <v>6850</v>
      </c>
    </row>
    <row r="1930" spans="1:5" x14ac:dyDescent="0.25">
      <c r="A1930" s="119">
        <v>3241</v>
      </c>
      <c r="B1930" s="119" t="s">
        <v>6849</v>
      </c>
      <c r="C1930" s="119" t="s">
        <v>6856</v>
      </c>
      <c r="D1930" s="119" t="s">
        <v>78</v>
      </c>
      <c r="E1930" s="119" t="s">
        <v>6850</v>
      </c>
    </row>
    <row r="1931" spans="1:5" x14ac:dyDescent="0.25">
      <c r="A1931" s="119">
        <v>3242</v>
      </c>
      <c r="B1931" s="119" t="s">
        <v>6849</v>
      </c>
      <c r="C1931" s="119" t="s">
        <v>6856</v>
      </c>
      <c r="D1931" s="119" t="s">
        <v>78</v>
      </c>
      <c r="E1931" s="119" t="s">
        <v>6850</v>
      </c>
    </row>
    <row r="1932" spans="1:5" x14ac:dyDescent="0.25">
      <c r="A1932" s="119">
        <v>3244</v>
      </c>
      <c r="B1932" s="119" t="s">
        <v>6849</v>
      </c>
      <c r="C1932" s="119" t="s">
        <v>6856</v>
      </c>
      <c r="D1932" s="119" t="s">
        <v>78</v>
      </c>
      <c r="E1932" s="119" t="s">
        <v>6850</v>
      </c>
    </row>
    <row r="1933" spans="1:5" x14ac:dyDescent="0.25">
      <c r="A1933" s="119">
        <v>3245</v>
      </c>
      <c r="B1933" s="119" t="s">
        <v>6849</v>
      </c>
      <c r="C1933" s="119" t="s">
        <v>6856</v>
      </c>
      <c r="D1933" s="119" t="s">
        <v>78</v>
      </c>
      <c r="E1933" s="119" t="s">
        <v>6850</v>
      </c>
    </row>
    <row r="1934" spans="1:5" x14ac:dyDescent="0.25">
      <c r="A1934" s="119">
        <v>3247</v>
      </c>
      <c r="B1934" s="119" t="s">
        <v>6849</v>
      </c>
      <c r="C1934" s="119" t="s">
        <v>5218</v>
      </c>
      <c r="D1934" s="119" t="s">
        <v>78</v>
      </c>
      <c r="E1934" s="119" t="s">
        <v>6850</v>
      </c>
    </row>
    <row r="1935" spans="1:5" x14ac:dyDescent="0.25">
      <c r="A1935" s="119">
        <v>3257</v>
      </c>
      <c r="B1935" s="119" t="s">
        <v>6849</v>
      </c>
      <c r="C1935" s="119" t="s">
        <v>5218</v>
      </c>
      <c r="D1935" s="119" t="s">
        <v>78</v>
      </c>
      <c r="E1935" s="119" t="s">
        <v>6850</v>
      </c>
    </row>
    <row r="1936" spans="1:5" x14ac:dyDescent="0.25">
      <c r="A1936" s="119">
        <v>3258</v>
      </c>
      <c r="B1936" s="119" t="s">
        <v>6849</v>
      </c>
      <c r="C1936" s="119" t="s">
        <v>5218</v>
      </c>
      <c r="D1936" s="119" t="s">
        <v>78</v>
      </c>
      <c r="E1936" s="119" t="s">
        <v>6850</v>
      </c>
    </row>
    <row r="1937" spans="1:5" x14ac:dyDescent="0.25">
      <c r="A1937" s="119">
        <v>3259</v>
      </c>
      <c r="B1937" s="119" t="s">
        <v>6849</v>
      </c>
      <c r="C1937" s="119" t="s">
        <v>5218</v>
      </c>
      <c r="D1937" s="119" t="s">
        <v>78</v>
      </c>
      <c r="E1937" s="119" t="s">
        <v>6850</v>
      </c>
    </row>
    <row r="1938" spans="1:5" x14ac:dyDescent="0.25">
      <c r="A1938" s="119">
        <v>3260</v>
      </c>
      <c r="B1938" s="119" t="s">
        <v>6849</v>
      </c>
      <c r="C1938" s="119" t="s">
        <v>5218</v>
      </c>
      <c r="D1938" s="119" t="s">
        <v>78</v>
      </c>
      <c r="E1938" s="119" t="s">
        <v>6850</v>
      </c>
    </row>
    <row r="1939" spans="1:5" x14ac:dyDescent="0.25">
      <c r="A1939" s="119">
        <v>3261</v>
      </c>
      <c r="B1939" s="119" t="s">
        <v>6849</v>
      </c>
      <c r="C1939" s="119" t="s">
        <v>5218</v>
      </c>
      <c r="D1939" s="119" t="s">
        <v>78</v>
      </c>
      <c r="E1939" s="119" t="s">
        <v>6850</v>
      </c>
    </row>
    <row r="1940" spans="1:5" x14ac:dyDescent="0.25">
      <c r="A1940" s="119">
        <v>3262</v>
      </c>
      <c r="B1940" s="119" t="s">
        <v>6849</v>
      </c>
      <c r="C1940" s="119" t="s">
        <v>5218</v>
      </c>
      <c r="D1940" s="119" t="s">
        <v>78</v>
      </c>
      <c r="E1940" s="119" t="s">
        <v>6850</v>
      </c>
    </row>
    <row r="1941" spans="1:5" x14ac:dyDescent="0.25">
      <c r="A1941" s="119">
        <v>3263</v>
      </c>
      <c r="B1941" s="119" t="s">
        <v>6849</v>
      </c>
      <c r="C1941" s="119" t="s">
        <v>5218</v>
      </c>
      <c r="D1941" s="119" t="s">
        <v>78</v>
      </c>
      <c r="E1941" s="119" t="s">
        <v>6850</v>
      </c>
    </row>
    <row r="1942" spans="1:5" x14ac:dyDescent="0.25">
      <c r="A1942" s="119">
        <v>3264</v>
      </c>
      <c r="B1942" s="119" t="s">
        <v>6849</v>
      </c>
      <c r="C1942" s="119" t="s">
        <v>5218</v>
      </c>
      <c r="D1942" s="119" t="s">
        <v>78</v>
      </c>
      <c r="E1942" s="119" t="s">
        <v>6850</v>
      </c>
    </row>
    <row r="1943" spans="1:5" x14ac:dyDescent="0.25">
      <c r="A1943" s="119">
        <v>3265</v>
      </c>
      <c r="B1943" s="119" t="s">
        <v>6849</v>
      </c>
      <c r="C1943" s="119" t="s">
        <v>5218</v>
      </c>
      <c r="D1943" s="119" t="s">
        <v>78</v>
      </c>
      <c r="E1943" s="119" t="s">
        <v>6850</v>
      </c>
    </row>
    <row r="1944" spans="1:5" x14ac:dyDescent="0.25">
      <c r="A1944" s="119">
        <v>3266</v>
      </c>
      <c r="B1944" s="119" t="s">
        <v>6849</v>
      </c>
      <c r="C1944" s="119" t="s">
        <v>5218</v>
      </c>
      <c r="D1944" s="119" t="s">
        <v>78</v>
      </c>
      <c r="E1944" s="119" t="s">
        <v>6850</v>
      </c>
    </row>
    <row r="1945" spans="1:5" x14ac:dyDescent="0.25">
      <c r="A1945" s="119">
        <v>3267</v>
      </c>
      <c r="B1945" s="119" t="s">
        <v>6849</v>
      </c>
      <c r="C1945" s="119" t="s">
        <v>5218</v>
      </c>
      <c r="D1945" s="119" t="s">
        <v>78</v>
      </c>
      <c r="E1945" s="119" t="s">
        <v>6850</v>
      </c>
    </row>
    <row r="1946" spans="1:5" x14ac:dyDescent="0.25">
      <c r="A1946" s="119">
        <v>3268</v>
      </c>
      <c r="B1946" s="119" t="s">
        <v>6849</v>
      </c>
      <c r="C1946" s="119" t="s">
        <v>5218</v>
      </c>
      <c r="D1946" s="119" t="s">
        <v>78</v>
      </c>
      <c r="E1946" s="119" t="s">
        <v>6850</v>
      </c>
    </row>
    <row r="1947" spans="1:5" x14ac:dyDescent="0.25">
      <c r="A1947" s="119">
        <v>3269</v>
      </c>
      <c r="B1947" s="119" t="s">
        <v>6849</v>
      </c>
      <c r="C1947" s="119" t="s">
        <v>5218</v>
      </c>
      <c r="D1947" s="119" t="s">
        <v>78</v>
      </c>
      <c r="E1947" s="119" t="s">
        <v>6850</v>
      </c>
    </row>
    <row r="1948" spans="1:5" x14ac:dyDescent="0.25">
      <c r="A1948" s="119">
        <v>3270</v>
      </c>
      <c r="B1948" s="119" t="s">
        <v>6849</v>
      </c>
      <c r="C1948" s="119" t="s">
        <v>5218</v>
      </c>
      <c r="D1948" s="119" t="s">
        <v>78</v>
      </c>
      <c r="E1948" s="119" t="s">
        <v>6850</v>
      </c>
    </row>
    <row r="1949" spans="1:5" x14ac:dyDescent="0.25">
      <c r="A1949" s="119">
        <v>3271</v>
      </c>
      <c r="B1949" s="119" t="s">
        <v>6849</v>
      </c>
      <c r="C1949" s="119" t="s">
        <v>5218</v>
      </c>
      <c r="D1949" s="119" t="s">
        <v>78</v>
      </c>
      <c r="E1949" s="119" t="s">
        <v>6850</v>
      </c>
    </row>
    <row r="1950" spans="1:5" x14ac:dyDescent="0.25">
      <c r="A1950" s="119">
        <v>3272</v>
      </c>
      <c r="B1950" s="119" t="s">
        <v>6849</v>
      </c>
      <c r="C1950" s="119" t="s">
        <v>5218</v>
      </c>
      <c r="D1950" s="119" t="s">
        <v>78</v>
      </c>
      <c r="E1950" s="119" t="s">
        <v>6850</v>
      </c>
    </row>
    <row r="1951" spans="1:5" x14ac:dyDescent="0.25">
      <c r="A1951" s="119">
        <v>3273</v>
      </c>
      <c r="B1951" s="119" t="s">
        <v>6849</v>
      </c>
      <c r="C1951" s="119" t="s">
        <v>5218</v>
      </c>
      <c r="D1951" s="119" t="s">
        <v>78</v>
      </c>
      <c r="E1951" s="119" t="s">
        <v>6850</v>
      </c>
    </row>
    <row r="1952" spans="1:5" x14ac:dyDescent="0.25">
      <c r="A1952" s="119">
        <v>3274</v>
      </c>
      <c r="B1952" s="119" t="s">
        <v>6849</v>
      </c>
      <c r="C1952" s="119" t="s">
        <v>5218</v>
      </c>
      <c r="D1952" s="119" t="s">
        <v>78</v>
      </c>
      <c r="E1952" s="119" t="s">
        <v>6850</v>
      </c>
    </row>
    <row r="1953" spans="1:5" x14ac:dyDescent="0.25">
      <c r="A1953" s="119">
        <v>3275</v>
      </c>
      <c r="B1953" s="119" t="s">
        <v>6849</v>
      </c>
      <c r="C1953" s="119" t="s">
        <v>5218</v>
      </c>
      <c r="D1953" s="119" t="s">
        <v>78</v>
      </c>
      <c r="E1953" s="119" t="s">
        <v>6850</v>
      </c>
    </row>
    <row r="1954" spans="1:5" x14ac:dyDescent="0.25">
      <c r="A1954" s="119">
        <v>3276</v>
      </c>
      <c r="B1954" s="119" t="s">
        <v>6849</v>
      </c>
      <c r="C1954" s="119" t="s">
        <v>5218</v>
      </c>
      <c r="D1954" s="119" t="s">
        <v>78</v>
      </c>
      <c r="E1954" s="119" t="s">
        <v>6850</v>
      </c>
    </row>
    <row r="1955" spans="1:5" x14ac:dyDescent="0.25">
      <c r="A1955" s="119">
        <v>3277</v>
      </c>
      <c r="B1955" s="119" t="s">
        <v>6849</v>
      </c>
      <c r="C1955" s="119" t="s">
        <v>5218</v>
      </c>
      <c r="D1955" s="119" t="s">
        <v>78</v>
      </c>
      <c r="E1955" s="119" t="s">
        <v>6850</v>
      </c>
    </row>
    <row r="1956" spans="1:5" x14ac:dyDescent="0.25">
      <c r="A1956" s="119">
        <v>3278</v>
      </c>
      <c r="B1956" s="119" t="s">
        <v>6849</v>
      </c>
      <c r="C1956" s="119" t="s">
        <v>5218</v>
      </c>
      <c r="D1956" s="119" t="s">
        <v>78</v>
      </c>
      <c r="E1956" s="119" t="s">
        <v>6850</v>
      </c>
    </row>
    <row r="1957" spans="1:5" x14ac:dyDescent="0.25">
      <c r="A1957" s="119">
        <v>3279</v>
      </c>
      <c r="B1957" s="119" t="s">
        <v>6849</v>
      </c>
      <c r="C1957" s="119" t="s">
        <v>5218</v>
      </c>
      <c r="D1957" s="119" t="s">
        <v>78</v>
      </c>
      <c r="E1957" s="119" t="s">
        <v>6850</v>
      </c>
    </row>
    <row r="1958" spans="1:5" x14ac:dyDescent="0.25">
      <c r="A1958" s="119">
        <v>3280</v>
      </c>
      <c r="B1958" s="119" t="s">
        <v>6849</v>
      </c>
      <c r="C1958" s="119" t="s">
        <v>5218</v>
      </c>
      <c r="D1958" s="119" t="s">
        <v>78</v>
      </c>
      <c r="E1958" s="119" t="s">
        <v>6850</v>
      </c>
    </row>
    <row r="1959" spans="1:5" x14ac:dyDescent="0.25">
      <c r="A1959" s="119">
        <v>3281</v>
      </c>
      <c r="B1959" s="119" t="s">
        <v>6849</v>
      </c>
      <c r="C1959" s="119" t="s">
        <v>5218</v>
      </c>
      <c r="D1959" s="119" t="s">
        <v>78</v>
      </c>
      <c r="E1959" s="119" t="s">
        <v>6850</v>
      </c>
    </row>
    <row r="1960" spans="1:5" x14ac:dyDescent="0.25">
      <c r="A1960" s="119">
        <v>3282</v>
      </c>
      <c r="B1960" s="119" t="s">
        <v>6849</v>
      </c>
      <c r="C1960" s="119" t="s">
        <v>5218</v>
      </c>
      <c r="D1960" s="119" t="s">
        <v>78</v>
      </c>
      <c r="E1960" s="119" t="s">
        <v>6850</v>
      </c>
    </row>
    <row r="1961" spans="1:5" x14ac:dyDescent="0.25">
      <c r="A1961" s="119">
        <v>3283</v>
      </c>
      <c r="B1961" s="119" t="s">
        <v>6849</v>
      </c>
      <c r="C1961" s="119" t="s">
        <v>5218</v>
      </c>
      <c r="D1961" s="119" t="s">
        <v>78</v>
      </c>
      <c r="E1961" s="119" t="s">
        <v>6850</v>
      </c>
    </row>
    <row r="1962" spans="1:5" x14ac:dyDescent="0.25">
      <c r="A1962" s="119">
        <v>3284</v>
      </c>
      <c r="B1962" s="119" t="s">
        <v>6849</v>
      </c>
      <c r="C1962" s="119" t="s">
        <v>6392</v>
      </c>
      <c r="D1962" s="119" t="s">
        <v>576</v>
      </c>
      <c r="E1962" s="119" t="s">
        <v>6850</v>
      </c>
    </row>
    <row r="1963" spans="1:5" x14ac:dyDescent="0.25">
      <c r="A1963" s="119">
        <v>3285</v>
      </c>
      <c r="B1963" s="119" t="s">
        <v>6849</v>
      </c>
      <c r="C1963" s="119" t="s">
        <v>5218</v>
      </c>
      <c r="D1963" s="119" t="s">
        <v>78</v>
      </c>
      <c r="E1963" s="119" t="s">
        <v>6850</v>
      </c>
    </row>
    <row r="1964" spans="1:5" x14ac:dyDescent="0.25">
      <c r="A1964" s="119">
        <v>3287</v>
      </c>
      <c r="B1964" s="119" t="s">
        <v>6849</v>
      </c>
      <c r="C1964" s="119" t="s">
        <v>6856</v>
      </c>
      <c r="D1964" s="119" t="s">
        <v>78</v>
      </c>
      <c r="E1964" s="119" t="s">
        <v>6850</v>
      </c>
    </row>
    <row r="1965" spans="1:5" x14ac:dyDescent="0.25">
      <c r="A1965" s="119">
        <v>3288</v>
      </c>
      <c r="B1965" s="119" t="s">
        <v>6849</v>
      </c>
      <c r="C1965" s="119" t="s">
        <v>6856</v>
      </c>
      <c r="D1965" s="119" t="s">
        <v>78</v>
      </c>
      <c r="E1965" s="119" t="s">
        <v>6850</v>
      </c>
    </row>
    <row r="1966" spans="1:5" x14ac:dyDescent="0.25">
      <c r="A1966" s="119">
        <v>3290</v>
      </c>
      <c r="B1966" s="119" t="s">
        <v>6849</v>
      </c>
      <c r="C1966" s="119" t="s">
        <v>6856</v>
      </c>
      <c r="D1966" s="119" t="s">
        <v>78</v>
      </c>
      <c r="E1966" s="119" t="s">
        <v>6850</v>
      </c>
    </row>
    <row r="1967" spans="1:5" x14ac:dyDescent="0.25">
      <c r="A1967" s="119">
        <v>3291</v>
      </c>
      <c r="B1967" s="119" t="s">
        <v>6849</v>
      </c>
      <c r="C1967" s="119" t="s">
        <v>6856</v>
      </c>
      <c r="D1967" s="119" t="s">
        <v>78</v>
      </c>
      <c r="E1967" s="119" t="s">
        <v>6850</v>
      </c>
    </row>
    <row r="1968" spans="1:5" x14ac:dyDescent="0.25">
      <c r="A1968" s="119">
        <v>3292</v>
      </c>
      <c r="B1968" s="119" t="s">
        <v>6849</v>
      </c>
      <c r="C1968" s="119" t="s">
        <v>6856</v>
      </c>
      <c r="D1968" s="119" t="s">
        <v>78</v>
      </c>
      <c r="E1968" s="119" t="s">
        <v>6850</v>
      </c>
    </row>
    <row r="1969" spans="1:5" x14ac:dyDescent="0.25">
      <c r="A1969" s="119">
        <v>3293</v>
      </c>
      <c r="B1969" s="119" t="s">
        <v>6849</v>
      </c>
      <c r="C1969" s="119" t="s">
        <v>6856</v>
      </c>
      <c r="D1969" s="119" t="s">
        <v>78</v>
      </c>
      <c r="E1969" s="119" t="s">
        <v>6850</v>
      </c>
    </row>
    <row r="1970" spans="1:5" x14ac:dyDescent="0.25">
      <c r="A1970" s="119">
        <v>3294</v>
      </c>
      <c r="B1970" s="119" t="s">
        <v>6849</v>
      </c>
      <c r="C1970" s="119" t="s">
        <v>6856</v>
      </c>
      <c r="D1970" s="119" t="s">
        <v>78</v>
      </c>
      <c r="E1970" s="119" t="s">
        <v>6850</v>
      </c>
    </row>
    <row r="1971" spans="1:5" x14ac:dyDescent="0.25">
      <c r="A1971" s="119">
        <v>3295</v>
      </c>
      <c r="B1971" s="119" t="s">
        <v>6849</v>
      </c>
      <c r="C1971" s="119" t="s">
        <v>6860</v>
      </c>
      <c r="D1971" s="119" t="s">
        <v>78</v>
      </c>
      <c r="E1971" s="119" t="s">
        <v>6850</v>
      </c>
    </row>
    <row r="1972" spans="1:5" x14ac:dyDescent="0.25">
      <c r="A1972" s="119">
        <v>3296</v>
      </c>
      <c r="B1972" s="119" t="s">
        <v>6849</v>
      </c>
      <c r="C1972" s="119" t="s">
        <v>5218</v>
      </c>
      <c r="D1972" s="119" t="s">
        <v>78</v>
      </c>
      <c r="E1972" s="119" t="s">
        <v>6850</v>
      </c>
    </row>
    <row r="1973" spans="1:5" x14ac:dyDescent="0.25">
      <c r="A1973" s="119">
        <v>3298</v>
      </c>
      <c r="B1973" s="119" t="s">
        <v>6849</v>
      </c>
      <c r="C1973" s="119" t="s">
        <v>6856</v>
      </c>
      <c r="D1973" s="119" t="s">
        <v>78</v>
      </c>
      <c r="E1973" s="119" t="s">
        <v>6850</v>
      </c>
    </row>
    <row r="1974" spans="1:5" x14ac:dyDescent="0.25">
      <c r="A1974" s="119">
        <v>3299</v>
      </c>
      <c r="B1974" s="119" t="s">
        <v>6849</v>
      </c>
      <c r="C1974" s="119" t="s">
        <v>6856</v>
      </c>
      <c r="D1974" s="119" t="s">
        <v>78</v>
      </c>
      <c r="E1974" s="119" t="s">
        <v>6850</v>
      </c>
    </row>
    <row r="1975" spans="1:5" x14ac:dyDescent="0.25">
      <c r="A1975" s="119">
        <v>3300</v>
      </c>
      <c r="B1975" s="119" t="s">
        <v>6849</v>
      </c>
      <c r="C1975" s="119" t="s">
        <v>6856</v>
      </c>
      <c r="D1975" s="119" t="s">
        <v>78</v>
      </c>
      <c r="E1975" s="119" t="s">
        <v>6850</v>
      </c>
    </row>
    <row r="1976" spans="1:5" x14ac:dyDescent="0.25">
      <c r="A1976" s="119">
        <v>3301</v>
      </c>
      <c r="B1976" s="119" t="s">
        <v>6849</v>
      </c>
      <c r="C1976" s="119" t="s">
        <v>6856</v>
      </c>
      <c r="D1976" s="119" t="s">
        <v>78</v>
      </c>
      <c r="E1976" s="119" t="s">
        <v>6850</v>
      </c>
    </row>
    <row r="1977" spans="1:5" x14ac:dyDescent="0.25">
      <c r="A1977" s="119">
        <v>3303</v>
      </c>
      <c r="B1977" s="119" t="s">
        <v>6849</v>
      </c>
      <c r="C1977" s="119" t="s">
        <v>6856</v>
      </c>
      <c r="D1977" s="119" t="s">
        <v>78</v>
      </c>
      <c r="E1977" s="119" t="s">
        <v>6850</v>
      </c>
    </row>
    <row r="1978" spans="1:5" x14ac:dyDescent="0.25">
      <c r="A1978" s="119">
        <v>3304</v>
      </c>
      <c r="B1978" s="119" t="s">
        <v>6849</v>
      </c>
      <c r="C1978" s="119" t="s">
        <v>6856</v>
      </c>
      <c r="D1978" s="119" t="s">
        <v>78</v>
      </c>
      <c r="E1978" s="119" t="s">
        <v>6850</v>
      </c>
    </row>
    <row r="1979" spans="1:5" x14ac:dyDescent="0.25">
      <c r="A1979" s="119">
        <v>3305</v>
      </c>
      <c r="B1979" s="119" t="s">
        <v>6849</v>
      </c>
      <c r="C1979" s="119" t="s">
        <v>6856</v>
      </c>
      <c r="D1979" s="119" t="s">
        <v>78</v>
      </c>
      <c r="E1979" s="119" t="s">
        <v>6850</v>
      </c>
    </row>
    <row r="1980" spans="1:5" x14ac:dyDescent="0.25">
      <c r="A1980" s="119">
        <v>3306</v>
      </c>
      <c r="B1980" s="119" t="s">
        <v>6849</v>
      </c>
      <c r="C1980" s="119" t="s">
        <v>6856</v>
      </c>
      <c r="D1980" s="119" t="s">
        <v>78</v>
      </c>
      <c r="E1980" s="119" t="s">
        <v>6850</v>
      </c>
    </row>
    <row r="1981" spans="1:5" x14ac:dyDescent="0.25">
      <c r="A1981" s="119">
        <v>3307</v>
      </c>
      <c r="B1981" s="119" t="s">
        <v>6849</v>
      </c>
      <c r="C1981" s="119" t="s">
        <v>6856</v>
      </c>
      <c r="D1981" s="119" t="s">
        <v>78</v>
      </c>
      <c r="E1981" s="119" t="s">
        <v>6850</v>
      </c>
    </row>
    <row r="1982" spans="1:5" x14ac:dyDescent="0.25">
      <c r="A1982" s="119">
        <v>3309</v>
      </c>
      <c r="B1982" s="119" t="s">
        <v>6849</v>
      </c>
      <c r="C1982" s="119" t="s">
        <v>6856</v>
      </c>
      <c r="D1982" s="119" t="s">
        <v>78</v>
      </c>
      <c r="E1982" s="119" t="s">
        <v>6850</v>
      </c>
    </row>
    <row r="1983" spans="1:5" x14ac:dyDescent="0.25">
      <c r="A1983" s="119">
        <v>3310</v>
      </c>
      <c r="B1983" s="119" t="s">
        <v>6849</v>
      </c>
      <c r="C1983" s="119" t="s">
        <v>6856</v>
      </c>
      <c r="D1983" s="119" t="s">
        <v>78</v>
      </c>
      <c r="E1983" s="119" t="s">
        <v>6850</v>
      </c>
    </row>
    <row r="1984" spans="1:5" x14ac:dyDescent="0.25">
      <c r="A1984" s="119">
        <v>3311</v>
      </c>
      <c r="B1984" s="119" t="s">
        <v>6849</v>
      </c>
      <c r="C1984" s="119" t="s">
        <v>6856</v>
      </c>
      <c r="D1984" s="119" t="s">
        <v>78</v>
      </c>
      <c r="E1984" s="119" t="s">
        <v>6850</v>
      </c>
    </row>
    <row r="1985" spans="1:5" x14ac:dyDescent="0.25">
      <c r="A1985" s="119">
        <v>3312</v>
      </c>
      <c r="B1985" s="119" t="s">
        <v>6849</v>
      </c>
      <c r="C1985" s="119" t="s">
        <v>6856</v>
      </c>
      <c r="D1985" s="119" t="s">
        <v>78</v>
      </c>
      <c r="E1985" s="119" t="s">
        <v>6850</v>
      </c>
    </row>
    <row r="1986" spans="1:5" x14ac:dyDescent="0.25">
      <c r="A1986" s="119">
        <v>3313</v>
      </c>
      <c r="B1986" s="119" t="s">
        <v>6849</v>
      </c>
      <c r="C1986" s="119" t="s">
        <v>6856</v>
      </c>
      <c r="D1986" s="119" t="s">
        <v>78</v>
      </c>
      <c r="E1986" s="119" t="s">
        <v>6850</v>
      </c>
    </row>
    <row r="1987" spans="1:5" x14ac:dyDescent="0.25">
      <c r="A1987" s="119">
        <v>3314</v>
      </c>
      <c r="B1987" s="119" t="s">
        <v>6849</v>
      </c>
      <c r="C1987" s="119" t="s">
        <v>6856</v>
      </c>
      <c r="D1987" s="119" t="s">
        <v>78</v>
      </c>
      <c r="E1987" s="119" t="s">
        <v>6850</v>
      </c>
    </row>
    <row r="1988" spans="1:5" x14ac:dyDescent="0.25">
      <c r="A1988" s="119">
        <v>3316</v>
      </c>
      <c r="B1988" s="119" t="s">
        <v>6849</v>
      </c>
      <c r="C1988" s="119" t="s">
        <v>6857</v>
      </c>
      <c r="D1988" s="119" t="s">
        <v>47</v>
      </c>
      <c r="E1988" s="119" t="s">
        <v>6850</v>
      </c>
    </row>
    <row r="1989" spans="1:5" x14ac:dyDescent="0.25">
      <c r="A1989" s="119">
        <v>3318</v>
      </c>
      <c r="B1989" s="119" t="s">
        <v>6849</v>
      </c>
      <c r="C1989" s="119" t="s">
        <v>6856</v>
      </c>
      <c r="D1989" s="119" t="s">
        <v>78</v>
      </c>
      <c r="E1989" s="119" t="s">
        <v>6850</v>
      </c>
    </row>
    <row r="1990" spans="1:5" x14ac:dyDescent="0.25">
      <c r="A1990" s="119">
        <v>3319</v>
      </c>
      <c r="B1990" s="119" t="s">
        <v>6849</v>
      </c>
      <c r="C1990" s="119" t="s">
        <v>6856</v>
      </c>
      <c r="D1990" s="119" t="s">
        <v>78</v>
      </c>
      <c r="E1990" s="119" t="s">
        <v>6850</v>
      </c>
    </row>
    <row r="1991" spans="1:5" x14ac:dyDescent="0.25">
      <c r="A1991" s="119">
        <v>3320</v>
      </c>
      <c r="B1991" s="119" t="s">
        <v>6849</v>
      </c>
      <c r="C1991" s="119" t="s">
        <v>6856</v>
      </c>
      <c r="D1991" s="119" t="s">
        <v>78</v>
      </c>
      <c r="E1991" s="119" t="s">
        <v>6850</v>
      </c>
    </row>
    <row r="1992" spans="1:5" x14ac:dyDescent="0.25">
      <c r="A1992" s="119">
        <v>3321</v>
      </c>
      <c r="B1992" s="119" t="s">
        <v>6849</v>
      </c>
      <c r="C1992" s="119" t="s">
        <v>6856</v>
      </c>
      <c r="D1992" s="119" t="s">
        <v>78</v>
      </c>
      <c r="E1992" s="119" t="s">
        <v>6850</v>
      </c>
    </row>
    <row r="1993" spans="1:5" x14ac:dyDescent="0.25">
      <c r="A1993" s="119">
        <v>3322</v>
      </c>
      <c r="B1993" s="119" t="s">
        <v>6849</v>
      </c>
      <c r="C1993" s="119" t="s">
        <v>6856</v>
      </c>
      <c r="D1993" s="119" t="s">
        <v>78</v>
      </c>
      <c r="E1993" s="119" t="s">
        <v>6850</v>
      </c>
    </row>
    <row r="1994" spans="1:5" x14ac:dyDescent="0.25">
      <c r="A1994" s="119">
        <v>3324</v>
      </c>
      <c r="B1994" s="119" t="s">
        <v>6849</v>
      </c>
      <c r="C1994" s="119" t="s">
        <v>6856</v>
      </c>
      <c r="D1994" s="119" t="s">
        <v>78</v>
      </c>
      <c r="E1994" s="119" t="s">
        <v>6850</v>
      </c>
    </row>
    <row r="1995" spans="1:5" x14ac:dyDescent="0.25">
      <c r="A1995" s="119">
        <v>3325</v>
      </c>
      <c r="B1995" s="119" t="s">
        <v>6849</v>
      </c>
      <c r="C1995" s="119" t="s">
        <v>6856</v>
      </c>
      <c r="D1995" s="119" t="s">
        <v>78</v>
      </c>
      <c r="E1995" s="119" t="s">
        <v>6850</v>
      </c>
    </row>
    <row r="1996" spans="1:5" x14ac:dyDescent="0.25">
      <c r="A1996" s="119">
        <v>3326</v>
      </c>
      <c r="B1996" s="119" t="s">
        <v>6849</v>
      </c>
      <c r="C1996" s="119" t="s">
        <v>6856</v>
      </c>
      <c r="D1996" s="119" t="s">
        <v>78</v>
      </c>
      <c r="E1996" s="119" t="s">
        <v>6850</v>
      </c>
    </row>
    <row r="1997" spans="1:5" x14ac:dyDescent="0.25">
      <c r="A1997" s="119">
        <v>3327</v>
      </c>
      <c r="B1997" s="119" t="s">
        <v>6849</v>
      </c>
      <c r="C1997" s="119" t="s">
        <v>6856</v>
      </c>
      <c r="D1997" s="119" t="s">
        <v>78</v>
      </c>
      <c r="E1997" s="119" t="s">
        <v>6850</v>
      </c>
    </row>
    <row r="1998" spans="1:5" x14ac:dyDescent="0.25">
      <c r="A1998" s="119">
        <v>3328</v>
      </c>
      <c r="B1998" s="119" t="s">
        <v>6849</v>
      </c>
      <c r="C1998" s="119" t="s">
        <v>6856</v>
      </c>
      <c r="D1998" s="119" t="s">
        <v>78</v>
      </c>
      <c r="E1998" s="119" t="s">
        <v>6850</v>
      </c>
    </row>
    <row r="1999" spans="1:5" x14ac:dyDescent="0.25">
      <c r="A1999" s="119">
        <v>3329</v>
      </c>
      <c r="B1999" s="119" t="s">
        <v>6849</v>
      </c>
      <c r="C1999" s="119" t="s">
        <v>6856</v>
      </c>
      <c r="D1999" s="119" t="s">
        <v>78</v>
      </c>
      <c r="E1999" s="119" t="s">
        <v>6850</v>
      </c>
    </row>
    <row r="2000" spans="1:5" x14ac:dyDescent="0.25">
      <c r="A2000" s="119">
        <v>3331</v>
      </c>
      <c r="B2000" s="119" t="s">
        <v>6849</v>
      </c>
      <c r="C2000" s="119" t="s">
        <v>6857</v>
      </c>
      <c r="D2000" s="119" t="s">
        <v>47</v>
      </c>
      <c r="E2000" s="119" t="s">
        <v>6850</v>
      </c>
    </row>
    <row r="2001" spans="1:5" x14ac:dyDescent="0.25">
      <c r="A2001" s="119">
        <v>3333</v>
      </c>
      <c r="B2001" s="119" t="s">
        <v>6849</v>
      </c>
      <c r="C2001" s="119" t="s">
        <v>6856</v>
      </c>
      <c r="D2001" s="119" t="s">
        <v>78</v>
      </c>
      <c r="E2001" s="119" t="s">
        <v>6850</v>
      </c>
    </row>
    <row r="2002" spans="1:5" x14ac:dyDescent="0.25">
      <c r="A2002" s="119">
        <v>3334</v>
      </c>
      <c r="B2002" s="119" t="s">
        <v>6849</v>
      </c>
      <c r="C2002" s="119" t="s">
        <v>5218</v>
      </c>
      <c r="D2002" s="119" t="s">
        <v>78</v>
      </c>
      <c r="E2002" s="119" t="s">
        <v>6850</v>
      </c>
    </row>
    <row r="2003" spans="1:5" x14ac:dyDescent="0.25">
      <c r="A2003" s="119">
        <v>3335</v>
      </c>
      <c r="B2003" s="119" t="s">
        <v>6849</v>
      </c>
      <c r="C2003" s="119" t="s">
        <v>6856</v>
      </c>
      <c r="D2003" s="119" t="s">
        <v>78</v>
      </c>
      <c r="E2003" s="119" t="s">
        <v>6850</v>
      </c>
    </row>
    <row r="2004" spans="1:5" x14ac:dyDescent="0.25">
      <c r="A2004" s="119">
        <v>3336</v>
      </c>
      <c r="B2004" s="119" t="s">
        <v>6849</v>
      </c>
      <c r="C2004" s="119" t="s">
        <v>6856</v>
      </c>
      <c r="D2004" s="119" t="s">
        <v>78</v>
      </c>
      <c r="E2004" s="119" t="s">
        <v>6850</v>
      </c>
    </row>
    <row r="2005" spans="1:5" x14ac:dyDescent="0.25">
      <c r="A2005" s="119">
        <v>3337</v>
      </c>
      <c r="B2005" s="119" t="s">
        <v>6849</v>
      </c>
      <c r="C2005" s="119" t="s">
        <v>5218</v>
      </c>
      <c r="D2005" s="119" t="s">
        <v>78</v>
      </c>
      <c r="E2005" s="119" t="s">
        <v>6850</v>
      </c>
    </row>
    <row r="2006" spans="1:5" x14ac:dyDescent="0.25">
      <c r="A2006" s="119">
        <v>3338</v>
      </c>
      <c r="B2006" s="119" t="s">
        <v>6849</v>
      </c>
      <c r="C2006" s="119" t="s">
        <v>5218</v>
      </c>
      <c r="D2006" s="119" t="s">
        <v>78</v>
      </c>
      <c r="E2006" s="119" t="s">
        <v>6850</v>
      </c>
    </row>
    <row r="2007" spans="1:5" x14ac:dyDescent="0.25">
      <c r="A2007" s="119">
        <v>3340</v>
      </c>
      <c r="B2007" s="119" t="s">
        <v>6849</v>
      </c>
      <c r="C2007" s="119" t="s">
        <v>6857</v>
      </c>
      <c r="D2007" s="119" t="s">
        <v>47</v>
      </c>
      <c r="E2007" s="119" t="s">
        <v>6850</v>
      </c>
    </row>
    <row r="2008" spans="1:5" x14ac:dyDescent="0.25">
      <c r="A2008" s="119">
        <v>3342</v>
      </c>
      <c r="B2008" s="119" t="s">
        <v>6849</v>
      </c>
      <c r="C2008" s="119" t="s">
        <v>6856</v>
      </c>
      <c r="D2008" s="119" t="s">
        <v>78</v>
      </c>
      <c r="E2008" s="119" t="s">
        <v>6850</v>
      </c>
    </row>
    <row r="2009" spans="1:5" x14ac:dyDescent="0.25">
      <c r="A2009" s="119">
        <v>3343</v>
      </c>
      <c r="B2009" s="119" t="s">
        <v>6849</v>
      </c>
      <c r="C2009" s="119" t="s">
        <v>6856</v>
      </c>
      <c r="D2009" s="119" t="s">
        <v>78</v>
      </c>
      <c r="E2009" s="119" t="s">
        <v>6850</v>
      </c>
    </row>
    <row r="2010" spans="1:5" x14ac:dyDescent="0.25">
      <c r="A2010" s="119">
        <v>3345</v>
      </c>
      <c r="B2010" s="119" t="s">
        <v>6849</v>
      </c>
      <c r="C2010" s="119" t="s">
        <v>6856</v>
      </c>
      <c r="D2010" s="119" t="s">
        <v>78</v>
      </c>
      <c r="E2010" s="119" t="s">
        <v>6850</v>
      </c>
    </row>
    <row r="2011" spans="1:5" x14ac:dyDescent="0.25">
      <c r="A2011" s="119">
        <v>3346</v>
      </c>
      <c r="B2011" s="119" t="s">
        <v>6849</v>
      </c>
      <c r="C2011" s="119" t="s">
        <v>6856</v>
      </c>
      <c r="D2011" s="119" t="s">
        <v>78</v>
      </c>
      <c r="E2011" s="119" t="s">
        <v>6850</v>
      </c>
    </row>
    <row r="2012" spans="1:5" x14ac:dyDescent="0.25">
      <c r="A2012" s="119">
        <v>3347</v>
      </c>
      <c r="B2012" s="119" t="s">
        <v>6849</v>
      </c>
      <c r="C2012" s="119" t="s">
        <v>6856</v>
      </c>
      <c r="D2012" s="119" t="s">
        <v>78</v>
      </c>
      <c r="E2012" s="119" t="s">
        <v>6850</v>
      </c>
    </row>
    <row r="2013" spans="1:5" x14ac:dyDescent="0.25">
      <c r="A2013" s="119">
        <v>3348</v>
      </c>
      <c r="B2013" s="119" t="s">
        <v>6849</v>
      </c>
      <c r="C2013" s="119" t="s">
        <v>6856</v>
      </c>
      <c r="D2013" s="119" t="s">
        <v>78</v>
      </c>
      <c r="E2013" s="119" t="s">
        <v>6850</v>
      </c>
    </row>
    <row r="2014" spans="1:5" x14ac:dyDescent="0.25">
      <c r="A2014" s="119">
        <v>3349</v>
      </c>
      <c r="B2014" s="119" t="s">
        <v>6849</v>
      </c>
      <c r="C2014" s="119" t="s">
        <v>6856</v>
      </c>
      <c r="D2014" s="119" t="s">
        <v>78</v>
      </c>
      <c r="E2014" s="119" t="s">
        <v>6850</v>
      </c>
    </row>
    <row r="2015" spans="1:5" x14ac:dyDescent="0.25">
      <c r="A2015" s="119">
        <v>3351</v>
      </c>
      <c r="B2015" s="119" t="s">
        <v>6849</v>
      </c>
      <c r="C2015" s="119" t="s">
        <v>6856</v>
      </c>
      <c r="D2015" s="119" t="s">
        <v>78</v>
      </c>
      <c r="E2015" s="119" t="s">
        <v>6850</v>
      </c>
    </row>
    <row r="2016" spans="1:5" x14ac:dyDescent="0.25">
      <c r="A2016" s="119">
        <v>3352</v>
      </c>
      <c r="B2016" s="119" t="s">
        <v>6849</v>
      </c>
      <c r="C2016" s="119" t="s">
        <v>6856</v>
      </c>
      <c r="D2016" s="119" t="s">
        <v>78</v>
      </c>
      <c r="E2016" s="119" t="s">
        <v>6850</v>
      </c>
    </row>
    <row r="2017" spans="1:5" x14ac:dyDescent="0.25">
      <c r="A2017" s="119">
        <v>3353</v>
      </c>
      <c r="B2017" s="119" t="s">
        <v>6849</v>
      </c>
      <c r="C2017" s="119" t="s">
        <v>6856</v>
      </c>
      <c r="D2017" s="119" t="s">
        <v>78</v>
      </c>
      <c r="E2017" s="119" t="s">
        <v>6850</v>
      </c>
    </row>
    <row r="2018" spans="1:5" x14ac:dyDescent="0.25">
      <c r="A2018" s="119">
        <v>3354</v>
      </c>
      <c r="B2018" s="119" t="s">
        <v>6849</v>
      </c>
      <c r="C2018" s="119" t="s">
        <v>6856</v>
      </c>
      <c r="D2018" s="119" t="s">
        <v>78</v>
      </c>
      <c r="E2018" s="119" t="s">
        <v>6850</v>
      </c>
    </row>
    <row r="2019" spans="1:5" x14ac:dyDescent="0.25">
      <c r="A2019" s="119">
        <v>3355</v>
      </c>
      <c r="B2019" s="119" t="s">
        <v>6849</v>
      </c>
      <c r="C2019" s="119" t="s">
        <v>6856</v>
      </c>
      <c r="D2019" s="119" t="s">
        <v>78</v>
      </c>
      <c r="E2019" s="119" t="s">
        <v>6850</v>
      </c>
    </row>
    <row r="2020" spans="1:5" x14ac:dyDescent="0.25">
      <c r="A2020" s="119">
        <v>3356</v>
      </c>
      <c r="B2020" s="119" t="s">
        <v>6849</v>
      </c>
      <c r="C2020" s="119" t="s">
        <v>5218</v>
      </c>
      <c r="D2020" s="119" t="s">
        <v>78</v>
      </c>
      <c r="E2020" s="119" t="s">
        <v>6850</v>
      </c>
    </row>
    <row r="2021" spans="1:5" x14ac:dyDescent="0.25">
      <c r="A2021" s="119">
        <v>3358</v>
      </c>
      <c r="B2021" s="119" t="s">
        <v>6849</v>
      </c>
      <c r="C2021" s="119" t="s">
        <v>6857</v>
      </c>
      <c r="D2021" s="119" t="s">
        <v>47</v>
      </c>
      <c r="E2021" s="119" t="s">
        <v>6850</v>
      </c>
    </row>
    <row r="2022" spans="1:5" x14ac:dyDescent="0.25">
      <c r="A2022" s="119">
        <v>3360</v>
      </c>
      <c r="B2022" s="119" t="s">
        <v>6849</v>
      </c>
      <c r="C2022" s="119" t="s">
        <v>6856</v>
      </c>
      <c r="D2022" s="119" t="s">
        <v>78</v>
      </c>
      <c r="E2022" s="119" t="s">
        <v>6850</v>
      </c>
    </row>
    <row r="2023" spans="1:5" x14ac:dyDescent="0.25">
      <c r="A2023" s="119">
        <v>3361</v>
      </c>
      <c r="B2023" s="119" t="s">
        <v>6849</v>
      </c>
      <c r="C2023" s="119" t="s">
        <v>6856</v>
      </c>
      <c r="D2023" s="119" t="s">
        <v>78</v>
      </c>
      <c r="E2023" s="119" t="s">
        <v>6850</v>
      </c>
    </row>
    <row r="2024" spans="1:5" x14ac:dyDescent="0.25">
      <c r="A2024" s="119">
        <v>3363</v>
      </c>
      <c r="B2024" s="119" t="s">
        <v>6849</v>
      </c>
      <c r="C2024" s="119" t="s">
        <v>6856</v>
      </c>
      <c r="D2024" s="119" t="s">
        <v>78</v>
      </c>
      <c r="E2024" s="119" t="s">
        <v>6850</v>
      </c>
    </row>
    <row r="2025" spans="1:5" x14ac:dyDescent="0.25">
      <c r="A2025" s="119">
        <v>3364</v>
      </c>
      <c r="B2025" s="119" t="s">
        <v>6849</v>
      </c>
      <c r="C2025" s="119" t="s">
        <v>6856</v>
      </c>
      <c r="D2025" s="119" t="s">
        <v>78</v>
      </c>
      <c r="E2025" s="119" t="s">
        <v>6850</v>
      </c>
    </row>
    <row r="2026" spans="1:5" x14ac:dyDescent="0.25">
      <c r="A2026" s="119">
        <v>3365</v>
      </c>
      <c r="B2026" s="119" t="s">
        <v>6849</v>
      </c>
      <c r="C2026" s="119" t="s">
        <v>6856</v>
      </c>
      <c r="D2026" s="119" t="s">
        <v>78</v>
      </c>
      <c r="E2026" s="119" t="s">
        <v>6850</v>
      </c>
    </row>
    <row r="2027" spans="1:5" x14ac:dyDescent="0.25">
      <c r="A2027" s="119">
        <v>3366</v>
      </c>
      <c r="B2027" s="119" t="s">
        <v>6849</v>
      </c>
      <c r="C2027" s="119" t="s">
        <v>6856</v>
      </c>
      <c r="D2027" s="119" t="s">
        <v>78</v>
      </c>
      <c r="E2027" s="119" t="s">
        <v>6850</v>
      </c>
    </row>
    <row r="2028" spans="1:5" x14ac:dyDescent="0.25">
      <c r="A2028" s="119">
        <v>3367</v>
      </c>
      <c r="B2028" s="119" t="s">
        <v>6849</v>
      </c>
      <c r="C2028" s="119" t="s">
        <v>6856</v>
      </c>
      <c r="D2028" s="119" t="s">
        <v>78</v>
      </c>
      <c r="E2028" s="119" t="s">
        <v>6850</v>
      </c>
    </row>
    <row r="2029" spans="1:5" x14ac:dyDescent="0.25">
      <c r="A2029" s="119">
        <v>3369</v>
      </c>
      <c r="B2029" s="119" t="s">
        <v>6849</v>
      </c>
      <c r="C2029" s="119" t="s">
        <v>6856</v>
      </c>
      <c r="D2029" s="119" t="s">
        <v>78</v>
      </c>
      <c r="E2029" s="119" t="s">
        <v>6850</v>
      </c>
    </row>
    <row r="2030" spans="1:5" x14ac:dyDescent="0.25">
      <c r="A2030" s="119">
        <v>3370</v>
      </c>
      <c r="B2030" s="119" t="s">
        <v>6849</v>
      </c>
      <c r="C2030" s="119" t="s">
        <v>6856</v>
      </c>
      <c r="D2030" s="119" t="s">
        <v>78</v>
      </c>
      <c r="E2030" s="119" t="s">
        <v>6850</v>
      </c>
    </row>
    <row r="2031" spans="1:5" x14ac:dyDescent="0.25">
      <c r="A2031" s="119">
        <v>3371</v>
      </c>
      <c r="B2031" s="119" t="s">
        <v>6849</v>
      </c>
      <c r="C2031" s="119" t="s">
        <v>6856</v>
      </c>
      <c r="D2031" s="119" t="s">
        <v>78</v>
      </c>
      <c r="E2031" s="119" t="s">
        <v>6850</v>
      </c>
    </row>
    <row r="2032" spans="1:5" x14ac:dyDescent="0.25">
      <c r="A2032" s="119">
        <v>3372</v>
      </c>
      <c r="B2032" s="119" t="s">
        <v>6849</v>
      </c>
      <c r="C2032" s="119" t="s">
        <v>5218</v>
      </c>
      <c r="D2032" s="119" t="s">
        <v>78</v>
      </c>
      <c r="E2032" s="119" t="s">
        <v>6850</v>
      </c>
    </row>
    <row r="2033" spans="1:5" x14ac:dyDescent="0.25">
      <c r="A2033" s="119">
        <v>3373</v>
      </c>
      <c r="B2033" s="119" t="s">
        <v>6849</v>
      </c>
      <c r="C2033" s="119" t="s">
        <v>6856</v>
      </c>
      <c r="D2033" s="119" t="s">
        <v>78</v>
      </c>
      <c r="E2033" s="119" t="s">
        <v>6850</v>
      </c>
    </row>
    <row r="2034" spans="1:5" x14ac:dyDescent="0.25">
      <c r="A2034" s="119">
        <v>3374</v>
      </c>
      <c r="B2034" s="119" t="s">
        <v>6849</v>
      </c>
      <c r="C2034" s="119" t="s">
        <v>6856</v>
      </c>
      <c r="D2034" s="119" t="s">
        <v>78</v>
      </c>
      <c r="E2034" s="119" t="s">
        <v>6850</v>
      </c>
    </row>
    <row r="2035" spans="1:5" x14ac:dyDescent="0.25">
      <c r="A2035" s="119">
        <v>3375</v>
      </c>
      <c r="B2035" s="119" t="s">
        <v>6849</v>
      </c>
      <c r="C2035" s="119" t="s">
        <v>6856</v>
      </c>
      <c r="D2035" s="119" t="s">
        <v>78</v>
      </c>
      <c r="E2035" s="119" t="s">
        <v>6850</v>
      </c>
    </row>
    <row r="2036" spans="1:5" x14ac:dyDescent="0.25">
      <c r="A2036" s="119">
        <v>3378</v>
      </c>
      <c r="B2036" s="119" t="s">
        <v>6849</v>
      </c>
      <c r="C2036" s="119" t="s">
        <v>6857</v>
      </c>
      <c r="D2036" s="119" t="s">
        <v>47</v>
      </c>
      <c r="E2036" s="119" t="s">
        <v>6850</v>
      </c>
    </row>
    <row r="2037" spans="1:5" x14ac:dyDescent="0.25">
      <c r="A2037" s="119">
        <v>3380</v>
      </c>
      <c r="B2037" s="119" t="s">
        <v>6849</v>
      </c>
      <c r="C2037" s="119" t="s">
        <v>6856</v>
      </c>
      <c r="D2037" s="119" t="s">
        <v>78</v>
      </c>
      <c r="E2037" s="119" t="s">
        <v>6850</v>
      </c>
    </row>
    <row r="2038" spans="1:5" x14ac:dyDescent="0.25">
      <c r="A2038" s="119">
        <v>3381</v>
      </c>
      <c r="B2038" s="119" t="s">
        <v>6849</v>
      </c>
      <c r="C2038" s="119" t="s">
        <v>6856</v>
      </c>
      <c r="D2038" s="119" t="s">
        <v>78</v>
      </c>
      <c r="E2038" s="119" t="s">
        <v>6850</v>
      </c>
    </row>
    <row r="2039" spans="1:5" x14ac:dyDescent="0.25">
      <c r="A2039" s="119">
        <v>3382</v>
      </c>
      <c r="B2039" s="119" t="s">
        <v>6849</v>
      </c>
      <c r="C2039" s="119" t="s">
        <v>6856</v>
      </c>
      <c r="D2039" s="119" t="s">
        <v>78</v>
      </c>
      <c r="E2039" s="119" t="s">
        <v>6850</v>
      </c>
    </row>
    <row r="2040" spans="1:5" x14ac:dyDescent="0.25">
      <c r="A2040" s="119">
        <v>3383</v>
      </c>
      <c r="B2040" s="119" t="s">
        <v>6849</v>
      </c>
      <c r="C2040" s="119" t="s">
        <v>6856</v>
      </c>
      <c r="D2040" s="119" t="s">
        <v>78</v>
      </c>
      <c r="E2040" s="119" t="s">
        <v>6850</v>
      </c>
    </row>
    <row r="2041" spans="1:5" x14ac:dyDescent="0.25">
      <c r="A2041" s="119">
        <v>3384</v>
      </c>
      <c r="B2041" s="119" t="s">
        <v>6849</v>
      </c>
      <c r="C2041" s="119" t="s">
        <v>6856</v>
      </c>
      <c r="D2041" s="119" t="s">
        <v>78</v>
      </c>
      <c r="E2041" s="119" t="s">
        <v>6850</v>
      </c>
    </row>
    <row r="2042" spans="1:5" x14ac:dyDescent="0.25">
      <c r="A2042" s="119">
        <v>3385</v>
      </c>
      <c r="B2042" s="119" t="s">
        <v>6849</v>
      </c>
      <c r="C2042" s="119" t="s">
        <v>6856</v>
      </c>
      <c r="D2042" s="119" t="s">
        <v>78</v>
      </c>
      <c r="E2042" s="119" t="s">
        <v>6850</v>
      </c>
    </row>
    <row r="2043" spans="1:5" x14ac:dyDescent="0.25">
      <c r="A2043" s="119">
        <v>3387</v>
      </c>
      <c r="B2043" s="119" t="s">
        <v>6849</v>
      </c>
      <c r="C2043" s="119" t="s">
        <v>6856</v>
      </c>
      <c r="D2043" s="119" t="s">
        <v>78</v>
      </c>
      <c r="E2043" s="119" t="s">
        <v>6850</v>
      </c>
    </row>
    <row r="2044" spans="1:5" x14ac:dyDescent="0.25">
      <c r="A2044" s="119">
        <v>3388</v>
      </c>
      <c r="B2044" s="119" t="s">
        <v>6849</v>
      </c>
      <c r="C2044" s="119" t="s">
        <v>6856</v>
      </c>
      <c r="D2044" s="119" t="s">
        <v>78</v>
      </c>
      <c r="E2044" s="119" t="s">
        <v>6850</v>
      </c>
    </row>
    <row r="2045" spans="1:5" x14ac:dyDescent="0.25">
      <c r="A2045" s="119">
        <v>3389</v>
      </c>
      <c r="B2045" s="119" t="s">
        <v>6849</v>
      </c>
      <c r="C2045" s="119" t="s">
        <v>6856</v>
      </c>
      <c r="D2045" s="119" t="s">
        <v>78</v>
      </c>
      <c r="E2045" s="119" t="s">
        <v>6850</v>
      </c>
    </row>
    <row r="2046" spans="1:5" x14ac:dyDescent="0.25">
      <c r="A2046" s="119">
        <v>3390</v>
      </c>
      <c r="B2046" s="119" t="s">
        <v>6849</v>
      </c>
      <c r="C2046" s="119" t="s">
        <v>5218</v>
      </c>
      <c r="D2046" s="119" t="s">
        <v>78</v>
      </c>
      <c r="E2046" s="119" t="s">
        <v>6850</v>
      </c>
    </row>
    <row r="2047" spans="1:5" x14ac:dyDescent="0.25">
      <c r="A2047" s="119">
        <v>3391</v>
      </c>
      <c r="B2047" s="119" t="s">
        <v>6849</v>
      </c>
      <c r="C2047" s="119" t="s">
        <v>6856</v>
      </c>
      <c r="D2047" s="119" t="s">
        <v>78</v>
      </c>
      <c r="E2047" s="119" t="s">
        <v>6850</v>
      </c>
    </row>
    <row r="2048" spans="1:5" x14ac:dyDescent="0.25">
      <c r="A2048" s="119">
        <v>3392</v>
      </c>
      <c r="B2048" s="119" t="s">
        <v>6849</v>
      </c>
      <c r="C2048" s="119" t="s">
        <v>6856</v>
      </c>
      <c r="D2048" s="119" t="s">
        <v>78</v>
      </c>
      <c r="E2048" s="119" t="s">
        <v>6850</v>
      </c>
    </row>
    <row r="2049" spans="1:5" x14ac:dyDescent="0.25">
      <c r="A2049" s="119">
        <v>3393</v>
      </c>
      <c r="B2049" s="119" t="s">
        <v>6849</v>
      </c>
      <c r="C2049" s="119" t="s">
        <v>6856</v>
      </c>
      <c r="D2049" s="119" t="s">
        <v>78</v>
      </c>
      <c r="E2049" s="119" t="s">
        <v>6850</v>
      </c>
    </row>
    <row r="2050" spans="1:5" x14ac:dyDescent="0.25">
      <c r="A2050" s="119">
        <v>3396</v>
      </c>
      <c r="B2050" s="119" t="s">
        <v>6849</v>
      </c>
      <c r="C2050" s="119" t="s">
        <v>6857</v>
      </c>
      <c r="D2050" s="119" t="s">
        <v>47</v>
      </c>
      <c r="E2050" s="119" t="s">
        <v>6850</v>
      </c>
    </row>
    <row r="2051" spans="1:5" x14ac:dyDescent="0.25">
      <c r="A2051" s="119">
        <v>3398</v>
      </c>
      <c r="B2051" s="119" t="s">
        <v>6849</v>
      </c>
      <c r="C2051" s="119" t="s">
        <v>6856</v>
      </c>
      <c r="D2051" s="119" t="s">
        <v>78</v>
      </c>
      <c r="E2051" s="119" t="s">
        <v>6850</v>
      </c>
    </row>
    <row r="2052" spans="1:5" x14ac:dyDescent="0.25">
      <c r="A2052" s="119">
        <v>3399</v>
      </c>
      <c r="B2052" s="119" t="s">
        <v>6849</v>
      </c>
      <c r="C2052" s="119" t="s">
        <v>6856</v>
      </c>
      <c r="D2052" s="119" t="s">
        <v>78</v>
      </c>
      <c r="E2052" s="119" t="s">
        <v>6850</v>
      </c>
    </row>
    <row r="2053" spans="1:5" x14ac:dyDescent="0.25">
      <c r="A2053" s="119">
        <v>3400</v>
      </c>
      <c r="B2053" s="119" t="s">
        <v>6849</v>
      </c>
      <c r="C2053" s="119" t="s">
        <v>6856</v>
      </c>
      <c r="D2053" s="119" t="s">
        <v>78</v>
      </c>
      <c r="E2053" s="119" t="s">
        <v>6850</v>
      </c>
    </row>
    <row r="2054" spans="1:5" x14ac:dyDescent="0.25">
      <c r="A2054" s="119">
        <v>3401</v>
      </c>
      <c r="B2054" s="119" t="s">
        <v>6849</v>
      </c>
      <c r="C2054" s="119" t="s">
        <v>6856</v>
      </c>
      <c r="D2054" s="119" t="s">
        <v>78</v>
      </c>
      <c r="E2054" s="119" t="s">
        <v>6850</v>
      </c>
    </row>
    <row r="2055" spans="1:5" x14ac:dyDescent="0.25">
      <c r="A2055" s="119">
        <v>3402</v>
      </c>
      <c r="B2055" s="119" t="s">
        <v>6849</v>
      </c>
      <c r="C2055" s="119" t="s">
        <v>6856</v>
      </c>
      <c r="D2055" s="119" t="s">
        <v>78</v>
      </c>
      <c r="E2055" s="119" t="s">
        <v>6850</v>
      </c>
    </row>
    <row r="2056" spans="1:5" x14ac:dyDescent="0.25">
      <c r="A2056" s="119">
        <v>3403</v>
      </c>
      <c r="B2056" s="119" t="s">
        <v>6849</v>
      </c>
      <c r="C2056" s="119" t="s">
        <v>6856</v>
      </c>
      <c r="D2056" s="119" t="s">
        <v>78</v>
      </c>
      <c r="E2056" s="119" t="s">
        <v>6850</v>
      </c>
    </row>
    <row r="2057" spans="1:5" x14ac:dyDescent="0.25">
      <c r="A2057" s="119">
        <v>3405</v>
      </c>
      <c r="B2057" s="119" t="s">
        <v>6849</v>
      </c>
      <c r="C2057" s="119" t="s">
        <v>6856</v>
      </c>
      <c r="D2057" s="119" t="s">
        <v>78</v>
      </c>
      <c r="E2057" s="119" t="s">
        <v>6850</v>
      </c>
    </row>
    <row r="2058" spans="1:5" x14ac:dyDescent="0.25">
      <c r="A2058" s="119">
        <v>3406</v>
      </c>
      <c r="B2058" s="119" t="s">
        <v>6849</v>
      </c>
      <c r="C2058" s="119" t="s">
        <v>6856</v>
      </c>
      <c r="D2058" s="119" t="s">
        <v>78</v>
      </c>
      <c r="E2058" s="119" t="s">
        <v>6850</v>
      </c>
    </row>
    <row r="2059" spans="1:5" x14ac:dyDescent="0.25">
      <c r="A2059" s="119">
        <v>3407</v>
      </c>
      <c r="B2059" s="119" t="s">
        <v>6849</v>
      </c>
      <c r="C2059" s="119" t="s">
        <v>6856</v>
      </c>
      <c r="D2059" s="119" t="s">
        <v>78</v>
      </c>
      <c r="E2059" s="119" t="s">
        <v>6850</v>
      </c>
    </row>
    <row r="2060" spans="1:5" x14ac:dyDescent="0.25">
      <c r="A2060" s="119">
        <v>3408</v>
      </c>
      <c r="B2060" s="119" t="s">
        <v>6849</v>
      </c>
      <c r="C2060" s="119" t="s">
        <v>6856</v>
      </c>
      <c r="D2060" s="119" t="s">
        <v>78</v>
      </c>
      <c r="E2060" s="119" t="s">
        <v>6850</v>
      </c>
    </row>
    <row r="2061" spans="1:5" x14ac:dyDescent="0.25">
      <c r="A2061" s="119">
        <v>3409</v>
      </c>
      <c r="B2061" s="119" t="s">
        <v>6849</v>
      </c>
      <c r="C2061" s="119" t="s">
        <v>6856</v>
      </c>
      <c r="D2061" s="119" t="s">
        <v>78</v>
      </c>
      <c r="E2061" s="119" t="s">
        <v>6850</v>
      </c>
    </row>
    <row r="2062" spans="1:5" x14ac:dyDescent="0.25">
      <c r="A2062" s="119">
        <v>3410</v>
      </c>
      <c r="B2062" s="119" t="s">
        <v>6849</v>
      </c>
      <c r="C2062" s="119" t="s">
        <v>6856</v>
      </c>
      <c r="D2062" s="119" t="s">
        <v>78</v>
      </c>
      <c r="E2062" s="119" t="s">
        <v>6850</v>
      </c>
    </row>
    <row r="2063" spans="1:5" x14ac:dyDescent="0.25">
      <c r="A2063" s="119">
        <v>3412</v>
      </c>
      <c r="B2063" s="119" t="s">
        <v>6849</v>
      </c>
      <c r="C2063" s="119" t="s">
        <v>6856</v>
      </c>
      <c r="D2063" s="119" t="s">
        <v>78</v>
      </c>
      <c r="E2063" s="119" t="s">
        <v>6850</v>
      </c>
    </row>
    <row r="2064" spans="1:5" x14ac:dyDescent="0.25">
      <c r="A2064" s="119">
        <v>3413</v>
      </c>
      <c r="B2064" s="119" t="s">
        <v>6849</v>
      </c>
      <c r="C2064" s="119" t="s">
        <v>6856</v>
      </c>
      <c r="D2064" s="119" t="s">
        <v>78</v>
      </c>
      <c r="E2064" s="119" t="s">
        <v>6850</v>
      </c>
    </row>
    <row r="2065" spans="1:5" x14ac:dyDescent="0.25">
      <c r="A2065" s="119">
        <v>3414</v>
      </c>
      <c r="B2065" s="119" t="s">
        <v>6849</v>
      </c>
      <c r="C2065" s="119" t="s">
        <v>6856</v>
      </c>
      <c r="D2065" s="119" t="s">
        <v>78</v>
      </c>
      <c r="E2065" s="119" t="s">
        <v>6850</v>
      </c>
    </row>
    <row r="2066" spans="1:5" x14ac:dyDescent="0.25">
      <c r="A2066" s="119">
        <v>3415</v>
      </c>
      <c r="B2066" s="119" t="s">
        <v>6849</v>
      </c>
      <c r="C2066" s="119" t="s">
        <v>6856</v>
      </c>
      <c r="D2066" s="119" t="s">
        <v>78</v>
      </c>
      <c r="E2066" s="119" t="s">
        <v>6850</v>
      </c>
    </row>
    <row r="2067" spans="1:5" x14ac:dyDescent="0.25">
      <c r="A2067" s="119">
        <v>3416</v>
      </c>
      <c r="B2067" s="119" t="s">
        <v>6849</v>
      </c>
      <c r="C2067" s="119" t="s">
        <v>6856</v>
      </c>
      <c r="D2067" s="119" t="s">
        <v>78</v>
      </c>
      <c r="E2067" s="119" t="s">
        <v>6850</v>
      </c>
    </row>
    <row r="2068" spans="1:5" x14ac:dyDescent="0.25">
      <c r="A2068" s="119">
        <v>3417</v>
      </c>
      <c r="B2068" s="119" t="s">
        <v>6849</v>
      </c>
      <c r="C2068" s="119" t="s">
        <v>6856</v>
      </c>
      <c r="D2068" s="119" t="s">
        <v>78</v>
      </c>
      <c r="E2068" s="119" t="s">
        <v>6850</v>
      </c>
    </row>
    <row r="2069" spans="1:5" x14ac:dyDescent="0.25">
      <c r="A2069" s="119">
        <v>3419</v>
      </c>
      <c r="B2069" s="119" t="s">
        <v>6849</v>
      </c>
      <c r="C2069" s="119" t="s">
        <v>6856</v>
      </c>
      <c r="D2069" s="119" t="s">
        <v>78</v>
      </c>
      <c r="E2069" s="119" t="s">
        <v>6850</v>
      </c>
    </row>
    <row r="2070" spans="1:5" x14ac:dyDescent="0.25">
      <c r="A2070" s="119">
        <v>3420</v>
      </c>
      <c r="B2070" s="119" t="s">
        <v>6849</v>
      </c>
      <c r="C2070" s="119" t="s">
        <v>6856</v>
      </c>
      <c r="D2070" s="119" t="s">
        <v>78</v>
      </c>
      <c r="E2070" s="119" t="s">
        <v>6850</v>
      </c>
    </row>
    <row r="2071" spans="1:5" x14ac:dyDescent="0.25">
      <c r="A2071" s="119">
        <v>3421</v>
      </c>
      <c r="B2071" s="119" t="s">
        <v>6849</v>
      </c>
      <c r="C2071" s="119" t="s">
        <v>6856</v>
      </c>
      <c r="D2071" s="119" t="s">
        <v>78</v>
      </c>
      <c r="E2071" s="119" t="s">
        <v>6850</v>
      </c>
    </row>
    <row r="2072" spans="1:5" x14ac:dyDescent="0.25">
      <c r="A2072" s="119">
        <v>3422</v>
      </c>
      <c r="B2072" s="119" t="s">
        <v>6849</v>
      </c>
      <c r="C2072" s="119" t="s">
        <v>6856</v>
      </c>
      <c r="D2072" s="119" t="s">
        <v>78</v>
      </c>
      <c r="E2072" s="119" t="s">
        <v>6850</v>
      </c>
    </row>
    <row r="2073" spans="1:5" x14ac:dyDescent="0.25">
      <c r="A2073" s="119">
        <v>3423</v>
      </c>
      <c r="B2073" s="119" t="s">
        <v>6849</v>
      </c>
      <c r="C2073" s="119" t="s">
        <v>6856</v>
      </c>
      <c r="D2073" s="119" t="s">
        <v>78</v>
      </c>
      <c r="E2073" s="119" t="s">
        <v>6850</v>
      </c>
    </row>
    <row r="2074" spans="1:5" x14ac:dyDescent="0.25">
      <c r="A2074" s="119">
        <v>3426</v>
      </c>
      <c r="B2074" s="119" t="s">
        <v>6849</v>
      </c>
      <c r="C2074" s="119" t="s">
        <v>6856</v>
      </c>
      <c r="D2074" s="119" t="s">
        <v>78</v>
      </c>
      <c r="E2074" s="119" t="s">
        <v>6850</v>
      </c>
    </row>
    <row r="2075" spans="1:5" x14ac:dyDescent="0.25">
      <c r="A2075" s="119">
        <v>3427</v>
      </c>
      <c r="B2075" s="119" t="s">
        <v>6849</v>
      </c>
      <c r="C2075" s="119" t="s">
        <v>6856</v>
      </c>
      <c r="D2075" s="119" t="s">
        <v>78</v>
      </c>
      <c r="E2075" s="119" t="s">
        <v>6850</v>
      </c>
    </row>
    <row r="2076" spans="1:5" x14ac:dyDescent="0.25">
      <c r="A2076" s="119">
        <v>3428</v>
      </c>
      <c r="B2076" s="119" t="s">
        <v>6849</v>
      </c>
      <c r="C2076" s="119" t="s">
        <v>6856</v>
      </c>
      <c r="D2076" s="119" t="s">
        <v>78</v>
      </c>
      <c r="E2076" s="119" t="s">
        <v>6850</v>
      </c>
    </row>
    <row r="2077" spans="1:5" x14ac:dyDescent="0.25">
      <c r="A2077" s="119">
        <v>3429</v>
      </c>
      <c r="B2077" s="119" t="s">
        <v>6849</v>
      </c>
      <c r="C2077" s="119" t="s">
        <v>6856</v>
      </c>
      <c r="D2077" s="119" t="s">
        <v>78</v>
      </c>
      <c r="E2077" s="119" t="s">
        <v>6850</v>
      </c>
    </row>
    <row r="2078" spans="1:5" x14ac:dyDescent="0.25">
      <c r="A2078" s="119">
        <v>3430</v>
      </c>
      <c r="B2078" s="119" t="s">
        <v>6849</v>
      </c>
      <c r="C2078" s="119" t="s">
        <v>6856</v>
      </c>
      <c r="D2078" s="119" t="s">
        <v>78</v>
      </c>
      <c r="E2078" s="119" t="s">
        <v>6850</v>
      </c>
    </row>
    <row r="2079" spans="1:5" x14ac:dyDescent="0.25">
      <c r="A2079" s="119">
        <v>3431</v>
      </c>
      <c r="B2079" s="119" t="s">
        <v>6849</v>
      </c>
      <c r="C2079" s="119" t="s">
        <v>6856</v>
      </c>
      <c r="D2079" s="119" t="s">
        <v>78</v>
      </c>
      <c r="E2079" s="119" t="s">
        <v>6850</v>
      </c>
    </row>
    <row r="2080" spans="1:5" x14ac:dyDescent="0.25">
      <c r="A2080" s="119">
        <v>3433</v>
      </c>
      <c r="B2080" s="119" t="s">
        <v>6849</v>
      </c>
      <c r="C2080" s="119" t="s">
        <v>6856</v>
      </c>
      <c r="D2080" s="119" t="s">
        <v>78</v>
      </c>
      <c r="E2080" s="119" t="s">
        <v>6850</v>
      </c>
    </row>
    <row r="2081" spans="1:5" x14ac:dyDescent="0.25">
      <c r="A2081" s="119">
        <v>3434</v>
      </c>
      <c r="B2081" s="119" t="s">
        <v>6849</v>
      </c>
      <c r="C2081" s="119" t="s">
        <v>6856</v>
      </c>
      <c r="D2081" s="119" t="s">
        <v>78</v>
      </c>
      <c r="E2081" s="119" t="s">
        <v>6850</v>
      </c>
    </row>
    <row r="2082" spans="1:5" x14ac:dyDescent="0.25">
      <c r="A2082" s="119">
        <v>3435</v>
      </c>
      <c r="B2082" s="119" t="s">
        <v>6849</v>
      </c>
      <c r="C2082" s="119" t="s">
        <v>6856</v>
      </c>
      <c r="D2082" s="119" t="s">
        <v>78</v>
      </c>
      <c r="E2082" s="119" t="s">
        <v>6850</v>
      </c>
    </row>
    <row r="2083" spans="1:5" x14ac:dyDescent="0.25">
      <c r="A2083" s="119">
        <v>3436</v>
      </c>
      <c r="B2083" s="119" t="s">
        <v>6849</v>
      </c>
      <c r="C2083" s="119" t="s">
        <v>6856</v>
      </c>
      <c r="D2083" s="119" t="s">
        <v>78</v>
      </c>
      <c r="E2083" s="119" t="s">
        <v>6850</v>
      </c>
    </row>
    <row r="2084" spans="1:5" x14ac:dyDescent="0.25">
      <c r="A2084" s="119">
        <v>3437</v>
      </c>
      <c r="B2084" s="119" t="s">
        <v>6849</v>
      </c>
      <c r="C2084" s="119" t="s">
        <v>6856</v>
      </c>
      <c r="D2084" s="119" t="s">
        <v>78</v>
      </c>
      <c r="E2084" s="119" t="s">
        <v>6850</v>
      </c>
    </row>
    <row r="2085" spans="1:5" x14ac:dyDescent="0.25">
      <c r="A2085" s="119">
        <v>3438</v>
      </c>
      <c r="B2085" s="119" t="s">
        <v>6849</v>
      </c>
      <c r="C2085" s="119" t="s">
        <v>6856</v>
      </c>
      <c r="D2085" s="119" t="s">
        <v>78</v>
      </c>
      <c r="E2085" s="119" t="s">
        <v>6850</v>
      </c>
    </row>
    <row r="2086" spans="1:5" x14ac:dyDescent="0.25">
      <c r="A2086" s="119">
        <v>3439</v>
      </c>
      <c r="B2086" s="119" t="s">
        <v>6849</v>
      </c>
      <c r="C2086" s="119" t="s">
        <v>6856</v>
      </c>
      <c r="D2086" s="119" t="s">
        <v>78</v>
      </c>
      <c r="E2086" s="119" t="s">
        <v>6850</v>
      </c>
    </row>
    <row r="2087" spans="1:5" x14ac:dyDescent="0.25">
      <c r="A2087" s="119">
        <v>3440</v>
      </c>
      <c r="B2087" s="119" t="s">
        <v>6849</v>
      </c>
      <c r="C2087" s="119" t="s">
        <v>6856</v>
      </c>
      <c r="D2087" s="119" t="s">
        <v>78</v>
      </c>
      <c r="E2087" s="119" t="s">
        <v>6850</v>
      </c>
    </row>
    <row r="2088" spans="1:5" x14ac:dyDescent="0.25">
      <c r="A2088" s="119">
        <v>3441</v>
      </c>
      <c r="B2088" s="119" t="s">
        <v>6849</v>
      </c>
      <c r="C2088" s="119" t="s">
        <v>6856</v>
      </c>
      <c r="D2088" s="119" t="s">
        <v>78</v>
      </c>
      <c r="E2088" s="119" t="s">
        <v>6850</v>
      </c>
    </row>
    <row r="2089" spans="1:5" x14ac:dyDescent="0.25">
      <c r="A2089" s="119">
        <v>3442</v>
      </c>
      <c r="B2089" s="119" t="s">
        <v>6849</v>
      </c>
      <c r="C2089" s="119" t="s">
        <v>6856</v>
      </c>
      <c r="D2089" s="119" t="s">
        <v>78</v>
      </c>
      <c r="E2089" s="119" t="s">
        <v>6850</v>
      </c>
    </row>
    <row r="2090" spans="1:5" x14ac:dyDescent="0.25">
      <c r="A2090" s="119">
        <v>3443</v>
      </c>
      <c r="B2090" s="119" t="s">
        <v>6849</v>
      </c>
      <c r="C2090" s="119" t="s">
        <v>6856</v>
      </c>
      <c r="D2090" s="119" t="s">
        <v>78</v>
      </c>
      <c r="E2090" s="119" t="s">
        <v>6850</v>
      </c>
    </row>
    <row r="2091" spans="1:5" x14ac:dyDescent="0.25">
      <c r="A2091" s="119">
        <v>3444</v>
      </c>
      <c r="B2091" s="119" t="s">
        <v>6849</v>
      </c>
      <c r="C2091" s="119" t="s">
        <v>6856</v>
      </c>
      <c r="D2091" s="119" t="s">
        <v>78</v>
      </c>
      <c r="E2091" s="119" t="s">
        <v>6850</v>
      </c>
    </row>
    <row r="2092" spans="1:5" x14ac:dyDescent="0.25">
      <c r="A2092" s="119">
        <v>3446</v>
      </c>
      <c r="B2092" s="119" t="s">
        <v>6849</v>
      </c>
      <c r="C2092" s="119" t="s">
        <v>6856</v>
      </c>
      <c r="D2092" s="119" t="s">
        <v>78</v>
      </c>
      <c r="E2092" s="119" t="s">
        <v>6850</v>
      </c>
    </row>
    <row r="2093" spans="1:5" x14ac:dyDescent="0.25">
      <c r="A2093" s="119">
        <v>3447</v>
      </c>
      <c r="B2093" s="119" t="s">
        <v>6849</v>
      </c>
      <c r="C2093" s="119" t="s">
        <v>6856</v>
      </c>
      <c r="D2093" s="119" t="s">
        <v>78</v>
      </c>
      <c r="E2093" s="119" t="s">
        <v>6850</v>
      </c>
    </row>
    <row r="2094" spans="1:5" x14ac:dyDescent="0.25">
      <c r="A2094" s="119">
        <v>3448</v>
      </c>
      <c r="B2094" s="119" t="s">
        <v>6849</v>
      </c>
      <c r="C2094" s="119" t="s">
        <v>6856</v>
      </c>
      <c r="D2094" s="119" t="s">
        <v>78</v>
      </c>
      <c r="E2094" s="119" t="s">
        <v>6850</v>
      </c>
    </row>
    <row r="2095" spans="1:5" x14ac:dyDescent="0.25">
      <c r="A2095" s="119">
        <v>3449</v>
      </c>
      <c r="B2095" s="119" t="s">
        <v>6849</v>
      </c>
      <c r="C2095" s="119" t="s">
        <v>6856</v>
      </c>
      <c r="D2095" s="119" t="s">
        <v>78</v>
      </c>
      <c r="E2095" s="119" t="s">
        <v>6850</v>
      </c>
    </row>
    <row r="2096" spans="1:5" x14ac:dyDescent="0.25">
      <c r="A2096" s="119">
        <v>3450</v>
      </c>
      <c r="B2096" s="119" t="s">
        <v>6849</v>
      </c>
      <c r="C2096" s="119" t="s">
        <v>6856</v>
      </c>
      <c r="D2096" s="119" t="s">
        <v>78</v>
      </c>
      <c r="E2096" s="119" t="s">
        <v>6850</v>
      </c>
    </row>
    <row r="2097" spans="1:5" x14ac:dyDescent="0.25">
      <c r="A2097" s="119">
        <v>3451</v>
      </c>
      <c r="B2097" s="119" t="s">
        <v>6849</v>
      </c>
      <c r="C2097" s="119" t="s">
        <v>6856</v>
      </c>
      <c r="D2097" s="119" t="s">
        <v>78</v>
      </c>
      <c r="E2097" s="119" t="s">
        <v>6850</v>
      </c>
    </row>
    <row r="2098" spans="1:5" x14ac:dyDescent="0.25">
      <c r="A2098" s="119">
        <v>3452</v>
      </c>
      <c r="B2098" s="119" t="s">
        <v>6849</v>
      </c>
      <c r="C2098" s="119" t="s">
        <v>6856</v>
      </c>
      <c r="D2098" s="119" t="s">
        <v>78</v>
      </c>
      <c r="E2098" s="119" t="s">
        <v>6850</v>
      </c>
    </row>
    <row r="2099" spans="1:5" x14ac:dyDescent="0.25">
      <c r="A2099" s="119">
        <v>3453</v>
      </c>
      <c r="B2099" s="119" t="s">
        <v>6849</v>
      </c>
      <c r="C2099" s="119" t="s">
        <v>6856</v>
      </c>
      <c r="D2099" s="119" t="s">
        <v>78</v>
      </c>
      <c r="E2099" s="119" t="s">
        <v>6850</v>
      </c>
    </row>
    <row r="2100" spans="1:5" x14ac:dyDescent="0.25">
      <c r="A2100" s="119">
        <v>3454</v>
      </c>
      <c r="B2100" s="119" t="s">
        <v>6849</v>
      </c>
      <c r="C2100" s="119" t="s">
        <v>6856</v>
      </c>
      <c r="D2100" s="119" t="s">
        <v>78</v>
      </c>
      <c r="E2100" s="119" t="s">
        <v>6850</v>
      </c>
    </row>
    <row r="2101" spans="1:5" x14ac:dyDescent="0.25">
      <c r="A2101" s="119">
        <v>3455</v>
      </c>
      <c r="B2101" s="119" t="s">
        <v>6849</v>
      </c>
      <c r="C2101" s="119" t="s">
        <v>6856</v>
      </c>
      <c r="D2101" s="119" t="s">
        <v>78</v>
      </c>
      <c r="E2101" s="119" t="s">
        <v>6850</v>
      </c>
    </row>
    <row r="2102" spans="1:5" x14ac:dyDescent="0.25">
      <c r="A2102" s="119">
        <v>3456</v>
      </c>
      <c r="B2102" s="119" t="s">
        <v>6849</v>
      </c>
      <c r="C2102" s="119" t="s">
        <v>6856</v>
      </c>
      <c r="D2102" s="119" t="s">
        <v>78</v>
      </c>
      <c r="E2102" s="119" t="s">
        <v>6850</v>
      </c>
    </row>
    <row r="2103" spans="1:5" x14ac:dyDescent="0.25">
      <c r="A2103" s="119">
        <v>3457</v>
      </c>
      <c r="B2103" s="119" t="s">
        <v>6849</v>
      </c>
      <c r="C2103" s="119" t="s">
        <v>6856</v>
      </c>
      <c r="D2103" s="119" t="s">
        <v>78</v>
      </c>
      <c r="E2103" s="119" t="s">
        <v>6850</v>
      </c>
    </row>
    <row r="2104" spans="1:5" x14ac:dyDescent="0.25">
      <c r="A2104" s="119">
        <v>3460</v>
      </c>
      <c r="B2104" s="119" t="s">
        <v>6849</v>
      </c>
      <c r="C2104" s="119" t="s">
        <v>6856</v>
      </c>
      <c r="D2104" s="119" t="s">
        <v>78</v>
      </c>
      <c r="E2104" s="119" t="s">
        <v>6850</v>
      </c>
    </row>
    <row r="2105" spans="1:5" x14ac:dyDescent="0.25">
      <c r="A2105" s="119">
        <v>3461</v>
      </c>
      <c r="B2105" s="119" t="s">
        <v>6849</v>
      </c>
      <c r="C2105" s="119" t="s">
        <v>6856</v>
      </c>
      <c r="D2105" s="119" t="s">
        <v>78</v>
      </c>
      <c r="E2105" s="119" t="s">
        <v>6850</v>
      </c>
    </row>
    <row r="2106" spans="1:5" x14ac:dyDescent="0.25">
      <c r="A2106" s="119">
        <v>3462</v>
      </c>
      <c r="B2106" s="119" t="s">
        <v>6849</v>
      </c>
      <c r="C2106" s="119" t="s">
        <v>6856</v>
      </c>
      <c r="D2106" s="119" t="s">
        <v>78</v>
      </c>
      <c r="E2106" s="119" t="s">
        <v>6850</v>
      </c>
    </row>
    <row r="2107" spans="1:5" x14ac:dyDescent="0.25">
      <c r="A2107" s="119">
        <v>3463</v>
      </c>
      <c r="B2107" s="119" t="s">
        <v>6849</v>
      </c>
      <c r="C2107" s="119" t="s">
        <v>6856</v>
      </c>
      <c r="D2107" s="119" t="s">
        <v>78</v>
      </c>
      <c r="E2107" s="119" t="s">
        <v>6850</v>
      </c>
    </row>
    <row r="2108" spans="1:5" x14ac:dyDescent="0.25">
      <c r="A2108" s="119">
        <v>3464</v>
      </c>
      <c r="B2108" s="119" t="s">
        <v>6849</v>
      </c>
      <c r="C2108" s="119" t="s">
        <v>6856</v>
      </c>
      <c r="D2108" s="119" t="s">
        <v>78</v>
      </c>
      <c r="E2108" s="119" t="s">
        <v>6850</v>
      </c>
    </row>
    <row r="2109" spans="1:5" x14ac:dyDescent="0.25">
      <c r="A2109" s="119">
        <v>3465</v>
      </c>
      <c r="B2109" s="119" t="s">
        <v>6849</v>
      </c>
      <c r="C2109" s="119" t="s">
        <v>6856</v>
      </c>
      <c r="D2109" s="119" t="s">
        <v>78</v>
      </c>
      <c r="E2109" s="119" t="s">
        <v>6850</v>
      </c>
    </row>
    <row r="2110" spans="1:5" x14ac:dyDescent="0.25">
      <c r="A2110" s="119">
        <v>3466</v>
      </c>
      <c r="B2110" s="119" t="s">
        <v>6849</v>
      </c>
      <c r="C2110" s="119" t="s">
        <v>6856</v>
      </c>
      <c r="D2110" s="119" t="s">
        <v>78</v>
      </c>
      <c r="E2110" s="119" t="s">
        <v>6850</v>
      </c>
    </row>
    <row r="2111" spans="1:5" x14ac:dyDescent="0.25">
      <c r="A2111" s="119">
        <v>3467</v>
      </c>
      <c r="B2111" s="119" t="s">
        <v>6849</v>
      </c>
      <c r="C2111" s="119" t="s">
        <v>6856</v>
      </c>
      <c r="D2111" s="119" t="s">
        <v>78</v>
      </c>
      <c r="E2111" s="119" t="s">
        <v>6850</v>
      </c>
    </row>
    <row r="2112" spans="1:5" x14ac:dyDescent="0.25">
      <c r="A2112" s="119">
        <v>3468</v>
      </c>
      <c r="B2112" s="119" t="s">
        <v>6849</v>
      </c>
      <c r="C2112" s="119" t="s">
        <v>6856</v>
      </c>
      <c r="D2112" s="119" t="s">
        <v>78</v>
      </c>
      <c r="E2112" s="119" t="s">
        <v>6850</v>
      </c>
    </row>
    <row r="2113" spans="1:5" x14ac:dyDescent="0.25">
      <c r="A2113" s="119">
        <v>3469</v>
      </c>
      <c r="B2113" s="119" t="s">
        <v>6849</v>
      </c>
      <c r="C2113" s="119" t="s">
        <v>6856</v>
      </c>
      <c r="D2113" s="119" t="s">
        <v>78</v>
      </c>
      <c r="E2113" s="119" t="s">
        <v>6850</v>
      </c>
    </row>
    <row r="2114" spans="1:5" x14ac:dyDescent="0.25">
      <c r="A2114" s="119">
        <v>3470</v>
      </c>
      <c r="B2114" s="119" t="s">
        <v>6849</v>
      </c>
      <c r="C2114" s="119" t="s">
        <v>6856</v>
      </c>
      <c r="D2114" s="119" t="s">
        <v>78</v>
      </c>
      <c r="E2114" s="119" t="s">
        <v>6850</v>
      </c>
    </row>
    <row r="2115" spans="1:5" x14ac:dyDescent="0.25">
      <c r="A2115" s="119">
        <v>3471</v>
      </c>
      <c r="B2115" s="119" t="s">
        <v>6849</v>
      </c>
      <c r="C2115" s="119" t="s">
        <v>6856</v>
      </c>
      <c r="D2115" s="119" t="s">
        <v>78</v>
      </c>
      <c r="E2115" s="119" t="s">
        <v>6850</v>
      </c>
    </row>
    <row r="2116" spans="1:5" x14ac:dyDescent="0.25">
      <c r="A2116" s="119">
        <v>3472</v>
      </c>
      <c r="B2116" s="119" t="s">
        <v>6849</v>
      </c>
      <c r="C2116" s="119" t="s">
        <v>6856</v>
      </c>
      <c r="D2116" s="119" t="s">
        <v>78</v>
      </c>
      <c r="E2116" s="119" t="s">
        <v>6850</v>
      </c>
    </row>
    <row r="2117" spans="1:5" x14ac:dyDescent="0.25">
      <c r="A2117" s="119">
        <v>3473</v>
      </c>
      <c r="B2117" s="119" t="s">
        <v>6849</v>
      </c>
      <c r="C2117" s="119" t="s">
        <v>6856</v>
      </c>
      <c r="D2117" s="119" t="s">
        <v>78</v>
      </c>
      <c r="E2117" s="119" t="s">
        <v>6850</v>
      </c>
    </row>
    <row r="2118" spans="1:5" x14ac:dyDescent="0.25">
      <c r="A2118" s="119">
        <v>3475</v>
      </c>
      <c r="B2118" s="119" t="s">
        <v>6849</v>
      </c>
      <c r="C2118" s="119" t="s">
        <v>6856</v>
      </c>
      <c r="D2118" s="119" t="s">
        <v>78</v>
      </c>
      <c r="E2118" s="119" t="s">
        <v>6850</v>
      </c>
    </row>
    <row r="2119" spans="1:5" x14ac:dyDescent="0.25">
      <c r="A2119" s="119">
        <v>3476</v>
      </c>
      <c r="B2119" s="119" t="s">
        <v>6849</v>
      </c>
      <c r="C2119" s="119" t="s">
        <v>6856</v>
      </c>
      <c r="D2119" s="119" t="s">
        <v>78</v>
      </c>
      <c r="E2119" s="119" t="s">
        <v>6850</v>
      </c>
    </row>
    <row r="2120" spans="1:5" x14ac:dyDescent="0.25">
      <c r="A2120" s="119">
        <v>3477</v>
      </c>
      <c r="B2120" s="119" t="s">
        <v>6849</v>
      </c>
      <c r="C2120" s="119" t="s">
        <v>6856</v>
      </c>
      <c r="D2120" s="119" t="s">
        <v>78</v>
      </c>
      <c r="E2120" s="119" t="s">
        <v>6850</v>
      </c>
    </row>
    <row r="2121" spans="1:5" x14ac:dyDescent="0.25">
      <c r="A2121" s="119">
        <v>3478</v>
      </c>
      <c r="B2121" s="119" t="s">
        <v>6849</v>
      </c>
      <c r="C2121" s="119" t="s">
        <v>6856</v>
      </c>
      <c r="D2121" s="119" t="s">
        <v>78</v>
      </c>
      <c r="E2121" s="119" t="s">
        <v>6850</v>
      </c>
    </row>
    <row r="2122" spans="1:5" x14ac:dyDescent="0.25">
      <c r="A2122" s="119">
        <v>3479</v>
      </c>
      <c r="B2122" s="119" t="s">
        <v>6849</v>
      </c>
      <c r="C2122" s="119" t="s">
        <v>6856</v>
      </c>
      <c r="D2122" s="119" t="s">
        <v>78</v>
      </c>
      <c r="E2122" s="119" t="s">
        <v>6850</v>
      </c>
    </row>
    <row r="2123" spans="1:5" x14ac:dyDescent="0.25">
      <c r="A2123" s="119">
        <v>3480</v>
      </c>
      <c r="B2123" s="119" t="s">
        <v>6849</v>
      </c>
      <c r="C2123" s="119" t="s">
        <v>6856</v>
      </c>
      <c r="D2123" s="119" t="s">
        <v>78</v>
      </c>
      <c r="E2123" s="119" t="s">
        <v>6850</v>
      </c>
    </row>
    <row r="2124" spans="1:5" x14ac:dyDescent="0.25">
      <c r="A2124" s="119">
        <v>3481</v>
      </c>
      <c r="B2124" s="119" t="s">
        <v>6849</v>
      </c>
      <c r="C2124" s="119" t="s">
        <v>6856</v>
      </c>
      <c r="D2124" s="119" t="s">
        <v>78</v>
      </c>
      <c r="E2124" s="119" t="s">
        <v>6850</v>
      </c>
    </row>
    <row r="2125" spans="1:5" x14ac:dyDescent="0.25">
      <c r="A2125" s="119">
        <v>3482</v>
      </c>
      <c r="B2125" s="119" t="s">
        <v>6849</v>
      </c>
      <c r="C2125" s="119" t="s">
        <v>6856</v>
      </c>
      <c r="D2125" s="119" t="s">
        <v>78</v>
      </c>
      <c r="E2125" s="119" t="s">
        <v>6850</v>
      </c>
    </row>
    <row r="2126" spans="1:5" x14ac:dyDescent="0.25">
      <c r="A2126" s="119">
        <v>3483</v>
      </c>
      <c r="B2126" s="119" t="s">
        <v>6849</v>
      </c>
      <c r="C2126" s="119" t="s">
        <v>6856</v>
      </c>
      <c r="D2126" s="119" t="s">
        <v>78</v>
      </c>
      <c r="E2126" s="119" t="s">
        <v>6850</v>
      </c>
    </row>
    <row r="2127" spans="1:5" x14ac:dyDescent="0.25">
      <c r="A2127" s="119">
        <v>3484</v>
      </c>
      <c r="B2127" s="119" t="s">
        <v>6849</v>
      </c>
      <c r="C2127" s="119" t="s">
        <v>6856</v>
      </c>
      <c r="D2127" s="119" t="s">
        <v>78</v>
      </c>
      <c r="E2127" s="119" t="s">
        <v>6850</v>
      </c>
    </row>
    <row r="2128" spans="1:5" x14ac:dyDescent="0.25">
      <c r="A2128" s="119">
        <v>3485</v>
      </c>
      <c r="B2128" s="119" t="s">
        <v>6849</v>
      </c>
      <c r="C2128" s="119" t="s">
        <v>6856</v>
      </c>
      <c r="D2128" s="119" t="s">
        <v>78</v>
      </c>
      <c r="E2128" s="119" t="s">
        <v>6850</v>
      </c>
    </row>
    <row r="2129" spans="1:5" x14ac:dyDescent="0.25">
      <c r="A2129" s="119">
        <v>3486</v>
      </c>
      <c r="B2129" s="119" t="s">
        <v>6849</v>
      </c>
      <c r="C2129" s="119" t="s">
        <v>6856</v>
      </c>
      <c r="D2129" s="119" t="s">
        <v>78</v>
      </c>
      <c r="E2129" s="119" t="s">
        <v>6850</v>
      </c>
    </row>
    <row r="2130" spans="1:5" x14ac:dyDescent="0.25">
      <c r="A2130" s="119">
        <v>3487</v>
      </c>
      <c r="B2130" s="119" t="s">
        <v>6849</v>
      </c>
      <c r="C2130" s="119" t="s">
        <v>6856</v>
      </c>
      <c r="D2130" s="119" t="s">
        <v>78</v>
      </c>
      <c r="E2130" s="119" t="s">
        <v>6850</v>
      </c>
    </row>
    <row r="2131" spans="1:5" x14ac:dyDescent="0.25">
      <c r="A2131" s="119">
        <v>3489</v>
      </c>
      <c r="B2131" s="119" t="s">
        <v>6849</v>
      </c>
      <c r="C2131" s="119" t="s">
        <v>6856</v>
      </c>
      <c r="D2131" s="119" t="s">
        <v>78</v>
      </c>
      <c r="E2131" s="119" t="s">
        <v>6850</v>
      </c>
    </row>
    <row r="2132" spans="1:5" x14ac:dyDescent="0.25">
      <c r="A2132" s="119">
        <v>3490</v>
      </c>
      <c r="B2132" s="119" t="s">
        <v>6849</v>
      </c>
      <c r="C2132" s="119" t="s">
        <v>6856</v>
      </c>
      <c r="D2132" s="119" t="s">
        <v>78</v>
      </c>
      <c r="E2132" s="119" t="s">
        <v>6850</v>
      </c>
    </row>
    <row r="2133" spans="1:5" x14ac:dyDescent="0.25">
      <c r="A2133" s="119">
        <v>3491</v>
      </c>
      <c r="B2133" s="119" t="s">
        <v>6849</v>
      </c>
      <c r="C2133" s="119" t="s">
        <v>6856</v>
      </c>
      <c r="D2133" s="119" t="s">
        <v>78</v>
      </c>
      <c r="E2133" s="119" t="s">
        <v>6850</v>
      </c>
    </row>
    <row r="2134" spans="1:5" x14ac:dyDescent="0.25">
      <c r="A2134" s="119">
        <v>3492</v>
      </c>
      <c r="B2134" s="119" t="s">
        <v>6849</v>
      </c>
      <c r="C2134" s="119" t="s">
        <v>6856</v>
      </c>
      <c r="D2134" s="119" t="s">
        <v>78</v>
      </c>
      <c r="E2134" s="119" t="s">
        <v>6850</v>
      </c>
    </row>
    <row r="2135" spans="1:5" x14ac:dyDescent="0.25">
      <c r="A2135" s="119">
        <v>3493</v>
      </c>
      <c r="B2135" s="119" t="s">
        <v>6849</v>
      </c>
      <c r="C2135" s="119" t="s">
        <v>6856</v>
      </c>
      <c r="D2135" s="119" t="s">
        <v>78</v>
      </c>
      <c r="E2135" s="119" t="s">
        <v>6850</v>
      </c>
    </row>
    <row r="2136" spans="1:5" x14ac:dyDescent="0.25">
      <c r="A2136" s="119">
        <v>3494</v>
      </c>
      <c r="B2136" s="119" t="s">
        <v>6849</v>
      </c>
      <c r="C2136" s="119" t="s">
        <v>6856</v>
      </c>
      <c r="D2136" s="119" t="s">
        <v>78</v>
      </c>
      <c r="E2136" s="119" t="s">
        <v>6850</v>
      </c>
    </row>
    <row r="2137" spans="1:5" x14ac:dyDescent="0.25">
      <c r="A2137" s="119">
        <v>3495</v>
      </c>
      <c r="B2137" s="119" t="s">
        <v>6849</v>
      </c>
      <c r="C2137" s="119" t="s">
        <v>6856</v>
      </c>
      <c r="D2137" s="119" t="s">
        <v>78</v>
      </c>
      <c r="E2137" s="119" t="s">
        <v>6850</v>
      </c>
    </row>
    <row r="2138" spans="1:5" x14ac:dyDescent="0.25">
      <c r="A2138" s="119">
        <v>3496</v>
      </c>
      <c r="B2138" s="119" t="s">
        <v>6849</v>
      </c>
      <c r="C2138" s="119" t="s">
        <v>6856</v>
      </c>
      <c r="D2138" s="119" t="s">
        <v>78</v>
      </c>
      <c r="E2138" s="119" t="s">
        <v>6850</v>
      </c>
    </row>
    <row r="2139" spans="1:5" x14ac:dyDescent="0.25">
      <c r="A2139" s="119">
        <v>3497</v>
      </c>
      <c r="B2139" s="119" t="s">
        <v>6849</v>
      </c>
      <c r="C2139" s="119" t="s">
        <v>6856</v>
      </c>
      <c r="D2139" s="119" t="s">
        <v>78</v>
      </c>
      <c r="E2139" s="119" t="s">
        <v>6850</v>
      </c>
    </row>
    <row r="2140" spans="1:5" x14ac:dyDescent="0.25">
      <c r="A2140" s="119">
        <v>3498</v>
      </c>
      <c r="B2140" s="119" t="s">
        <v>6849</v>
      </c>
      <c r="C2140" s="119" t="s">
        <v>6856</v>
      </c>
      <c r="D2140" s="119" t="s">
        <v>78</v>
      </c>
      <c r="E2140" s="119" t="s">
        <v>6850</v>
      </c>
    </row>
    <row r="2141" spans="1:5" x14ac:dyDescent="0.25">
      <c r="A2141" s="119">
        <v>3499</v>
      </c>
      <c r="B2141" s="119" t="s">
        <v>6849</v>
      </c>
      <c r="C2141" s="119" t="s">
        <v>6856</v>
      </c>
      <c r="D2141" s="119" t="s">
        <v>78</v>
      </c>
      <c r="E2141" s="119" t="s">
        <v>6850</v>
      </c>
    </row>
    <row r="2142" spans="1:5" x14ac:dyDescent="0.25">
      <c r="A2142" s="119">
        <v>3500</v>
      </c>
      <c r="B2142" s="119" t="s">
        <v>6849</v>
      </c>
      <c r="C2142" s="119" t="s">
        <v>6856</v>
      </c>
      <c r="D2142" s="119" t="s">
        <v>78</v>
      </c>
      <c r="E2142" s="119" t="s">
        <v>6850</v>
      </c>
    </row>
    <row r="2143" spans="1:5" x14ac:dyDescent="0.25">
      <c r="A2143" s="119">
        <v>3501</v>
      </c>
      <c r="B2143" s="119" t="s">
        <v>6849</v>
      </c>
      <c r="C2143" s="119" t="s">
        <v>6856</v>
      </c>
      <c r="D2143" s="119" t="s">
        <v>78</v>
      </c>
      <c r="E2143" s="119" t="s">
        <v>6850</v>
      </c>
    </row>
    <row r="2144" spans="1:5" x14ac:dyDescent="0.25">
      <c r="A2144" s="119">
        <v>3503</v>
      </c>
      <c r="B2144" s="119" t="s">
        <v>6849</v>
      </c>
      <c r="C2144" s="119" t="s">
        <v>6856</v>
      </c>
      <c r="D2144" s="119" t="s">
        <v>78</v>
      </c>
      <c r="E2144" s="119" t="s">
        <v>6850</v>
      </c>
    </row>
    <row r="2145" spans="1:5" x14ac:dyDescent="0.25">
      <c r="A2145" s="119">
        <v>3504</v>
      </c>
      <c r="B2145" s="119" t="s">
        <v>6849</v>
      </c>
      <c r="C2145" s="119" t="s">
        <v>6856</v>
      </c>
      <c r="D2145" s="119" t="s">
        <v>78</v>
      </c>
      <c r="E2145" s="119" t="s">
        <v>6850</v>
      </c>
    </row>
    <row r="2146" spans="1:5" x14ac:dyDescent="0.25">
      <c r="A2146" s="119">
        <v>3505</v>
      </c>
      <c r="B2146" s="119" t="s">
        <v>6849</v>
      </c>
      <c r="C2146" s="119" t="s">
        <v>6856</v>
      </c>
      <c r="D2146" s="119" t="s">
        <v>78</v>
      </c>
      <c r="E2146" s="119" t="s">
        <v>6850</v>
      </c>
    </row>
    <row r="2147" spans="1:5" x14ac:dyDescent="0.25">
      <c r="A2147" s="119">
        <v>3506</v>
      </c>
      <c r="B2147" s="119" t="s">
        <v>6849</v>
      </c>
      <c r="C2147" s="119" t="s">
        <v>6856</v>
      </c>
      <c r="D2147" s="119" t="s">
        <v>78</v>
      </c>
      <c r="E2147" s="119" t="s">
        <v>6850</v>
      </c>
    </row>
    <row r="2148" spans="1:5" x14ac:dyDescent="0.25">
      <c r="A2148" s="119">
        <v>3507</v>
      </c>
      <c r="B2148" s="119" t="s">
        <v>6849</v>
      </c>
      <c r="C2148" s="119" t="s">
        <v>6856</v>
      </c>
      <c r="D2148" s="119" t="s">
        <v>78</v>
      </c>
      <c r="E2148" s="119" t="s">
        <v>6850</v>
      </c>
    </row>
    <row r="2149" spans="1:5" x14ac:dyDescent="0.25">
      <c r="A2149" s="119">
        <v>3508</v>
      </c>
      <c r="B2149" s="119" t="s">
        <v>6849</v>
      </c>
      <c r="C2149" s="119" t="s">
        <v>6856</v>
      </c>
      <c r="D2149" s="119" t="s">
        <v>78</v>
      </c>
      <c r="E2149" s="119" t="s">
        <v>6850</v>
      </c>
    </row>
    <row r="2150" spans="1:5" x14ac:dyDescent="0.25">
      <c r="A2150" s="119">
        <v>3509</v>
      </c>
      <c r="B2150" s="119" t="s">
        <v>6849</v>
      </c>
      <c r="C2150" s="119" t="s">
        <v>6856</v>
      </c>
      <c r="D2150" s="119" t="s">
        <v>78</v>
      </c>
      <c r="E2150" s="119" t="s">
        <v>6850</v>
      </c>
    </row>
    <row r="2151" spans="1:5" x14ac:dyDescent="0.25">
      <c r="A2151" s="119">
        <v>3510</v>
      </c>
      <c r="B2151" s="119" t="s">
        <v>6849</v>
      </c>
      <c r="C2151" s="119" t="s">
        <v>6856</v>
      </c>
      <c r="D2151" s="119" t="s">
        <v>78</v>
      </c>
      <c r="E2151" s="119" t="s">
        <v>6850</v>
      </c>
    </row>
    <row r="2152" spans="1:5" x14ac:dyDescent="0.25">
      <c r="A2152" s="119">
        <v>3511</v>
      </c>
      <c r="B2152" s="119" t="s">
        <v>6849</v>
      </c>
      <c r="C2152" s="119" t="s">
        <v>6856</v>
      </c>
      <c r="D2152" s="119" t="s">
        <v>78</v>
      </c>
      <c r="E2152" s="119" t="s">
        <v>6850</v>
      </c>
    </row>
    <row r="2153" spans="1:5" x14ac:dyDescent="0.25">
      <c r="A2153" s="119">
        <v>3512</v>
      </c>
      <c r="B2153" s="119" t="s">
        <v>6849</v>
      </c>
      <c r="C2153" s="119" t="s">
        <v>6856</v>
      </c>
      <c r="D2153" s="119" t="s">
        <v>78</v>
      </c>
      <c r="E2153" s="119" t="s">
        <v>6850</v>
      </c>
    </row>
    <row r="2154" spans="1:5" x14ac:dyDescent="0.25">
      <c r="A2154" s="119">
        <v>3513</v>
      </c>
      <c r="B2154" s="119" t="s">
        <v>6849</v>
      </c>
      <c r="C2154" s="119" t="s">
        <v>5218</v>
      </c>
      <c r="D2154" s="119" t="s">
        <v>78</v>
      </c>
      <c r="E2154" s="119" t="s">
        <v>6850</v>
      </c>
    </row>
    <row r="2155" spans="1:5" x14ac:dyDescent="0.25">
      <c r="A2155" s="119">
        <v>3514</v>
      </c>
      <c r="B2155" s="119" t="s">
        <v>6849</v>
      </c>
      <c r="C2155" s="119" t="s">
        <v>6856</v>
      </c>
      <c r="D2155" s="119" t="s">
        <v>78</v>
      </c>
      <c r="E2155" s="119" t="s">
        <v>6850</v>
      </c>
    </row>
    <row r="2156" spans="1:5" x14ac:dyDescent="0.25">
      <c r="A2156" s="119">
        <v>3515</v>
      </c>
      <c r="B2156" s="119" t="s">
        <v>6849</v>
      </c>
      <c r="C2156" s="119" t="s">
        <v>6856</v>
      </c>
      <c r="D2156" s="119" t="s">
        <v>78</v>
      </c>
      <c r="E2156" s="119" t="s">
        <v>6850</v>
      </c>
    </row>
    <row r="2157" spans="1:5" x14ac:dyDescent="0.25">
      <c r="A2157" s="119">
        <v>3517</v>
      </c>
      <c r="B2157" s="119" t="s">
        <v>6849</v>
      </c>
      <c r="C2157" s="119" t="s">
        <v>6856</v>
      </c>
      <c r="D2157" s="119" t="s">
        <v>78</v>
      </c>
      <c r="E2157" s="119" t="s">
        <v>6850</v>
      </c>
    </row>
    <row r="2158" spans="1:5" x14ac:dyDescent="0.25">
      <c r="A2158" s="119">
        <v>3518</v>
      </c>
      <c r="B2158" s="119" t="s">
        <v>6849</v>
      </c>
      <c r="C2158" s="119" t="s">
        <v>6856</v>
      </c>
      <c r="D2158" s="119" t="s">
        <v>78</v>
      </c>
      <c r="E2158" s="119" t="s">
        <v>6850</v>
      </c>
    </row>
    <row r="2159" spans="1:5" x14ac:dyDescent="0.25">
      <c r="A2159" s="119">
        <v>3519</v>
      </c>
      <c r="B2159" s="119" t="s">
        <v>6849</v>
      </c>
      <c r="C2159" s="119" t="s">
        <v>6856</v>
      </c>
      <c r="D2159" s="119" t="s">
        <v>78</v>
      </c>
      <c r="E2159" s="119" t="s">
        <v>6850</v>
      </c>
    </row>
    <row r="2160" spans="1:5" x14ac:dyDescent="0.25">
      <c r="A2160" s="119">
        <v>3522</v>
      </c>
      <c r="B2160" s="119" t="s">
        <v>6849</v>
      </c>
      <c r="C2160" s="119" t="s">
        <v>6856</v>
      </c>
      <c r="D2160" s="119" t="s">
        <v>78</v>
      </c>
      <c r="E2160" s="119" t="s">
        <v>6850</v>
      </c>
    </row>
    <row r="2161" spans="1:5" x14ac:dyDescent="0.25">
      <c r="A2161" s="119">
        <v>3523</v>
      </c>
      <c r="B2161" s="119" t="s">
        <v>6849</v>
      </c>
      <c r="C2161" s="119" t="s">
        <v>6856</v>
      </c>
      <c r="D2161" s="119" t="s">
        <v>78</v>
      </c>
      <c r="E2161" s="119" t="s">
        <v>6850</v>
      </c>
    </row>
    <row r="2162" spans="1:5" x14ac:dyDescent="0.25">
      <c r="A2162" s="119">
        <v>3527</v>
      </c>
      <c r="B2162" s="119" t="s">
        <v>6849</v>
      </c>
      <c r="C2162" s="119" t="s">
        <v>5218</v>
      </c>
      <c r="D2162" s="119" t="s">
        <v>78</v>
      </c>
      <c r="E2162" s="119" t="s">
        <v>6850</v>
      </c>
    </row>
    <row r="2163" spans="1:5" x14ac:dyDescent="0.25">
      <c r="A2163" s="119">
        <v>3547</v>
      </c>
      <c r="B2163" s="119" t="s">
        <v>6849</v>
      </c>
      <c r="C2163" s="119" t="s">
        <v>6856</v>
      </c>
      <c r="D2163" s="119" t="s">
        <v>78</v>
      </c>
      <c r="E2163" s="119" t="s">
        <v>6850</v>
      </c>
    </row>
    <row r="2164" spans="1:5" x14ac:dyDescent="0.25">
      <c r="A2164" s="119">
        <v>3559</v>
      </c>
      <c r="B2164" s="119" t="s">
        <v>6849</v>
      </c>
      <c r="C2164" s="119" t="s">
        <v>6856</v>
      </c>
      <c r="D2164" s="119" t="s">
        <v>78</v>
      </c>
      <c r="E2164" s="119" t="s">
        <v>6850</v>
      </c>
    </row>
    <row r="2165" spans="1:5" x14ac:dyDescent="0.25">
      <c r="A2165" s="119">
        <v>3573</v>
      </c>
      <c r="B2165" s="119" t="s">
        <v>6849</v>
      </c>
      <c r="C2165" s="119" t="s">
        <v>6856</v>
      </c>
      <c r="D2165" s="119" t="s">
        <v>78</v>
      </c>
      <c r="E2165" s="119" t="s">
        <v>6850</v>
      </c>
    </row>
    <row r="2166" spans="1:5" x14ac:dyDescent="0.25">
      <c r="A2166" s="119">
        <v>3574</v>
      </c>
      <c r="B2166" s="119" t="s">
        <v>6849</v>
      </c>
      <c r="C2166" s="119" t="s">
        <v>6856</v>
      </c>
      <c r="D2166" s="119" t="s">
        <v>78</v>
      </c>
      <c r="E2166" s="119" t="s">
        <v>6850</v>
      </c>
    </row>
    <row r="2167" spans="1:5" x14ac:dyDescent="0.25">
      <c r="A2167" s="119">
        <v>3575</v>
      </c>
      <c r="B2167" s="119" t="s">
        <v>6849</v>
      </c>
      <c r="C2167" s="119" t="s">
        <v>6856</v>
      </c>
      <c r="D2167" s="119" t="s">
        <v>78</v>
      </c>
      <c r="E2167" s="119" t="s">
        <v>6850</v>
      </c>
    </row>
    <row r="2168" spans="1:5" x14ac:dyDescent="0.25">
      <c r="A2168" s="119">
        <v>3576</v>
      </c>
      <c r="B2168" s="119" t="s">
        <v>6849</v>
      </c>
      <c r="C2168" s="119" t="s">
        <v>6856</v>
      </c>
      <c r="D2168" s="119" t="s">
        <v>78</v>
      </c>
      <c r="E2168" s="119" t="s">
        <v>6850</v>
      </c>
    </row>
    <row r="2169" spans="1:5" x14ac:dyDescent="0.25">
      <c r="A2169" s="119">
        <v>3577</v>
      </c>
      <c r="B2169" s="119" t="s">
        <v>6849</v>
      </c>
      <c r="C2169" s="119" t="s">
        <v>6856</v>
      </c>
      <c r="D2169" s="119" t="s">
        <v>78</v>
      </c>
      <c r="E2169" s="119" t="s">
        <v>6850</v>
      </c>
    </row>
    <row r="2170" spans="1:5" x14ac:dyDescent="0.25">
      <c r="A2170" s="119">
        <v>3578</v>
      </c>
      <c r="B2170" s="119" t="s">
        <v>6849</v>
      </c>
      <c r="C2170" s="119" t="s">
        <v>6856</v>
      </c>
      <c r="D2170" s="119" t="s">
        <v>78</v>
      </c>
      <c r="E2170" s="119" t="s">
        <v>6850</v>
      </c>
    </row>
    <row r="2171" spans="1:5" x14ac:dyDescent="0.25">
      <c r="A2171" s="119">
        <v>3579</v>
      </c>
      <c r="B2171" s="119" t="s">
        <v>6849</v>
      </c>
      <c r="C2171" s="119" t="s">
        <v>6856</v>
      </c>
      <c r="D2171" s="119" t="s">
        <v>78</v>
      </c>
      <c r="E2171" s="119" t="s">
        <v>6850</v>
      </c>
    </row>
    <row r="2172" spans="1:5" x14ac:dyDescent="0.25">
      <c r="A2172" s="119">
        <v>3580</v>
      </c>
      <c r="B2172" s="119" t="s">
        <v>6849</v>
      </c>
      <c r="C2172" s="119" t="s">
        <v>6856</v>
      </c>
      <c r="D2172" s="119" t="s">
        <v>78</v>
      </c>
      <c r="E2172" s="119" t="s">
        <v>6850</v>
      </c>
    </row>
    <row r="2173" spans="1:5" x14ac:dyDescent="0.25">
      <c r="A2173" s="119">
        <v>3584</v>
      </c>
      <c r="B2173" s="119" t="s">
        <v>6849</v>
      </c>
      <c r="C2173" s="119" t="s">
        <v>6856</v>
      </c>
      <c r="D2173" s="119" t="s">
        <v>78</v>
      </c>
      <c r="E2173" s="119" t="s">
        <v>6850</v>
      </c>
    </row>
    <row r="2174" spans="1:5" x14ac:dyDescent="0.25">
      <c r="A2174" s="119">
        <v>3586</v>
      </c>
      <c r="B2174" s="119" t="s">
        <v>6849</v>
      </c>
      <c r="C2174" s="119" t="s">
        <v>6856</v>
      </c>
      <c r="D2174" s="119" t="s">
        <v>78</v>
      </c>
      <c r="E2174" s="119" t="s">
        <v>6850</v>
      </c>
    </row>
    <row r="2175" spans="1:5" x14ac:dyDescent="0.25">
      <c r="A2175" s="119">
        <v>3587</v>
      </c>
      <c r="B2175" s="119" t="s">
        <v>6849</v>
      </c>
      <c r="C2175" s="119" t="s">
        <v>6856</v>
      </c>
      <c r="D2175" s="119" t="s">
        <v>78</v>
      </c>
      <c r="E2175" s="119" t="s">
        <v>6850</v>
      </c>
    </row>
    <row r="2176" spans="1:5" x14ac:dyDescent="0.25">
      <c r="A2176" s="119">
        <v>3590</v>
      </c>
      <c r="B2176" s="119" t="s">
        <v>6849</v>
      </c>
      <c r="C2176" s="119" t="s">
        <v>6856</v>
      </c>
      <c r="D2176" s="119" t="s">
        <v>78</v>
      </c>
      <c r="E2176" s="119" t="s">
        <v>6850</v>
      </c>
    </row>
    <row r="2177" spans="1:5" x14ac:dyDescent="0.25">
      <c r="A2177" s="119">
        <v>3595</v>
      </c>
      <c r="B2177" s="119" t="s">
        <v>6849</v>
      </c>
      <c r="C2177" s="119" t="s">
        <v>5218</v>
      </c>
      <c r="D2177" s="119" t="s">
        <v>78</v>
      </c>
      <c r="E2177" s="119" t="s">
        <v>6850</v>
      </c>
    </row>
    <row r="2178" spans="1:5" x14ac:dyDescent="0.25">
      <c r="A2178" s="119">
        <v>3634</v>
      </c>
      <c r="B2178" s="119" t="s">
        <v>6849</v>
      </c>
      <c r="C2178" s="119" t="s">
        <v>5218</v>
      </c>
      <c r="D2178" s="119" t="s">
        <v>78</v>
      </c>
      <c r="E2178" s="119" t="s">
        <v>6850</v>
      </c>
    </row>
    <row r="2179" spans="1:5" x14ac:dyDescent="0.25">
      <c r="A2179" s="119">
        <v>3635</v>
      </c>
      <c r="B2179" s="119" t="s">
        <v>6849</v>
      </c>
      <c r="C2179" s="119" t="s">
        <v>5218</v>
      </c>
      <c r="D2179" s="119" t="s">
        <v>78</v>
      </c>
      <c r="E2179" s="119" t="s">
        <v>6850</v>
      </c>
    </row>
    <row r="2180" spans="1:5" x14ac:dyDescent="0.25">
      <c r="A2180" s="119">
        <v>3636</v>
      </c>
      <c r="B2180" s="119" t="s">
        <v>6849</v>
      </c>
      <c r="C2180" s="119" t="s">
        <v>5218</v>
      </c>
      <c r="D2180" s="119" t="s">
        <v>78</v>
      </c>
      <c r="E2180" s="119" t="s">
        <v>6850</v>
      </c>
    </row>
    <row r="2181" spans="1:5" x14ac:dyDescent="0.25">
      <c r="A2181" s="119">
        <v>3637</v>
      </c>
      <c r="B2181" s="119" t="s">
        <v>6849</v>
      </c>
      <c r="C2181" s="119" t="s">
        <v>5218</v>
      </c>
      <c r="D2181" s="119" t="s">
        <v>78</v>
      </c>
      <c r="E2181" s="119" t="s">
        <v>6850</v>
      </c>
    </row>
    <row r="2182" spans="1:5" x14ac:dyDescent="0.25">
      <c r="A2182" s="119">
        <v>3640</v>
      </c>
      <c r="B2182" s="119" t="s">
        <v>6849</v>
      </c>
      <c r="C2182" s="119" t="s">
        <v>5218</v>
      </c>
      <c r="D2182" s="119" t="s">
        <v>78</v>
      </c>
      <c r="E2182" s="119" t="s">
        <v>6850</v>
      </c>
    </row>
    <row r="2183" spans="1:5" x14ac:dyDescent="0.25">
      <c r="A2183" s="119">
        <v>3641</v>
      </c>
      <c r="B2183" s="119" t="s">
        <v>6849</v>
      </c>
      <c r="C2183" s="119" t="s">
        <v>5218</v>
      </c>
      <c r="D2183" s="119" t="s">
        <v>78</v>
      </c>
      <c r="E2183" s="119" t="s">
        <v>6850</v>
      </c>
    </row>
    <row r="2184" spans="1:5" x14ac:dyDescent="0.25">
      <c r="A2184" s="119">
        <v>3642</v>
      </c>
      <c r="B2184" s="119" t="s">
        <v>6849</v>
      </c>
      <c r="C2184" s="119" t="s">
        <v>5218</v>
      </c>
      <c r="D2184" s="119" t="s">
        <v>78</v>
      </c>
      <c r="E2184" s="119" t="s">
        <v>6850</v>
      </c>
    </row>
    <row r="2185" spans="1:5" x14ac:dyDescent="0.25">
      <c r="A2185" s="119">
        <v>3643</v>
      </c>
      <c r="B2185" s="119" t="s">
        <v>6849</v>
      </c>
      <c r="C2185" s="119" t="s">
        <v>5218</v>
      </c>
      <c r="D2185" s="119" t="s">
        <v>78</v>
      </c>
      <c r="E2185" s="119" t="s">
        <v>6850</v>
      </c>
    </row>
    <row r="2186" spans="1:5" x14ac:dyDescent="0.25">
      <c r="A2186" s="119">
        <v>3646</v>
      </c>
      <c r="B2186" s="119" t="s">
        <v>6849</v>
      </c>
      <c r="C2186" s="119" t="s">
        <v>5218</v>
      </c>
      <c r="D2186" s="119" t="s">
        <v>78</v>
      </c>
      <c r="E2186" s="119" t="s">
        <v>6850</v>
      </c>
    </row>
    <row r="2187" spans="1:5" x14ac:dyDescent="0.25">
      <c r="A2187" s="119">
        <v>3647</v>
      </c>
      <c r="B2187" s="119" t="s">
        <v>6849</v>
      </c>
      <c r="C2187" s="119" t="s">
        <v>5218</v>
      </c>
      <c r="D2187" s="119" t="s">
        <v>78</v>
      </c>
      <c r="E2187" s="119" t="s">
        <v>6850</v>
      </c>
    </row>
    <row r="2188" spans="1:5" x14ac:dyDescent="0.25">
      <c r="A2188" s="119">
        <v>3648</v>
      </c>
      <c r="B2188" s="119" t="s">
        <v>6849</v>
      </c>
      <c r="C2188" s="119" t="s">
        <v>5218</v>
      </c>
      <c r="D2188" s="119" t="s">
        <v>78</v>
      </c>
      <c r="E2188" s="119" t="s">
        <v>6850</v>
      </c>
    </row>
    <row r="2189" spans="1:5" x14ac:dyDescent="0.25">
      <c r="A2189" s="119">
        <v>3649</v>
      </c>
      <c r="B2189" s="119" t="s">
        <v>6849</v>
      </c>
      <c r="C2189" s="119" t="s">
        <v>5218</v>
      </c>
      <c r="D2189" s="119" t="s">
        <v>78</v>
      </c>
      <c r="E2189" s="119" t="s">
        <v>6850</v>
      </c>
    </row>
    <row r="2190" spans="1:5" x14ac:dyDescent="0.25">
      <c r="A2190" s="119">
        <v>3654</v>
      </c>
      <c r="B2190" s="119" t="s">
        <v>6849</v>
      </c>
      <c r="C2190" s="119" t="s">
        <v>5218</v>
      </c>
      <c r="D2190" s="119" t="s">
        <v>78</v>
      </c>
      <c r="E2190" s="119" t="s">
        <v>6850</v>
      </c>
    </row>
    <row r="2191" spans="1:5" x14ac:dyDescent="0.25">
      <c r="A2191" s="119">
        <v>3655</v>
      </c>
      <c r="B2191" s="119" t="s">
        <v>6849</v>
      </c>
      <c r="C2191" s="119" t="s">
        <v>5218</v>
      </c>
      <c r="D2191" s="119" t="s">
        <v>78</v>
      </c>
      <c r="E2191" s="119" t="s">
        <v>6850</v>
      </c>
    </row>
    <row r="2192" spans="1:5" x14ac:dyDescent="0.25">
      <c r="A2192" s="119">
        <v>3664</v>
      </c>
      <c r="B2192" s="119" t="s">
        <v>6849</v>
      </c>
      <c r="C2192" s="119" t="s">
        <v>5218</v>
      </c>
      <c r="D2192" s="119" t="s">
        <v>78</v>
      </c>
      <c r="E2192" s="119" t="s">
        <v>6850</v>
      </c>
    </row>
    <row r="2193" spans="1:5" x14ac:dyDescent="0.25">
      <c r="A2193" s="119">
        <v>3665</v>
      </c>
      <c r="B2193" s="119" t="s">
        <v>6849</v>
      </c>
      <c r="C2193" s="119" t="s">
        <v>5218</v>
      </c>
      <c r="D2193" s="119" t="s">
        <v>78</v>
      </c>
      <c r="E2193" s="119" t="s">
        <v>6850</v>
      </c>
    </row>
    <row r="2194" spans="1:5" x14ac:dyDescent="0.25">
      <c r="A2194" s="119">
        <v>3666</v>
      </c>
      <c r="B2194" s="119" t="s">
        <v>6849</v>
      </c>
      <c r="C2194" s="119" t="s">
        <v>5218</v>
      </c>
      <c r="D2194" s="119" t="s">
        <v>78</v>
      </c>
      <c r="E2194" s="119" t="s">
        <v>6850</v>
      </c>
    </row>
    <row r="2195" spans="1:5" x14ac:dyDescent="0.25">
      <c r="A2195" s="119">
        <v>3668</v>
      </c>
      <c r="B2195" s="119" t="s">
        <v>6849</v>
      </c>
      <c r="C2195" s="119" t="s">
        <v>5218</v>
      </c>
      <c r="D2195" s="119" t="s">
        <v>78</v>
      </c>
      <c r="E2195" s="119" t="s">
        <v>6850</v>
      </c>
    </row>
    <row r="2196" spans="1:5" x14ac:dyDescent="0.25">
      <c r="A2196" s="119">
        <v>3670</v>
      </c>
      <c r="B2196" s="119" t="s">
        <v>6849</v>
      </c>
      <c r="C2196" s="119" t="s">
        <v>6856</v>
      </c>
      <c r="D2196" s="119" t="s">
        <v>78</v>
      </c>
      <c r="E2196" s="119" t="s">
        <v>6850</v>
      </c>
    </row>
    <row r="2197" spans="1:5" x14ac:dyDescent="0.25">
      <c r="A2197" s="119">
        <v>3672</v>
      </c>
      <c r="B2197" s="119" t="s">
        <v>6849</v>
      </c>
      <c r="C2197" s="119" t="s">
        <v>6856</v>
      </c>
      <c r="D2197" s="119" t="s">
        <v>78</v>
      </c>
      <c r="E2197" s="119" t="s">
        <v>6850</v>
      </c>
    </row>
    <row r="2198" spans="1:5" x14ac:dyDescent="0.25">
      <c r="A2198" s="119">
        <v>3673</v>
      </c>
      <c r="B2198" s="119" t="s">
        <v>6849</v>
      </c>
      <c r="C2198" s="119" t="s">
        <v>6856</v>
      </c>
      <c r="D2198" s="119" t="s">
        <v>78</v>
      </c>
      <c r="E2198" s="119" t="s">
        <v>6850</v>
      </c>
    </row>
    <row r="2199" spans="1:5" x14ac:dyDescent="0.25">
      <c r="A2199" s="119">
        <v>3675</v>
      </c>
      <c r="B2199" s="119" t="s">
        <v>6849</v>
      </c>
      <c r="C2199" s="119" t="s">
        <v>6856</v>
      </c>
      <c r="D2199" s="119" t="s">
        <v>78</v>
      </c>
      <c r="E2199" s="119" t="s">
        <v>6850</v>
      </c>
    </row>
    <row r="2200" spans="1:5" x14ac:dyDescent="0.25">
      <c r="A2200" s="119">
        <v>3677</v>
      </c>
      <c r="B2200" s="119" t="s">
        <v>6849</v>
      </c>
      <c r="C2200" s="119" t="s">
        <v>6856</v>
      </c>
      <c r="D2200" s="119" t="s">
        <v>78</v>
      </c>
      <c r="E2200" s="119" t="s">
        <v>6850</v>
      </c>
    </row>
    <row r="2201" spans="1:5" x14ac:dyDescent="0.25">
      <c r="A2201" s="119">
        <v>3678</v>
      </c>
      <c r="B2201" s="119" t="s">
        <v>6849</v>
      </c>
      <c r="C2201" s="119" t="s">
        <v>6856</v>
      </c>
      <c r="D2201" s="119" t="s">
        <v>78</v>
      </c>
      <c r="E2201" s="119" t="s">
        <v>6850</v>
      </c>
    </row>
    <row r="2202" spans="1:5" x14ac:dyDescent="0.25">
      <c r="A2202" s="119">
        <v>3679</v>
      </c>
      <c r="B2202" s="119" t="s">
        <v>6849</v>
      </c>
      <c r="C2202" s="119" t="s">
        <v>6856</v>
      </c>
      <c r="D2202" s="119" t="s">
        <v>78</v>
      </c>
      <c r="E2202" s="119" t="s">
        <v>6850</v>
      </c>
    </row>
    <row r="2203" spans="1:5" x14ac:dyDescent="0.25">
      <c r="A2203" s="119">
        <v>3680</v>
      </c>
      <c r="B2203" s="119" t="s">
        <v>6849</v>
      </c>
      <c r="C2203" s="119" t="s">
        <v>6856</v>
      </c>
      <c r="D2203" s="119" t="s">
        <v>78</v>
      </c>
      <c r="E2203" s="119" t="s">
        <v>6850</v>
      </c>
    </row>
    <row r="2204" spans="1:5" x14ac:dyDescent="0.25">
      <c r="A2204" s="119">
        <v>3681</v>
      </c>
      <c r="B2204" s="119" t="s">
        <v>6849</v>
      </c>
      <c r="C2204" s="119" t="s">
        <v>6856</v>
      </c>
      <c r="D2204" s="119" t="s">
        <v>78</v>
      </c>
      <c r="E2204" s="119" t="s">
        <v>6850</v>
      </c>
    </row>
    <row r="2205" spans="1:5" x14ac:dyDescent="0.25">
      <c r="A2205" s="119">
        <v>3683</v>
      </c>
      <c r="B2205" s="119" t="s">
        <v>6849</v>
      </c>
      <c r="C2205" s="119" t="s">
        <v>6856</v>
      </c>
      <c r="D2205" s="119" t="s">
        <v>78</v>
      </c>
      <c r="E2205" s="119" t="s">
        <v>6850</v>
      </c>
    </row>
    <row r="2206" spans="1:5" x14ac:dyDescent="0.25">
      <c r="A2206" s="119">
        <v>3684</v>
      </c>
      <c r="B2206" s="119" t="s">
        <v>6849</v>
      </c>
      <c r="C2206" s="119" t="s">
        <v>6856</v>
      </c>
      <c r="D2206" s="119" t="s">
        <v>78</v>
      </c>
      <c r="E2206" s="119" t="s">
        <v>6850</v>
      </c>
    </row>
    <row r="2207" spans="1:5" x14ac:dyDescent="0.25">
      <c r="A2207" s="119">
        <v>3685</v>
      </c>
      <c r="B2207" s="119" t="s">
        <v>6849</v>
      </c>
      <c r="C2207" s="119" t="s">
        <v>6856</v>
      </c>
      <c r="D2207" s="119" t="s">
        <v>78</v>
      </c>
      <c r="E2207" s="119" t="s">
        <v>6850</v>
      </c>
    </row>
    <row r="2208" spans="1:5" x14ac:dyDescent="0.25">
      <c r="A2208" s="119">
        <v>3686</v>
      </c>
      <c r="B2208" s="119" t="s">
        <v>6849</v>
      </c>
      <c r="C2208" s="119" t="s">
        <v>6856</v>
      </c>
      <c r="D2208" s="119" t="s">
        <v>78</v>
      </c>
      <c r="E2208" s="119" t="s">
        <v>6850</v>
      </c>
    </row>
    <row r="2209" spans="1:5" x14ac:dyDescent="0.25">
      <c r="A2209" s="119">
        <v>3687</v>
      </c>
      <c r="B2209" s="119" t="s">
        <v>6849</v>
      </c>
      <c r="C2209" s="119" t="s">
        <v>6856</v>
      </c>
      <c r="D2209" s="119" t="s">
        <v>78</v>
      </c>
      <c r="E2209" s="119" t="s">
        <v>6850</v>
      </c>
    </row>
    <row r="2210" spans="1:5" x14ac:dyDescent="0.25">
      <c r="A2210" s="119">
        <v>3689</v>
      </c>
      <c r="B2210" s="119" t="s">
        <v>6849</v>
      </c>
      <c r="C2210" s="119" t="s">
        <v>6856</v>
      </c>
      <c r="D2210" s="119" t="s">
        <v>78</v>
      </c>
      <c r="E2210" s="119" t="s">
        <v>6850</v>
      </c>
    </row>
    <row r="2211" spans="1:5" x14ac:dyDescent="0.25">
      <c r="A2211" s="119">
        <v>3690</v>
      </c>
      <c r="B2211" s="119" t="s">
        <v>6849</v>
      </c>
      <c r="C2211" s="119" t="s">
        <v>6856</v>
      </c>
      <c r="D2211" s="119" t="s">
        <v>78</v>
      </c>
      <c r="E2211" s="119" t="s">
        <v>6850</v>
      </c>
    </row>
    <row r="2212" spans="1:5" x14ac:dyDescent="0.25">
      <c r="A2212" s="119">
        <v>3692</v>
      </c>
      <c r="B2212" s="119" t="s">
        <v>6849</v>
      </c>
      <c r="C2212" s="119" t="s">
        <v>6857</v>
      </c>
      <c r="D2212" s="119" t="s">
        <v>47</v>
      </c>
      <c r="E2212" s="119" t="s">
        <v>6850</v>
      </c>
    </row>
    <row r="2213" spans="1:5" x14ac:dyDescent="0.25">
      <c r="A2213" s="119">
        <v>3694</v>
      </c>
      <c r="B2213" s="119" t="s">
        <v>6849</v>
      </c>
      <c r="C2213" s="119" t="s">
        <v>6856</v>
      </c>
      <c r="D2213" s="119" t="s">
        <v>78</v>
      </c>
      <c r="E2213" s="119" t="s">
        <v>6850</v>
      </c>
    </row>
    <row r="2214" spans="1:5" x14ac:dyDescent="0.25">
      <c r="A2214" s="119">
        <v>3696</v>
      </c>
      <c r="B2214" s="119" t="s">
        <v>6849</v>
      </c>
      <c r="C2214" s="119" t="s">
        <v>6856</v>
      </c>
      <c r="D2214" s="119" t="s">
        <v>78</v>
      </c>
      <c r="E2214" s="119" t="s">
        <v>6850</v>
      </c>
    </row>
    <row r="2215" spans="1:5" x14ac:dyDescent="0.25">
      <c r="A2215" s="119">
        <v>3697</v>
      </c>
      <c r="B2215" s="119" t="s">
        <v>6849</v>
      </c>
      <c r="C2215" s="119" t="s">
        <v>6856</v>
      </c>
      <c r="D2215" s="119" t="s">
        <v>78</v>
      </c>
      <c r="E2215" s="119" t="s">
        <v>6850</v>
      </c>
    </row>
    <row r="2216" spans="1:5" x14ac:dyDescent="0.25">
      <c r="A2216" s="119">
        <v>3698</v>
      </c>
      <c r="B2216" s="119" t="s">
        <v>6849</v>
      </c>
      <c r="C2216" s="119" t="s">
        <v>5218</v>
      </c>
      <c r="D2216" s="119" t="s">
        <v>78</v>
      </c>
      <c r="E2216" s="119" t="s">
        <v>6850</v>
      </c>
    </row>
    <row r="2217" spans="1:5" x14ac:dyDescent="0.25">
      <c r="A2217" s="119">
        <v>3699</v>
      </c>
      <c r="B2217" s="119" t="s">
        <v>6849</v>
      </c>
      <c r="C2217" s="119" t="s">
        <v>5218</v>
      </c>
      <c r="D2217" s="119" t="s">
        <v>78</v>
      </c>
      <c r="E2217" s="119" t="s">
        <v>6850</v>
      </c>
    </row>
    <row r="2218" spans="1:5" x14ac:dyDescent="0.25">
      <c r="A2218" s="119">
        <v>3701</v>
      </c>
      <c r="B2218" s="119" t="s">
        <v>6849</v>
      </c>
      <c r="C2218" s="119" t="s">
        <v>6856</v>
      </c>
      <c r="D2218" s="119" t="s">
        <v>78</v>
      </c>
      <c r="E2218" s="119" t="s">
        <v>6850</v>
      </c>
    </row>
    <row r="2219" spans="1:5" x14ac:dyDescent="0.25">
      <c r="A2219" s="119">
        <v>3702</v>
      </c>
      <c r="B2219" s="119" t="s">
        <v>6849</v>
      </c>
      <c r="C2219" s="119" t="s">
        <v>6856</v>
      </c>
      <c r="D2219" s="119" t="s">
        <v>78</v>
      </c>
      <c r="E2219" s="119" t="s">
        <v>6850</v>
      </c>
    </row>
    <row r="2220" spans="1:5" x14ac:dyDescent="0.25">
      <c r="A2220" s="119">
        <v>3703</v>
      </c>
      <c r="B2220" s="119" t="s">
        <v>6849</v>
      </c>
      <c r="C2220" s="119" t="s">
        <v>6856</v>
      </c>
      <c r="D2220" s="119" t="s">
        <v>78</v>
      </c>
      <c r="E2220" s="119" t="s">
        <v>6850</v>
      </c>
    </row>
    <row r="2221" spans="1:5" x14ac:dyDescent="0.25">
      <c r="A2221" s="119">
        <v>3704</v>
      </c>
      <c r="B2221" s="119" t="s">
        <v>6849</v>
      </c>
      <c r="C2221" s="119" t="s">
        <v>6856</v>
      </c>
      <c r="D2221" s="119" t="s">
        <v>78</v>
      </c>
      <c r="E2221" s="119" t="s">
        <v>6850</v>
      </c>
    </row>
    <row r="2222" spans="1:5" x14ac:dyDescent="0.25">
      <c r="A2222" s="119">
        <v>3705</v>
      </c>
      <c r="B2222" s="119" t="s">
        <v>6849</v>
      </c>
      <c r="C2222" s="119" t="s">
        <v>6856</v>
      </c>
      <c r="D2222" s="119" t="s">
        <v>78</v>
      </c>
      <c r="E2222" s="119" t="s">
        <v>6850</v>
      </c>
    </row>
    <row r="2223" spans="1:5" x14ac:dyDescent="0.25">
      <c r="A2223" s="119">
        <v>3707</v>
      </c>
      <c r="B2223" s="119" t="s">
        <v>6849</v>
      </c>
      <c r="C2223" s="119" t="s">
        <v>6856</v>
      </c>
      <c r="D2223" s="119" t="s">
        <v>78</v>
      </c>
      <c r="E2223" s="119" t="s">
        <v>6850</v>
      </c>
    </row>
    <row r="2224" spans="1:5" x14ac:dyDescent="0.25">
      <c r="A2224" s="119">
        <v>3708</v>
      </c>
      <c r="B2224" s="119" t="s">
        <v>6849</v>
      </c>
      <c r="C2224" s="119" t="s">
        <v>6856</v>
      </c>
      <c r="D2224" s="119" t="s">
        <v>78</v>
      </c>
      <c r="E2224" s="119" t="s">
        <v>6850</v>
      </c>
    </row>
    <row r="2225" spans="1:5" x14ac:dyDescent="0.25">
      <c r="A2225" s="119">
        <v>3710</v>
      </c>
      <c r="B2225" s="119" t="s">
        <v>6849</v>
      </c>
      <c r="C2225" s="119" t="s">
        <v>6857</v>
      </c>
      <c r="D2225" s="119" t="s">
        <v>47</v>
      </c>
      <c r="E2225" s="119" t="s">
        <v>6850</v>
      </c>
    </row>
    <row r="2226" spans="1:5" x14ac:dyDescent="0.25">
      <c r="A2226" s="119">
        <v>3712</v>
      </c>
      <c r="B2226" s="119" t="s">
        <v>6849</v>
      </c>
      <c r="C2226" s="119" t="s">
        <v>6856</v>
      </c>
      <c r="D2226" s="119" t="s">
        <v>78</v>
      </c>
      <c r="E2226" s="119" t="s">
        <v>6850</v>
      </c>
    </row>
    <row r="2227" spans="1:5" x14ac:dyDescent="0.25">
      <c r="A2227" s="119">
        <v>3714</v>
      </c>
      <c r="B2227" s="119" t="s">
        <v>6849</v>
      </c>
      <c r="C2227" s="119" t="s">
        <v>5218</v>
      </c>
      <c r="D2227" s="119" t="s">
        <v>78</v>
      </c>
      <c r="E2227" s="119" t="s">
        <v>6850</v>
      </c>
    </row>
    <row r="2228" spans="1:5" x14ac:dyDescent="0.25">
      <c r="A2228" s="119">
        <v>3715</v>
      </c>
      <c r="B2228" s="119" t="s">
        <v>6849</v>
      </c>
      <c r="C2228" s="119" t="s">
        <v>6856</v>
      </c>
      <c r="D2228" s="119" t="s">
        <v>78</v>
      </c>
      <c r="E2228" s="119" t="s">
        <v>6850</v>
      </c>
    </row>
    <row r="2229" spans="1:5" x14ac:dyDescent="0.25">
      <c r="A2229" s="119">
        <v>3716</v>
      </c>
      <c r="B2229" s="119" t="s">
        <v>6849</v>
      </c>
      <c r="C2229" s="119" t="s">
        <v>5218</v>
      </c>
      <c r="D2229" s="119" t="s">
        <v>78</v>
      </c>
      <c r="E2229" s="119" t="s">
        <v>6850</v>
      </c>
    </row>
    <row r="2230" spans="1:5" x14ac:dyDescent="0.25">
      <c r="A2230" s="119">
        <v>3717</v>
      </c>
      <c r="B2230" s="119" t="s">
        <v>6849</v>
      </c>
      <c r="C2230" s="119" t="s">
        <v>6856</v>
      </c>
      <c r="D2230" s="119" t="s">
        <v>78</v>
      </c>
      <c r="E2230" s="119" t="s">
        <v>6850</v>
      </c>
    </row>
    <row r="2231" spans="1:5" x14ac:dyDescent="0.25">
      <c r="A2231" s="119">
        <v>3718</v>
      </c>
      <c r="B2231" s="119" t="s">
        <v>6849</v>
      </c>
      <c r="C2231" s="119" t="s">
        <v>6856</v>
      </c>
      <c r="D2231" s="119" t="s">
        <v>78</v>
      </c>
      <c r="E2231" s="119" t="s">
        <v>6850</v>
      </c>
    </row>
    <row r="2232" spans="1:5" x14ac:dyDescent="0.25">
      <c r="A2232" s="119">
        <v>3720</v>
      </c>
      <c r="B2232" s="119" t="s">
        <v>6849</v>
      </c>
      <c r="C2232" s="119" t="s">
        <v>6856</v>
      </c>
      <c r="D2232" s="119" t="s">
        <v>78</v>
      </c>
      <c r="E2232" s="119" t="s">
        <v>6850</v>
      </c>
    </row>
    <row r="2233" spans="1:5" x14ac:dyDescent="0.25">
      <c r="A2233" s="119">
        <v>3721</v>
      </c>
      <c r="B2233" s="119" t="s">
        <v>6849</v>
      </c>
      <c r="C2233" s="119" t="s">
        <v>6856</v>
      </c>
      <c r="D2233" s="119" t="s">
        <v>78</v>
      </c>
      <c r="E2233" s="119" t="s">
        <v>6850</v>
      </c>
    </row>
    <row r="2234" spans="1:5" x14ac:dyDescent="0.25">
      <c r="A2234" s="119">
        <v>3722</v>
      </c>
      <c r="B2234" s="119" t="s">
        <v>6849</v>
      </c>
      <c r="C2234" s="119" t="s">
        <v>6856</v>
      </c>
      <c r="D2234" s="119" t="s">
        <v>78</v>
      </c>
      <c r="E2234" s="119" t="s">
        <v>6850</v>
      </c>
    </row>
    <row r="2235" spans="1:5" x14ac:dyDescent="0.25">
      <c r="A2235" s="119">
        <v>3723</v>
      </c>
      <c r="B2235" s="119" t="s">
        <v>6849</v>
      </c>
      <c r="C2235" s="119" t="s">
        <v>6856</v>
      </c>
      <c r="D2235" s="119" t="s">
        <v>78</v>
      </c>
      <c r="E2235" s="119" t="s">
        <v>6850</v>
      </c>
    </row>
    <row r="2236" spans="1:5" x14ac:dyDescent="0.25">
      <c r="A2236" s="119">
        <v>3724</v>
      </c>
      <c r="B2236" s="119" t="s">
        <v>6849</v>
      </c>
      <c r="C2236" s="119" t="s">
        <v>6856</v>
      </c>
      <c r="D2236" s="119" t="s">
        <v>78</v>
      </c>
      <c r="E2236" s="119" t="s">
        <v>6850</v>
      </c>
    </row>
    <row r="2237" spans="1:5" x14ac:dyDescent="0.25">
      <c r="A2237" s="119">
        <v>3726</v>
      </c>
      <c r="B2237" s="119" t="s">
        <v>6849</v>
      </c>
      <c r="C2237" s="119" t="s">
        <v>6856</v>
      </c>
      <c r="D2237" s="119" t="s">
        <v>78</v>
      </c>
      <c r="E2237" s="119" t="s">
        <v>6850</v>
      </c>
    </row>
    <row r="2238" spans="1:5" x14ac:dyDescent="0.25">
      <c r="A2238" s="119">
        <v>3727</v>
      </c>
      <c r="B2238" s="119" t="s">
        <v>6849</v>
      </c>
      <c r="C2238" s="119" t="s">
        <v>6856</v>
      </c>
      <c r="D2238" s="119" t="s">
        <v>78</v>
      </c>
      <c r="E2238" s="119" t="s">
        <v>6850</v>
      </c>
    </row>
    <row r="2239" spans="1:5" x14ac:dyDescent="0.25">
      <c r="A2239" s="119">
        <v>3729</v>
      </c>
      <c r="B2239" s="119" t="s">
        <v>6849</v>
      </c>
      <c r="C2239" s="119" t="s">
        <v>6857</v>
      </c>
      <c r="D2239" s="119" t="s">
        <v>47</v>
      </c>
      <c r="E2239" s="119" t="s">
        <v>6850</v>
      </c>
    </row>
    <row r="2240" spans="1:5" x14ac:dyDescent="0.25">
      <c r="A2240" s="119">
        <v>3731</v>
      </c>
      <c r="B2240" s="119" t="s">
        <v>6849</v>
      </c>
      <c r="C2240" s="119" t="s">
        <v>6856</v>
      </c>
      <c r="D2240" s="119" t="s">
        <v>78</v>
      </c>
      <c r="E2240" s="119" t="s">
        <v>6850</v>
      </c>
    </row>
    <row r="2241" spans="1:5" x14ac:dyDescent="0.25">
      <c r="A2241" s="119">
        <v>3732</v>
      </c>
      <c r="B2241" s="119" t="s">
        <v>6849</v>
      </c>
      <c r="C2241" s="119" t="s">
        <v>6856</v>
      </c>
      <c r="D2241" s="119" t="s">
        <v>78</v>
      </c>
      <c r="E2241" s="119" t="s">
        <v>6850</v>
      </c>
    </row>
    <row r="2242" spans="1:5" x14ac:dyDescent="0.25">
      <c r="A2242" s="119">
        <v>3733</v>
      </c>
      <c r="B2242" s="119" t="s">
        <v>6849</v>
      </c>
      <c r="C2242" s="119" t="s">
        <v>5218</v>
      </c>
      <c r="D2242" s="119" t="s">
        <v>78</v>
      </c>
      <c r="E2242" s="119" t="s">
        <v>6850</v>
      </c>
    </row>
    <row r="2243" spans="1:5" x14ac:dyDescent="0.25">
      <c r="A2243" s="119">
        <v>3734</v>
      </c>
      <c r="B2243" s="119" t="s">
        <v>6849</v>
      </c>
      <c r="C2243" s="119" t="s">
        <v>5218</v>
      </c>
      <c r="D2243" s="119" t="s">
        <v>78</v>
      </c>
      <c r="E2243" s="119" t="s">
        <v>6850</v>
      </c>
    </row>
    <row r="2244" spans="1:5" x14ac:dyDescent="0.25">
      <c r="A2244" s="119">
        <v>3735</v>
      </c>
      <c r="B2244" s="119" t="s">
        <v>6849</v>
      </c>
      <c r="C2244" s="119" t="s">
        <v>6856</v>
      </c>
      <c r="D2244" s="119" t="s">
        <v>78</v>
      </c>
      <c r="E2244" s="119" t="s">
        <v>6850</v>
      </c>
    </row>
    <row r="2245" spans="1:5" x14ac:dyDescent="0.25">
      <c r="A2245" s="119">
        <v>3737</v>
      </c>
      <c r="B2245" s="119" t="s">
        <v>6849</v>
      </c>
      <c r="C2245" s="119" t="s">
        <v>6856</v>
      </c>
      <c r="D2245" s="119" t="s">
        <v>78</v>
      </c>
      <c r="E2245" s="119" t="s">
        <v>6850</v>
      </c>
    </row>
    <row r="2246" spans="1:5" x14ac:dyDescent="0.25">
      <c r="A2246" s="119">
        <v>3738</v>
      </c>
      <c r="B2246" s="119" t="s">
        <v>6849</v>
      </c>
      <c r="C2246" s="119" t="s">
        <v>6856</v>
      </c>
      <c r="D2246" s="119" t="s">
        <v>78</v>
      </c>
      <c r="E2246" s="119" t="s">
        <v>6850</v>
      </c>
    </row>
    <row r="2247" spans="1:5" x14ac:dyDescent="0.25">
      <c r="A2247" s="119">
        <v>3739</v>
      </c>
      <c r="B2247" s="119" t="s">
        <v>6849</v>
      </c>
      <c r="C2247" s="119" t="s">
        <v>6856</v>
      </c>
      <c r="D2247" s="119" t="s">
        <v>78</v>
      </c>
      <c r="E2247" s="119" t="s">
        <v>6850</v>
      </c>
    </row>
    <row r="2248" spans="1:5" x14ac:dyDescent="0.25">
      <c r="A2248" s="119">
        <v>3740</v>
      </c>
      <c r="B2248" s="119" t="s">
        <v>6849</v>
      </c>
      <c r="C2248" s="119" t="s">
        <v>6856</v>
      </c>
      <c r="D2248" s="119" t="s">
        <v>78</v>
      </c>
      <c r="E2248" s="119" t="s">
        <v>6850</v>
      </c>
    </row>
    <row r="2249" spans="1:5" x14ac:dyDescent="0.25">
      <c r="A2249" s="119">
        <v>3741</v>
      </c>
      <c r="B2249" s="119" t="s">
        <v>6849</v>
      </c>
      <c r="C2249" s="119" t="s">
        <v>6856</v>
      </c>
      <c r="D2249" s="119" t="s">
        <v>78</v>
      </c>
      <c r="E2249" s="119" t="s">
        <v>6850</v>
      </c>
    </row>
    <row r="2250" spans="1:5" x14ac:dyDescent="0.25">
      <c r="A2250" s="119">
        <v>3743</v>
      </c>
      <c r="B2250" s="119" t="s">
        <v>6849</v>
      </c>
      <c r="C2250" s="119" t="s">
        <v>6856</v>
      </c>
      <c r="D2250" s="119" t="s">
        <v>78</v>
      </c>
      <c r="E2250" s="119" t="s">
        <v>6850</v>
      </c>
    </row>
    <row r="2251" spans="1:5" x14ac:dyDescent="0.25">
      <c r="A2251" s="119">
        <v>3744</v>
      </c>
      <c r="B2251" s="119" t="s">
        <v>6849</v>
      </c>
      <c r="C2251" s="119" t="s">
        <v>6856</v>
      </c>
      <c r="D2251" s="119" t="s">
        <v>78</v>
      </c>
      <c r="E2251" s="119" t="s">
        <v>6850</v>
      </c>
    </row>
    <row r="2252" spans="1:5" x14ac:dyDescent="0.25">
      <c r="A2252" s="119">
        <v>3746</v>
      </c>
      <c r="B2252" s="119" t="s">
        <v>6849</v>
      </c>
      <c r="C2252" s="119" t="s">
        <v>6857</v>
      </c>
      <c r="D2252" s="119" t="s">
        <v>47</v>
      </c>
      <c r="E2252" s="119" t="s">
        <v>6850</v>
      </c>
    </row>
    <row r="2253" spans="1:5" x14ac:dyDescent="0.25">
      <c r="A2253" s="119">
        <v>3748</v>
      </c>
      <c r="B2253" s="119" t="s">
        <v>6849</v>
      </c>
      <c r="C2253" s="119" t="s">
        <v>6856</v>
      </c>
      <c r="D2253" s="119" t="s">
        <v>78</v>
      </c>
      <c r="E2253" s="119" t="s">
        <v>6850</v>
      </c>
    </row>
    <row r="2254" spans="1:5" x14ac:dyDescent="0.25">
      <c r="A2254" s="119">
        <v>3749</v>
      </c>
      <c r="B2254" s="119" t="s">
        <v>6849</v>
      </c>
      <c r="C2254" s="119" t="s">
        <v>6856</v>
      </c>
      <c r="D2254" s="119" t="s">
        <v>78</v>
      </c>
      <c r="E2254" s="119" t="s">
        <v>6850</v>
      </c>
    </row>
    <row r="2255" spans="1:5" x14ac:dyDescent="0.25">
      <c r="A2255" s="119">
        <v>3750</v>
      </c>
      <c r="B2255" s="119" t="s">
        <v>6849</v>
      </c>
      <c r="C2255" s="119" t="s">
        <v>6856</v>
      </c>
      <c r="D2255" s="119" t="s">
        <v>78</v>
      </c>
      <c r="E2255" s="119" t="s">
        <v>6850</v>
      </c>
    </row>
    <row r="2256" spans="1:5" x14ac:dyDescent="0.25">
      <c r="A2256" s="119">
        <v>3751</v>
      </c>
      <c r="B2256" s="119" t="s">
        <v>6849</v>
      </c>
      <c r="C2256" s="119" t="s">
        <v>6856</v>
      </c>
      <c r="D2256" s="119" t="s">
        <v>78</v>
      </c>
      <c r="E2256" s="119" t="s">
        <v>6850</v>
      </c>
    </row>
    <row r="2257" spans="1:5" x14ac:dyDescent="0.25">
      <c r="A2257" s="119">
        <v>3752</v>
      </c>
      <c r="B2257" s="119" t="s">
        <v>6849</v>
      </c>
      <c r="C2257" s="119" t="s">
        <v>6856</v>
      </c>
      <c r="D2257" s="119" t="s">
        <v>78</v>
      </c>
      <c r="E2257" s="119" t="s">
        <v>6850</v>
      </c>
    </row>
    <row r="2258" spans="1:5" x14ac:dyDescent="0.25">
      <c r="A2258" s="119">
        <v>3753</v>
      </c>
      <c r="B2258" s="119" t="s">
        <v>6849</v>
      </c>
      <c r="C2258" s="119" t="s">
        <v>6856</v>
      </c>
      <c r="D2258" s="119" t="s">
        <v>78</v>
      </c>
      <c r="E2258" s="119" t="s">
        <v>6850</v>
      </c>
    </row>
    <row r="2259" spans="1:5" x14ac:dyDescent="0.25">
      <c r="A2259" s="119">
        <v>3755</v>
      </c>
      <c r="B2259" s="119" t="s">
        <v>6849</v>
      </c>
      <c r="C2259" s="119" t="s">
        <v>6856</v>
      </c>
      <c r="D2259" s="119" t="s">
        <v>78</v>
      </c>
      <c r="E2259" s="119" t="s">
        <v>6850</v>
      </c>
    </row>
    <row r="2260" spans="1:5" x14ac:dyDescent="0.25">
      <c r="A2260" s="119">
        <v>3756</v>
      </c>
      <c r="B2260" s="119" t="s">
        <v>6849</v>
      </c>
      <c r="C2260" s="119" t="s">
        <v>6856</v>
      </c>
      <c r="D2260" s="119" t="s">
        <v>78</v>
      </c>
      <c r="E2260" s="119" t="s">
        <v>6850</v>
      </c>
    </row>
    <row r="2261" spans="1:5" x14ac:dyDescent="0.25">
      <c r="A2261" s="119">
        <v>3757</v>
      </c>
      <c r="B2261" s="119" t="s">
        <v>6849</v>
      </c>
      <c r="C2261" s="119" t="s">
        <v>6856</v>
      </c>
      <c r="D2261" s="119" t="s">
        <v>78</v>
      </c>
      <c r="E2261" s="119" t="s">
        <v>6850</v>
      </c>
    </row>
    <row r="2262" spans="1:5" x14ac:dyDescent="0.25">
      <c r="A2262" s="119">
        <v>3758</v>
      </c>
      <c r="B2262" s="119" t="s">
        <v>6849</v>
      </c>
      <c r="C2262" s="119" t="s">
        <v>6856</v>
      </c>
      <c r="D2262" s="119" t="s">
        <v>78</v>
      </c>
      <c r="E2262" s="119" t="s">
        <v>6850</v>
      </c>
    </row>
    <row r="2263" spans="1:5" x14ac:dyDescent="0.25">
      <c r="A2263" s="119">
        <v>3759</v>
      </c>
      <c r="B2263" s="119" t="s">
        <v>6849</v>
      </c>
      <c r="C2263" s="119" t="s">
        <v>6856</v>
      </c>
      <c r="D2263" s="119" t="s">
        <v>78</v>
      </c>
      <c r="E2263" s="119" t="s">
        <v>6850</v>
      </c>
    </row>
    <row r="2264" spans="1:5" x14ac:dyDescent="0.25">
      <c r="A2264" s="119">
        <v>3760</v>
      </c>
      <c r="B2264" s="119" t="s">
        <v>6849</v>
      </c>
      <c r="C2264" s="119" t="s">
        <v>6856</v>
      </c>
      <c r="D2264" s="119" t="s">
        <v>78</v>
      </c>
      <c r="E2264" s="119" t="s">
        <v>6850</v>
      </c>
    </row>
    <row r="2265" spans="1:5" x14ac:dyDescent="0.25">
      <c r="A2265" s="119">
        <v>3762</v>
      </c>
      <c r="B2265" s="119" t="s">
        <v>6849</v>
      </c>
      <c r="C2265" s="119" t="s">
        <v>6856</v>
      </c>
      <c r="D2265" s="119" t="s">
        <v>78</v>
      </c>
      <c r="E2265" s="119" t="s">
        <v>6850</v>
      </c>
    </row>
    <row r="2266" spans="1:5" x14ac:dyDescent="0.25">
      <c r="A2266" s="119">
        <v>3763</v>
      </c>
      <c r="B2266" s="119" t="s">
        <v>6849</v>
      </c>
      <c r="C2266" s="119" t="s">
        <v>6856</v>
      </c>
      <c r="D2266" s="119" t="s">
        <v>78</v>
      </c>
      <c r="E2266" s="119" t="s">
        <v>6850</v>
      </c>
    </row>
    <row r="2267" spans="1:5" x14ac:dyDescent="0.25">
      <c r="A2267" s="119">
        <v>3764</v>
      </c>
      <c r="B2267" s="119" t="s">
        <v>6849</v>
      </c>
      <c r="C2267" s="119" t="s">
        <v>6856</v>
      </c>
      <c r="D2267" s="119" t="s">
        <v>78</v>
      </c>
      <c r="E2267" s="119" t="s">
        <v>6850</v>
      </c>
    </row>
    <row r="2268" spans="1:5" x14ac:dyDescent="0.25">
      <c r="A2268" s="119">
        <v>3765</v>
      </c>
      <c r="B2268" s="119" t="s">
        <v>6849</v>
      </c>
      <c r="C2268" s="119" t="s">
        <v>6856</v>
      </c>
      <c r="D2268" s="119" t="s">
        <v>78</v>
      </c>
      <c r="E2268" s="119" t="s">
        <v>6850</v>
      </c>
    </row>
    <row r="2269" spans="1:5" x14ac:dyDescent="0.25">
      <c r="A2269" s="119">
        <v>3766</v>
      </c>
      <c r="B2269" s="119" t="s">
        <v>6849</v>
      </c>
      <c r="C2269" s="119" t="s">
        <v>6856</v>
      </c>
      <c r="D2269" s="119" t="s">
        <v>78</v>
      </c>
      <c r="E2269" s="119" t="s">
        <v>6850</v>
      </c>
    </row>
    <row r="2270" spans="1:5" x14ac:dyDescent="0.25">
      <c r="A2270" s="119">
        <v>3767</v>
      </c>
      <c r="B2270" s="119" t="s">
        <v>6849</v>
      </c>
      <c r="C2270" s="119" t="s">
        <v>6856</v>
      </c>
      <c r="D2270" s="119" t="s">
        <v>78</v>
      </c>
      <c r="E2270" s="119" t="s">
        <v>6850</v>
      </c>
    </row>
    <row r="2271" spans="1:5" x14ac:dyDescent="0.25">
      <c r="A2271" s="119">
        <v>3769</v>
      </c>
      <c r="B2271" s="119" t="s">
        <v>6849</v>
      </c>
      <c r="C2271" s="119" t="s">
        <v>5218</v>
      </c>
      <c r="D2271" s="119" t="s">
        <v>78</v>
      </c>
      <c r="E2271" s="119" t="s">
        <v>6850</v>
      </c>
    </row>
    <row r="2272" spans="1:5" x14ac:dyDescent="0.25">
      <c r="A2272" s="119">
        <v>3770</v>
      </c>
      <c r="B2272" s="119" t="s">
        <v>6849</v>
      </c>
      <c r="C2272" s="119" t="s">
        <v>6392</v>
      </c>
      <c r="D2272" s="119" t="s">
        <v>576</v>
      </c>
      <c r="E2272" s="119" t="s">
        <v>6850</v>
      </c>
    </row>
    <row r="2273" spans="1:5" x14ac:dyDescent="0.25">
      <c r="A2273" s="119">
        <v>3771</v>
      </c>
      <c r="B2273" s="119" t="s">
        <v>6849</v>
      </c>
      <c r="C2273" s="119" t="s">
        <v>6856</v>
      </c>
      <c r="D2273" s="119" t="s">
        <v>78</v>
      </c>
      <c r="E2273" s="119" t="s">
        <v>6850</v>
      </c>
    </row>
    <row r="2274" spans="1:5" x14ac:dyDescent="0.25">
      <c r="A2274" s="119">
        <v>3786</v>
      </c>
      <c r="B2274" s="119" t="s">
        <v>6849</v>
      </c>
      <c r="C2274" s="119" t="s">
        <v>6856</v>
      </c>
      <c r="D2274" s="119" t="s">
        <v>78</v>
      </c>
      <c r="E2274" s="119" t="s">
        <v>6850</v>
      </c>
    </row>
    <row r="2275" spans="1:5" x14ac:dyDescent="0.25">
      <c r="A2275" s="119">
        <v>3788</v>
      </c>
      <c r="B2275" s="119" t="s">
        <v>6849</v>
      </c>
      <c r="C2275" s="119" t="s">
        <v>6856</v>
      </c>
      <c r="D2275" s="119" t="s">
        <v>78</v>
      </c>
      <c r="E2275" s="119" t="s">
        <v>6850</v>
      </c>
    </row>
    <row r="2276" spans="1:5" x14ac:dyDescent="0.25">
      <c r="A2276" s="119">
        <v>3790</v>
      </c>
      <c r="B2276" s="119" t="s">
        <v>6849</v>
      </c>
      <c r="C2276" s="119" t="s">
        <v>6856</v>
      </c>
      <c r="D2276" s="119" t="s">
        <v>78</v>
      </c>
      <c r="E2276" s="119" t="s">
        <v>6850</v>
      </c>
    </row>
    <row r="2277" spans="1:5" x14ac:dyDescent="0.25">
      <c r="A2277" s="119">
        <v>3792</v>
      </c>
      <c r="B2277" s="119" t="s">
        <v>6849</v>
      </c>
      <c r="C2277" s="119" t="s">
        <v>6857</v>
      </c>
      <c r="D2277" s="119" t="s">
        <v>47</v>
      </c>
      <c r="E2277" s="119" t="s">
        <v>6850</v>
      </c>
    </row>
    <row r="2278" spans="1:5" x14ac:dyDescent="0.25">
      <c r="A2278" s="119">
        <v>3794</v>
      </c>
      <c r="B2278" s="119" t="s">
        <v>6849</v>
      </c>
      <c r="C2278" s="119" t="s">
        <v>6856</v>
      </c>
      <c r="D2278" s="119" t="s">
        <v>78</v>
      </c>
      <c r="E2278" s="119" t="s">
        <v>6850</v>
      </c>
    </row>
    <row r="2279" spans="1:5" x14ac:dyDescent="0.25">
      <c r="A2279" s="119">
        <v>3795</v>
      </c>
      <c r="B2279" s="119" t="s">
        <v>6849</v>
      </c>
      <c r="C2279" s="119" t="s">
        <v>6856</v>
      </c>
      <c r="D2279" s="119" t="s">
        <v>78</v>
      </c>
      <c r="E2279" s="119" t="s">
        <v>6850</v>
      </c>
    </row>
    <row r="2280" spans="1:5" x14ac:dyDescent="0.25">
      <c r="A2280" s="119">
        <v>3797</v>
      </c>
      <c r="B2280" s="119" t="s">
        <v>6849</v>
      </c>
      <c r="C2280" s="119" t="s">
        <v>6856</v>
      </c>
      <c r="D2280" s="119" t="s">
        <v>78</v>
      </c>
      <c r="E2280" s="119" t="s">
        <v>6850</v>
      </c>
    </row>
    <row r="2281" spans="1:5" x14ac:dyDescent="0.25">
      <c r="A2281" s="119">
        <v>3798</v>
      </c>
      <c r="B2281" s="119" t="s">
        <v>6849</v>
      </c>
      <c r="C2281" s="119" t="s">
        <v>6856</v>
      </c>
      <c r="D2281" s="119" t="s">
        <v>78</v>
      </c>
      <c r="E2281" s="119" t="s">
        <v>6850</v>
      </c>
    </row>
    <row r="2282" spans="1:5" x14ac:dyDescent="0.25">
      <c r="A2282" s="119">
        <v>3799</v>
      </c>
      <c r="B2282" s="119" t="s">
        <v>6849</v>
      </c>
      <c r="C2282" s="119" t="s">
        <v>6856</v>
      </c>
      <c r="D2282" s="119" t="s">
        <v>78</v>
      </c>
      <c r="E2282" s="119" t="s">
        <v>6850</v>
      </c>
    </row>
    <row r="2283" spans="1:5" x14ac:dyDescent="0.25">
      <c r="A2283" s="119">
        <v>3800</v>
      </c>
      <c r="B2283" s="119" t="s">
        <v>6849</v>
      </c>
      <c r="C2283" s="119" t="s">
        <v>6856</v>
      </c>
      <c r="D2283" s="119" t="s">
        <v>78</v>
      </c>
      <c r="E2283" s="119" t="s">
        <v>6850</v>
      </c>
    </row>
    <row r="2284" spans="1:5" x14ac:dyDescent="0.25">
      <c r="A2284" s="119">
        <v>3801</v>
      </c>
      <c r="B2284" s="119" t="s">
        <v>6849</v>
      </c>
      <c r="C2284" s="119" t="s">
        <v>6856</v>
      </c>
      <c r="D2284" s="119" t="s">
        <v>78</v>
      </c>
      <c r="E2284" s="119" t="s">
        <v>6850</v>
      </c>
    </row>
    <row r="2285" spans="1:5" x14ac:dyDescent="0.25">
      <c r="A2285" s="119">
        <v>3806</v>
      </c>
      <c r="B2285" s="119" t="s">
        <v>6849</v>
      </c>
      <c r="C2285" s="119" t="s">
        <v>6856</v>
      </c>
      <c r="D2285" s="119" t="s">
        <v>78</v>
      </c>
      <c r="E2285" s="119" t="s">
        <v>6850</v>
      </c>
    </row>
    <row r="2286" spans="1:5" x14ac:dyDescent="0.25">
      <c r="A2286" s="119">
        <v>3807</v>
      </c>
      <c r="B2286" s="119" t="s">
        <v>6849</v>
      </c>
      <c r="C2286" s="119" t="s">
        <v>6856</v>
      </c>
      <c r="D2286" s="119" t="s">
        <v>78</v>
      </c>
      <c r="E2286" s="119" t="s">
        <v>6850</v>
      </c>
    </row>
    <row r="2287" spans="1:5" x14ac:dyDescent="0.25">
      <c r="A2287" s="119">
        <v>3816</v>
      </c>
      <c r="B2287" s="119" t="s">
        <v>6849</v>
      </c>
      <c r="C2287" s="119" t="s">
        <v>6856</v>
      </c>
      <c r="D2287" s="119" t="s">
        <v>78</v>
      </c>
      <c r="E2287" s="119" t="s">
        <v>6850</v>
      </c>
    </row>
    <row r="2288" spans="1:5" x14ac:dyDescent="0.25">
      <c r="A2288" s="119">
        <v>3818</v>
      </c>
      <c r="B2288" s="119" t="s">
        <v>6849</v>
      </c>
      <c r="C2288" s="119" t="s">
        <v>6856</v>
      </c>
      <c r="D2288" s="119" t="s">
        <v>78</v>
      </c>
      <c r="E2288" s="119" t="s">
        <v>6850</v>
      </c>
    </row>
    <row r="2289" spans="1:5" x14ac:dyDescent="0.25">
      <c r="A2289" s="119">
        <v>3820</v>
      </c>
      <c r="B2289" s="119" t="s">
        <v>6849</v>
      </c>
      <c r="C2289" s="119" t="s">
        <v>6856</v>
      </c>
      <c r="D2289" s="119" t="s">
        <v>78</v>
      </c>
      <c r="E2289" s="119" t="s">
        <v>6850</v>
      </c>
    </row>
    <row r="2290" spans="1:5" x14ac:dyDescent="0.25">
      <c r="A2290" s="119">
        <v>3822</v>
      </c>
      <c r="B2290" s="119" t="s">
        <v>6849</v>
      </c>
      <c r="C2290" s="119" t="s">
        <v>6857</v>
      </c>
      <c r="D2290" s="119" t="s">
        <v>47</v>
      </c>
      <c r="E2290" s="119" t="s">
        <v>6850</v>
      </c>
    </row>
    <row r="2291" spans="1:5" x14ac:dyDescent="0.25">
      <c r="A2291" s="119">
        <v>3824</v>
      </c>
      <c r="B2291" s="119" t="s">
        <v>6849</v>
      </c>
      <c r="C2291" s="119" t="s">
        <v>6856</v>
      </c>
      <c r="D2291" s="119" t="s">
        <v>78</v>
      </c>
      <c r="E2291" s="119" t="s">
        <v>6850</v>
      </c>
    </row>
    <row r="2292" spans="1:5" x14ac:dyDescent="0.25">
      <c r="A2292" s="119">
        <v>3825</v>
      </c>
      <c r="B2292" s="119" t="s">
        <v>6849</v>
      </c>
      <c r="C2292" s="119" t="s">
        <v>6856</v>
      </c>
      <c r="D2292" s="119" t="s">
        <v>78</v>
      </c>
      <c r="E2292" s="119" t="s">
        <v>6850</v>
      </c>
    </row>
    <row r="2293" spans="1:5" x14ac:dyDescent="0.25">
      <c r="A2293" s="119">
        <v>3827</v>
      </c>
      <c r="B2293" s="119" t="s">
        <v>6849</v>
      </c>
      <c r="C2293" s="119" t="s">
        <v>6856</v>
      </c>
      <c r="D2293" s="119" t="s">
        <v>78</v>
      </c>
      <c r="E2293" s="119" t="s">
        <v>6850</v>
      </c>
    </row>
    <row r="2294" spans="1:5" x14ac:dyDescent="0.25">
      <c r="A2294" s="119">
        <v>3828</v>
      </c>
      <c r="B2294" s="119" t="s">
        <v>6849</v>
      </c>
      <c r="C2294" s="119" t="s">
        <v>6856</v>
      </c>
      <c r="D2294" s="119" t="s">
        <v>78</v>
      </c>
      <c r="E2294" s="119" t="s">
        <v>6850</v>
      </c>
    </row>
    <row r="2295" spans="1:5" x14ac:dyDescent="0.25">
      <c r="A2295" s="119">
        <v>3829</v>
      </c>
      <c r="B2295" s="119" t="s">
        <v>6849</v>
      </c>
      <c r="C2295" s="119" t="s">
        <v>6856</v>
      </c>
      <c r="D2295" s="119" t="s">
        <v>78</v>
      </c>
      <c r="E2295" s="119" t="s">
        <v>6850</v>
      </c>
    </row>
    <row r="2296" spans="1:5" x14ac:dyDescent="0.25">
      <c r="A2296" s="119">
        <v>3830</v>
      </c>
      <c r="B2296" s="119" t="s">
        <v>6849</v>
      </c>
      <c r="C2296" s="119" t="s">
        <v>6856</v>
      </c>
      <c r="D2296" s="119" t="s">
        <v>78</v>
      </c>
      <c r="E2296" s="119" t="s">
        <v>6850</v>
      </c>
    </row>
    <row r="2297" spans="1:5" x14ac:dyDescent="0.25">
      <c r="A2297" s="119">
        <v>3831</v>
      </c>
      <c r="B2297" s="119" t="s">
        <v>6849</v>
      </c>
      <c r="C2297" s="119" t="s">
        <v>6856</v>
      </c>
      <c r="D2297" s="119" t="s">
        <v>78</v>
      </c>
      <c r="E2297" s="119" t="s">
        <v>6850</v>
      </c>
    </row>
    <row r="2298" spans="1:5" x14ac:dyDescent="0.25">
      <c r="A2298" s="119">
        <v>3839</v>
      </c>
      <c r="B2298" s="119" t="s">
        <v>6849</v>
      </c>
      <c r="C2298" s="119" t="s">
        <v>6856</v>
      </c>
      <c r="D2298" s="119" t="s">
        <v>78</v>
      </c>
      <c r="E2298" s="119" t="s">
        <v>6850</v>
      </c>
    </row>
    <row r="2299" spans="1:5" x14ac:dyDescent="0.25">
      <c r="A2299" s="119">
        <v>4177</v>
      </c>
      <c r="B2299" s="119" t="s">
        <v>6849</v>
      </c>
      <c r="C2299" s="119" t="s">
        <v>6126</v>
      </c>
      <c r="D2299" s="119" t="s">
        <v>47</v>
      </c>
      <c r="E2299" s="119" t="s">
        <v>6850</v>
      </c>
    </row>
    <row r="2300" spans="1:5" x14ac:dyDescent="0.25">
      <c r="A2300" s="119">
        <v>4193</v>
      </c>
      <c r="B2300" s="119" t="s">
        <v>6849</v>
      </c>
      <c r="C2300" s="119" t="s">
        <v>6126</v>
      </c>
      <c r="D2300" s="119" t="s">
        <v>47</v>
      </c>
      <c r="E2300" s="119" t="s">
        <v>6850</v>
      </c>
    </row>
    <row r="2301" spans="1:5" x14ac:dyDescent="0.25">
      <c r="A2301" s="119">
        <v>4198</v>
      </c>
      <c r="B2301" s="119" t="s">
        <v>6849</v>
      </c>
      <c r="C2301" s="119" t="s">
        <v>6126</v>
      </c>
      <c r="D2301" s="119" t="s">
        <v>47</v>
      </c>
      <c r="E2301" s="119" t="s">
        <v>6850</v>
      </c>
    </row>
    <row r="2302" spans="1:5" x14ac:dyDescent="0.25">
      <c r="A2302" s="119">
        <v>2506</v>
      </c>
      <c r="B2302" s="119" t="s">
        <v>6889</v>
      </c>
      <c r="C2302" s="119" t="s">
        <v>4245</v>
      </c>
      <c r="D2302" s="119" t="s">
        <v>4228</v>
      </c>
      <c r="E2302" s="119" t="s">
        <v>6890</v>
      </c>
    </row>
    <row r="2303" spans="1:5" x14ac:dyDescent="0.25">
      <c r="A2303" s="119">
        <v>2514</v>
      </c>
      <c r="B2303" s="119" t="s">
        <v>6429</v>
      </c>
      <c r="C2303" s="119" t="s">
        <v>4261</v>
      </c>
      <c r="D2303" s="119" t="s">
        <v>4988</v>
      </c>
      <c r="E2303" s="119" t="s">
        <v>6891</v>
      </c>
    </row>
    <row r="2304" spans="1:5" x14ac:dyDescent="0.25">
      <c r="A2304" s="119">
        <v>2514</v>
      </c>
      <c r="B2304" s="119" t="s">
        <v>6412</v>
      </c>
      <c r="C2304" s="119"/>
      <c r="D2304" s="119" t="s">
        <v>4989</v>
      </c>
      <c r="E2304" s="119" t="s">
        <v>6892</v>
      </c>
    </row>
    <row r="2305" spans="1:5" x14ac:dyDescent="0.25">
      <c r="A2305" s="119">
        <v>2535</v>
      </c>
      <c r="B2305" s="119" t="s">
        <v>6889</v>
      </c>
      <c r="C2305" s="119" t="s">
        <v>4245</v>
      </c>
      <c r="D2305" s="119" t="s">
        <v>4228</v>
      </c>
      <c r="E2305" s="119" t="s">
        <v>6890</v>
      </c>
    </row>
    <row r="2306" spans="1:5" x14ac:dyDescent="0.25">
      <c r="A2306" s="119">
        <v>2608</v>
      </c>
      <c r="B2306" s="119" t="s">
        <v>6429</v>
      </c>
      <c r="C2306" s="119" t="s">
        <v>4261</v>
      </c>
      <c r="D2306" s="119" t="s">
        <v>4988</v>
      </c>
      <c r="E2306" s="119" t="s">
        <v>6891</v>
      </c>
    </row>
    <row r="2307" spans="1:5" x14ac:dyDescent="0.25">
      <c r="A2307" s="119">
        <v>2608</v>
      </c>
      <c r="B2307" s="119" t="s">
        <v>6412</v>
      </c>
      <c r="C2307" s="119"/>
      <c r="D2307" s="119" t="s">
        <v>4989</v>
      </c>
      <c r="E2307" s="119" t="s">
        <v>6892</v>
      </c>
    </row>
    <row r="2308" spans="1:5" x14ac:dyDescent="0.25">
      <c r="A2308" s="119">
        <v>2971</v>
      </c>
      <c r="B2308" s="119" t="s">
        <v>6889</v>
      </c>
      <c r="C2308" s="119" t="s">
        <v>4245</v>
      </c>
      <c r="D2308" s="119" t="s">
        <v>4228</v>
      </c>
      <c r="E2308" s="119" t="s">
        <v>6890</v>
      </c>
    </row>
    <row r="2309" spans="1:5" x14ac:dyDescent="0.25">
      <c r="A2309" s="119">
        <v>2984</v>
      </c>
      <c r="B2309" s="119" t="s">
        <v>6889</v>
      </c>
      <c r="C2309" s="119" t="s">
        <v>4685</v>
      </c>
      <c r="D2309" s="119" t="s">
        <v>6885</v>
      </c>
      <c r="E2309" s="119" t="s">
        <v>6893</v>
      </c>
    </row>
    <row r="2310" spans="1:5" x14ac:dyDescent="0.25">
      <c r="A2310" s="119">
        <v>2985</v>
      </c>
      <c r="B2310" s="119" t="s">
        <v>6889</v>
      </c>
      <c r="C2310" s="119" t="s">
        <v>4685</v>
      </c>
      <c r="D2310" s="119" t="s">
        <v>6885</v>
      </c>
      <c r="E2310" s="119" t="s">
        <v>6893</v>
      </c>
    </row>
    <row r="2311" spans="1:5" x14ac:dyDescent="0.25">
      <c r="A2311" s="119">
        <v>2987</v>
      </c>
      <c r="B2311" s="119" t="s">
        <v>6889</v>
      </c>
      <c r="C2311" s="119" t="s">
        <v>4245</v>
      </c>
      <c r="D2311" s="119" t="s">
        <v>4228</v>
      </c>
      <c r="E2311" s="119" t="s">
        <v>6890</v>
      </c>
    </row>
    <row r="2312" spans="1:5" x14ac:dyDescent="0.25">
      <c r="A2312" s="119">
        <v>3244</v>
      </c>
      <c r="B2312" s="119" t="s">
        <v>6889</v>
      </c>
      <c r="C2312" s="119" t="s">
        <v>4245</v>
      </c>
      <c r="D2312" s="119" t="s">
        <v>4228</v>
      </c>
      <c r="E2312" s="119" t="s">
        <v>6890</v>
      </c>
    </row>
    <row r="2313" spans="1:5" x14ac:dyDescent="0.25">
      <c r="A2313" s="119">
        <v>3247</v>
      </c>
      <c r="B2313" s="119" t="s">
        <v>6889</v>
      </c>
      <c r="C2313" s="119" t="s">
        <v>4930</v>
      </c>
      <c r="D2313" s="119" t="s">
        <v>6885</v>
      </c>
      <c r="E2313" s="119" t="s">
        <v>6893</v>
      </c>
    </row>
    <row r="2314" spans="1:5" x14ac:dyDescent="0.25">
      <c r="A2314" s="119">
        <v>3252</v>
      </c>
      <c r="B2314" s="119" t="s">
        <v>6412</v>
      </c>
      <c r="C2314" s="119" t="s">
        <v>4931</v>
      </c>
      <c r="D2314" s="119" t="s">
        <v>4269</v>
      </c>
      <c r="E2314" s="119" t="s">
        <v>6894</v>
      </c>
    </row>
    <row r="2315" spans="1:5" x14ac:dyDescent="0.25">
      <c r="A2315" s="119">
        <v>3290</v>
      </c>
      <c r="B2315" s="119" t="s">
        <v>6889</v>
      </c>
      <c r="C2315" s="119" t="s">
        <v>4930</v>
      </c>
      <c r="D2315" s="119" t="s">
        <v>6885</v>
      </c>
      <c r="E2315" s="119" t="s">
        <v>6893</v>
      </c>
    </row>
    <row r="2316" spans="1:5" x14ac:dyDescent="0.25">
      <c r="A2316" s="119">
        <v>3291</v>
      </c>
      <c r="B2316" s="119" t="s">
        <v>6889</v>
      </c>
      <c r="C2316" s="119" t="s">
        <v>4930</v>
      </c>
      <c r="D2316" s="119" t="s">
        <v>6885</v>
      </c>
      <c r="E2316" s="119" t="s">
        <v>6893</v>
      </c>
    </row>
    <row r="2317" spans="1:5" x14ac:dyDescent="0.25">
      <c r="A2317" s="119">
        <v>3342</v>
      </c>
      <c r="B2317" s="119" t="s">
        <v>6889</v>
      </c>
      <c r="C2317" s="119" t="s">
        <v>4245</v>
      </c>
      <c r="D2317" s="119" t="s">
        <v>4228</v>
      </c>
      <c r="E2317" s="119" t="s">
        <v>6890</v>
      </c>
    </row>
    <row r="2318" spans="1:5" x14ac:dyDescent="0.25">
      <c r="A2318" s="119">
        <v>3345</v>
      </c>
      <c r="B2318" s="119" t="s">
        <v>6889</v>
      </c>
      <c r="C2318" s="119" t="s">
        <v>4245</v>
      </c>
      <c r="D2318" s="119" t="s">
        <v>4228</v>
      </c>
      <c r="E2318" s="119" t="s">
        <v>6890</v>
      </c>
    </row>
    <row r="2319" spans="1:5" x14ac:dyDescent="0.25">
      <c r="A2319" s="119">
        <v>3360</v>
      </c>
      <c r="B2319" s="119" t="s">
        <v>6889</v>
      </c>
      <c r="C2319" s="119" t="s">
        <v>4245</v>
      </c>
      <c r="D2319" s="119" t="s">
        <v>4228</v>
      </c>
      <c r="E2319" s="119" t="s">
        <v>6890</v>
      </c>
    </row>
    <row r="2320" spans="1:5" x14ac:dyDescent="0.25">
      <c r="A2320" s="119">
        <v>3363</v>
      </c>
      <c r="B2320" s="119" t="s">
        <v>6889</v>
      </c>
      <c r="C2320" s="119" t="s">
        <v>4245</v>
      </c>
      <c r="D2320" s="119" t="s">
        <v>4228</v>
      </c>
      <c r="E2320" s="119" t="s">
        <v>6890</v>
      </c>
    </row>
    <row r="2321" spans="1:5" x14ac:dyDescent="0.25">
      <c r="A2321" s="119">
        <v>3433</v>
      </c>
      <c r="B2321" s="119" t="s">
        <v>6889</v>
      </c>
      <c r="C2321" s="119" t="s">
        <v>4930</v>
      </c>
      <c r="D2321" s="119" t="s">
        <v>6885</v>
      </c>
      <c r="E2321" s="119" t="s">
        <v>6893</v>
      </c>
    </row>
    <row r="2322" spans="1:5" x14ac:dyDescent="0.25">
      <c r="A2322" s="119">
        <v>3434</v>
      </c>
      <c r="B2322" s="119" t="s">
        <v>6889</v>
      </c>
      <c r="C2322" s="119" t="s">
        <v>4930</v>
      </c>
      <c r="D2322" s="119" t="s">
        <v>6885</v>
      </c>
      <c r="E2322" s="119" t="s">
        <v>6893</v>
      </c>
    </row>
    <row r="2323" spans="1:5" x14ac:dyDescent="0.25">
      <c r="A2323" s="119">
        <v>3435</v>
      </c>
      <c r="B2323" s="119" t="s">
        <v>6889</v>
      </c>
      <c r="C2323" s="119" t="s">
        <v>4930</v>
      </c>
      <c r="D2323" s="119" t="s">
        <v>6885</v>
      </c>
      <c r="E2323" s="119" t="s">
        <v>6893</v>
      </c>
    </row>
    <row r="2324" spans="1:5" x14ac:dyDescent="0.25">
      <c r="A2324" s="119">
        <v>3436</v>
      </c>
      <c r="B2324" s="119" t="s">
        <v>6889</v>
      </c>
      <c r="C2324" s="119" t="s">
        <v>4930</v>
      </c>
      <c r="D2324" s="119" t="s">
        <v>6885</v>
      </c>
      <c r="E2324" s="119" t="s">
        <v>6893</v>
      </c>
    </row>
    <row r="2325" spans="1:5" x14ac:dyDescent="0.25">
      <c r="A2325" s="119">
        <v>3437</v>
      </c>
      <c r="B2325" s="119" t="s">
        <v>6889</v>
      </c>
      <c r="C2325" s="119" t="s">
        <v>4930</v>
      </c>
      <c r="D2325" s="119" t="s">
        <v>6885</v>
      </c>
      <c r="E2325" s="119" t="s">
        <v>6893</v>
      </c>
    </row>
    <row r="2326" spans="1:5" x14ac:dyDescent="0.25">
      <c r="A2326" s="119">
        <v>3438</v>
      </c>
      <c r="B2326" s="119" t="s">
        <v>6889</v>
      </c>
      <c r="C2326" s="119" t="s">
        <v>4930</v>
      </c>
      <c r="D2326" s="119" t="s">
        <v>6885</v>
      </c>
      <c r="E2326" s="119" t="s">
        <v>6893</v>
      </c>
    </row>
    <row r="2327" spans="1:5" x14ac:dyDescent="0.25">
      <c r="A2327" s="119">
        <v>3439</v>
      </c>
      <c r="B2327" s="119" t="s">
        <v>6889</v>
      </c>
      <c r="C2327" s="119" t="s">
        <v>4930</v>
      </c>
      <c r="D2327" s="119" t="s">
        <v>6885</v>
      </c>
      <c r="E2327" s="119" t="s">
        <v>6893</v>
      </c>
    </row>
    <row r="2328" spans="1:5" x14ac:dyDescent="0.25">
      <c r="A2328" s="119">
        <v>3517</v>
      </c>
      <c r="B2328" s="119" t="s">
        <v>6889</v>
      </c>
      <c r="C2328" s="119" t="s">
        <v>4930</v>
      </c>
      <c r="D2328" s="119" t="s">
        <v>6885</v>
      </c>
      <c r="E2328" s="119" t="s">
        <v>6893</v>
      </c>
    </row>
    <row r="2329" spans="1:5" x14ac:dyDescent="0.25">
      <c r="A2329" s="119">
        <v>3518</v>
      </c>
      <c r="B2329" s="119" t="s">
        <v>6889</v>
      </c>
      <c r="C2329" s="119" t="s">
        <v>4930</v>
      </c>
      <c r="D2329" s="119" t="s">
        <v>6885</v>
      </c>
      <c r="E2329" s="119" t="s">
        <v>6893</v>
      </c>
    </row>
    <row r="2330" spans="1:5" x14ac:dyDescent="0.25">
      <c r="A2330" s="119">
        <v>3522</v>
      </c>
      <c r="B2330" s="119" t="s">
        <v>6889</v>
      </c>
      <c r="C2330" s="119" t="s">
        <v>4930</v>
      </c>
      <c r="D2330" s="119" t="s">
        <v>6885</v>
      </c>
      <c r="E2330" s="119" t="s">
        <v>6893</v>
      </c>
    </row>
    <row r="2331" spans="1:5" x14ac:dyDescent="0.25">
      <c r="A2331" s="119">
        <v>3672</v>
      </c>
      <c r="B2331" s="119" t="s">
        <v>6889</v>
      </c>
      <c r="C2331" s="119" t="s">
        <v>4930</v>
      </c>
      <c r="D2331" s="119" t="s">
        <v>6885</v>
      </c>
      <c r="E2331" s="119" t="s">
        <v>6893</v>
      </c>
    </row>
    <row r="2332" spans="1:5" x14ac:dyDescent="0.25">
      <c r="A2332" s="119">
        <v>3673</v>
      </c>
      <c r="B2332" s="119" t="s">
        <v>6889</v>
      </c>
      <c r="C2332" s="119" t="s">
        <v>4930</v>
      </c>
      <c r="D2332" s="119" t="s">
        <v>6885</v>
      </c>
      <c r="E2332" s="119" t="s">
        <v>6893</v>
      </c>
    </row>
    <row r="2333" spans="1:5" x14ac:dyDescent="0.25">
      <c r="A2333" s="119">
        <v>3755</v>
      </c>
      <c r="B2333" s="119" t="s">
        <v>6889</v>
      </c>
      <c r="C2333" s="119" t="s">
        <v>4245</v>
      </c>
      <c r="D2333" s="119" t="s">
        <v>4228</v>
      </c>
      <c r="E2333" s="119" t="s">
        <v>6890</v>
      </c>
    </row>
    <row r="2334" spans="1:5" x14ac:dyDescent="0.25">
      <c r="A2334" s="119">
        <v>3762</v>
      </c>
      <c r="B2334" s="119" t="s">
        <v>6889</v>
      </c>
      <c r="C2334" s="119" t="s">
        <v>4245</v>
      </c>
      <c r="D2334" s="119" t="s">
        <v>4228</v>
      </c>
      <c r="E2334" s="119" t="s">
        <v>6890</v>
      </c>
    </row>
    <row r="2335" spans="1:5" x14ac:dyDescent="0.25">
      <c r="A2335" s="119">
        <v>3773</v>
      </c>
      <c r="B2335" s="119" t="s">
        <v>6429</v>
      </c>
      <c r="C2335" s="119" t="s">
        <v>4261</v>
      </c>
      <c r="D2335" s="119" t="s">
        <v>4988</v>
      </c>
      <c r="E2335" s="119" t="s">
        <v>6891</v>
      </c>
    </row>
    <row r="2336" spans="1:5" x14ac:dyDescent="0.25">
      <c r="A2336" s="119">
        <v>3773</v>
      </c>
      <c r="B2336" s="119" t="s">
        <v>6412</v>
      </c>
      <c r="C2336" s="119"/>
      <c r="D2336" s="119" t="s">
        <v>4989</v>
      </c>
      <c r="E2336" s="119" t="s">
        <v>6892</v>
      </c>
    </row>
    <row r="2337" spans="1:5" x14ac:dyDescent="0.25">
      <c r="A2337" s="119">
        <v>3773</v>
      </c>
      <c r="B2337" s="119" t="s">
        <v>6889</v>
      </c>
      <c r="C2337" s="119" t="s">
        <v>4245</v>
      </c>
      <c r="D2337" s="119" t="s">
        <v>4228</v>
      </c>
      <c r="E2337" s="119" t="s">
        <v>6890</v>
      </c>
    </row>
    <row r="2338" spans="1:5" x14ac:dyDescent="0.25">
      <c r="A2338" s="119">
        <v>3794</v>
      </c>
      <c r="B2338" s="119" t="s">
        <v>6889</v>
      </c>
      <c r="C2338" s="119" t="s">
        <v>4245</v>
      </c>
      <c r="D2338" s="119" t="s">
        <v>4228</v>
      </c>
      <c r="E2338" s="119" t="s">
        <v>6890</v>
      </c>
    </row>
    <row r="2339" spans="1:5" x14ac:dyDescent="0.25">
      <c r="A2339" s="119">
        <v>3851</v>
      </c>
      <c r="B2339" s="119" t="s">
        <v>6429</v>
      </c>
      <c r="C2339" s="119" t="s">
        <v>4261</v>
      </c>
      <c r="D2339" s="119" t="s">
        <v>4988</v>
      </c>
      <c r="E2339" s="119" t="s">
        <v>6891</v>
      </c>
    </row>
    <row r="2340" spans="1:5" x14ac:dyDescent="0.25">
      <c r="A2340" s="119">
        <v>3851</v>
      </c>
      <c r="B2340" s="119" t="s">
        <v>6412</v>
      </c>
      <c r="C2340" s="119"/>
      <c r="D2340" s="119" t="s">
        <v>4989</v>
      </c>
      <c r="E2340" s="119" t="s">
        <v>6892</v>
      </c>
    </row>
    <row r="2341" spans="1:5" x14ac:dyDescent="0.25">
      <c r="A2341" s="119">
        <v>3859</v>
      </c>
      <c r="B2341" s="119" t="s">
        <v>6429</v>
      </c>
      <c r="C2341" s="119" t="s">
        <v>4261</v>
      </c>
      <c r="D2341" s="119" t="s">
        <v>4988</v>
      </c>
      <c r="E2341" s="119" t="s">
        <v>6891</v>
      </c>
    </row>
    <row r="2342" spans="1:5" x14ac:dyDescent="0.25">
      <c r="A2342" s="119">
        <v>3859</v>
      </c>
      <c r="B2342" s="119" t="s">
        <v>6412</v>
      </c>
      <c r="C2342" s="119"/>
      <c r="D2342" s="119" t="s">
        <v>4989</v>
      </c>
      <c r="E2342" s="119" t="s">
        <v>6892</v>
      </c>
    </row>
  </sheetData>
  <autoFilter ref="A2:E2342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Спецификация</vt:lpstr>
      <vt:lpstr>НЕТ В СО (из ВОРов)</vt:lpstr>
      <vt:lpstr>Сверка ТХ.2</vt:lpstr>
      <vt:lpstr>Правки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Раукштас Николай Брониславович</cp:lastModifiedBy>
  <cp:revision>0</cp:revision>
  <cp:lastPrinted>2026-08-03T14:11:28Z</cp:lastPrinted>
  <dcterms:created xsi:type="dcterms:W3CDTF">2026-07-28T09:07:36Z</dcterms:created>
  <dcterms:modified xsi:type="dcterms:W3CDTF">2026-08-05T07:07:34Z</dcterms:modified>
  <dc:language>en-US</dc:language>
</cp:coreProperties>
</file>