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" sheetId="1" state="visible" r:id="rId1"/>
    <sheet name="Все строки Эдем" sheetId="2" state="visible" r:id="rId2"/>
    <sheet name="По помещениям" sheetId="3" state="visible" r:id="rId3"/>
    <sheet name="Сверка с ВОР" sheetId="4" state="visible" r:id="rId4"/>
    <sheet name="Что исправлен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C00000"/>
      <sz val="10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00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3" borderId="1" pivotButton="0" quotePrefix="0" xfId="0"/>
    <xf numFmtId="164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164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7" fillId="0" borderId="0" pivotButton="0" quotePrefix="0" xfId="0"/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42" customWidth="1" min="3" max="3"/>
    <col width="7" customWidth="1" min="4" max="4"/>
    <col width="11" customWidth="1" min="5" max="5"/>
    <col width="16" customWidth="1" min="6" max="6"/>
    <col width="18" customWidth="1" min="7" max="7"/>
    <col width="12" customWidth="1" min="8" max="8"/>
    <col width="46" customWidth="1" min="9" max="9"/>
  </cols>
  <sheetData>
    <row r="1">
      <c r="A1" s="1" t="inlineStr">
        <is>
          <t>ЭДЕМ-МЕБЕЛЬ — СВОД ПО СПЕЦИФИКАЦИИ (лист «Спецификация», раздел ТХ.2)</t>
        </is>
      </c>
    </row>
    <row r="2">
      <c r="A2" s="2" t="inlineStr">
        <is>
          <t>Источник: SPEC_IOS_TH_ITOGOVIY_FILE2.xlsx, лист «Спецификация», строки 2519–3863 (раздел ТХ.2. ОБОРУДОВАНИЕ, МЕБЕЛЬ И ИНВЕНТАРЬ ПО ПОМЕЩЕНИЯМ, 03-01/07.21П-ТХ.2.СО)</t>
        </is>
      </c>
    </row>
    <row r="3">
      <c r="A3" s="2" t="inlineStr">
        <is>
          <t>Файл ИСПРАВЛЕННЫЙ: фильтр по «Эдем» в колонке C «Тип, марка» отдаёт всю мебель — 68 строк, 96 шт. Количества с ВОР сходятся по всем 7 позициям.</t>
        </is>
      </c>
    </row>
    <row r="5">
      <c r="A5" s="3" t="inlineStr">
        <is>
          <t>А. ПОЗИЦИИ СЕРИИ «ЭДЕМ-1» (мебель)</t>
        </is>
      </c>
    </row>
    <row r="6" ht="30" customHeight="1">
      <c r="A6" s="4" t="inlineStr">
        <is>
          <t>Поз. по СО</t>
        </is>
      </c>
      <c r="B6" s="4" t="inlineStr">
        <is>
          <t>Наименование</t>
        </is>
      </c>
      <c r="C6" s="4" t="inlineStr">
        <is>
          <t>Артикул</t>
        </is>
      </c>
      <c r="D6" s="4" t="inlineStr">
        <is>
          <t>Ед.</t>
        </is>
      </c>
      <c r="E6" s="4" t="inlineStr">
        <is>
          <t>Кол-во, шт</t>
        </is>
      </c>
      <c r="F6" s="4" t="inlineStr">
        <is>
          <t>Цена, руб. с НДС</t>
        </is>
      </c>
      <c r="G6" s="4" t="inlineStr">
        <is>
          <t>Сумма, руб. с НДС</t>
        </is>
      </c>
      <c r="H6" s="4" t="inlineStr">
        <is>
          <t>Строк в спец.</t>
        </is>
      </c>
      <c r="I6" s="4" t="inlineStr">
        <is>
          <t>Строки</t>
        </is>
      </c>
    </row>
    <row r="7">
      <c r="A7" s="5" t="inlineStr">
        <is>
          <t>м38</t>
        </is>
      </c>
      <c r="B7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C7" s="6" t="inlineStr">
        <is>
          <t>Серия «Эдем-1», арт.Э-44.0 + 47.0*2 + 80.0*2 + ЭВ*2</t>
        </is>
      </c>
      <c r="D7" s="5" t="inlineStr">
        <is>
          <t>шт.</t>
        </is>
      </c>
      <c r="E7" s="5" t="n">
        <v>28</v>
      </c>
      <c r="F7" s="7" t="inlineStr">
        <is>
          <t>ЦЕНЫ НЕТ</t>
        </is>
      </c>
      <c r="G7" s="8">
        <f>IF(ISNUMBER(F7),E7*F7,0)</f>
        <v/>
      </c>
      <c r="H7" s="5" t="n">
        <v>14</v>
      </c>
      <c r="I7" s="6" t="inlineStr">
        <is>
          <t>2519, 2542, 2561, 2573, 2612, 2624, 3251, 3437, 3449, 3465, 3479, 3493, 3507, 3523</t>
        </is>
      </c>
    </row>
    <row r="8">
      <c r="A8" s="5" t="inlineStr">
        <is>
          <t>м17</t>
        </is>
      </c>
      <c r="B8" s="6" t="inlineStr">
        <is>
          <t>Стол рабочий прямой; 1400х700х750(h) мм</t>
        </is>
      </c>
      <c r="C8" s="6" t="inlineStr">
        <is>
          <t>Серия «Эдем-1», арт.Э-22.0</t>
        </is>
      </c>
      <c r="D8" s="5" t="inlineStr">
        <is>
          <t>шт.</t>
        </is>
      </c>
      <c r="E8" s="5" t="n">
        <v>23</v>
      </c>
      <c r="F8" s="7" t="inlineStr">
        <is>
          <t>ЦЕНЫ НЕТ</t>
        </is>
      </c>
      <c r="G8" s="8">
        <f>IF(ISNUMBER(F8),E8*F8,0)</f>
        <v/>
      </c>
      <c r="H8" s="5" t="n">
        <v>18</v>
      </c>
      <c r="I8" s="6" t="inlineStr">
        <is>
          <t>2580, 2771, 2802, 2833, 2864, 2895, 2926, 2984, 3247, 3290, 3434, 3447, 3461, 3476, 3490, 3504, 3517, 3672</t>
        </is>
      </c>
    </row>
    <row r="9">
      <c r="A9" s="5" t="inlineStr">
        <is>
          <t>м33</t>
        </is>
      </c>
      <c r="B9" s="6" t="inlineStr">
        <is>
          <t>Тумба для оргтехники двухстворчатая (2 распашные двери, ниша); 800х550х610(h) мм</t>
        </is>
      </c>
      <c r="C9" s="6" t="inlineStr">
        <is>
          <t>Серия «Эдем-1», арт.Э-26.7</t>
        </is>
      </c>
      <c r="D9" s="5" t="inlineStr">
        <is>
          <t>шт.</t>
        </is>
      </c>
      <c r="E9" s="5" t="n">
        <v>16</v>
      </c>
      <c r="F9" s="7" t="inlineStr">
        <is>
          <t>ЦЕНЫ НЕТ</t>
        </is>
      </c>
      <c r="G9" s="8">
        <f>IF(ISNUMBER(F9),E9*F9,0)</f>
        <v/>
      </c>
      <c r="H9" s="5" t="n">
        <v>16</v>
      </c>
      <c r="I9" s="6" t="inlineStr">
        <is>
          <t>2520, 2545, 2559, 2571, 2614, 2625, 3252, 3436, 3448, 3464, 3478, 3492, 3506, 3777, 3855, 3863</t>
        </is>
      </c>
    </row>
    <row r="10">
      <c r="A10" s="5" t="inlineStr">
        <is>
          <t>м83</t>
        </is>
      </c>
      <c r="B10" s="6" t="inlineStr">
        <is>
          <t>Тумба выкатная с центральным замком (3 выдвижных ящика, колеса); 397х500х610(h) мм</t>
        </is>
      </c>
      <c r="C10" s="6" t="inlineStr">
        <is>
          <t>Серия «Эдем-1», арт.Э-37.0 ц/з</t>
        </is>
      </c>
      <c r="D10" s="5" t="inlineStr">
        <is>
          <t>шт.</t>
        </is>
      </c>
      <c r="E10" s="5" t="n">
        <v>12</v>
      </c>
      <c r="F10" s="7" t="inlineStr">
        <is>
          <t>ЦЕНЫ НЕТ</t>
        </is>
      </c>
      <c r="G10" s="8">
        <f>IF(ISNUMBER(F10),E10*F10,0)</f>
        <v/>
      </c>
      <c r="H10" s="5" t="n">
        <v>7</v>
      </c>
      <c r="I10" s="6" t="inlineStr">
        <is>
          <t>3439, 3451, 3467, 3481, 3495, 3509, 3522</t>
        </is>
      </c>
    </row>
    <row r="11">
      <c r="A11" s="5" t="inlineStr">
        <is>
          <t>2</t>
        </is>
      </c>
      <c r="B11" s="6" t="inlineStr">
        <is>
          <t>Стол рабочий прямой; 1200х700х750(h) мм</t>
        </is>
      </c>
      <c r="C11" s="6" t="inlineStr">
        <is>
          <t>Серия «Эдем-1», арт.Э-21.0</t>
        </is>
      </c>
      <c r="D11" s="5" t="inlineStr">
        <is>
          <t>шт.</t>
        </is>
      </c>
      <c r="E11" s="5" t="n">
        <v>10</v>
      </c>
      <c r="F11" s="7" t="inlineStr">
        <is>
          <t>ЦЕНЫ НЕТ</t>
        </is>
      </c>
      <c r="G11" s="8">
        <f>IF(ISNUMBER(F11),E11*F11,0)</f>
        <v/>
      </c>
      <c r="H11" s="5" t="n">
        <v>6</v>
      </c>
      <c r="I11" s="6" t="inlineStr">
        <is>
          <t>2514, 2608, 3276, 3773, 3851, 3859</t>
        </is>
      </c>
    </row>
    <row r="12">
      <c r="A12" s="5" t="inlineStr">
        <is>
          <t>м39</t>
        </is>
      </c>
      <c r="B12" s="6" t="inlineStr">
        <is>
          <t>Шкаф двухстворчатый для одежды (2 распашные двери, перекладина); 768х403х1945(h) мм</t>
        </is>
      </c>
      <c r="C12" s="6" t="inlineStr">
        <is>
          <t>Серия «Эдем-1», арт.Э-46.0</t>
        </is>
      </c>
      <c r="D12" s="5" t="inlineStr">
        <is>
          <t>шт.</t>
        </is>
      </c>
      <c r="E12" s="5" t="n">
        <v>6</v>
      </c>
      <c r="F12" s="7" t="inlineStr">
        <is>
          <t>ЦЕНЫ НЕТ</t>
        </is>
      </c>
      <c r="G12" s="8">
        <f>IF(ISNUMBER(F12),E12*F12,0)</f>
        <v/>
      </c>
      <c r="H12" s="5" t="n">
        <v>6</v>
      </c>
      <c r="I12" s="6" t="inlineStr">
        <is>
          <t>3438, 3450, 3466, 3480, 3494, 3508</t>
        </is>
      </c>
    </row>
    <row r="13">
      <c r="A13" s="5" t="inlineStr">
        <is>
          <t>М84</t>
        </is>
      </c>
      <c r="B13" s="6" t="inlineStr">
        <is>
          <t>Стол для переговоров прямой; 1800х800х750(h) мм</t>
        </is>
      </c>
      <c r="C13" s="6" t="inlineStr">
        <is>
          <t>Серия «Эдем-1», арт.Э-24.0</t>
        </is>
      </c>
      <c r="D13" s="5" t="inlineStr">
        <is>
          <t>шт.</t>
        </is>
      </c>
      <c r="E13" s="5" t="n">
        <v>1</v>
      </c>
      <c r="F13" s="7" t="inlineStr">
        <is>
          <t>ЦЕНЫ НЕТ</t>
        </is>
      </c>
      <c r="G13" s="8">
        <f>IF(ISNUMBER(F13),E13*F13,0)</f>
        <v/>
      </c>
      <c r="H13" s="5" t="n">
        <v>1</v>
      </c>
      <c r="I13" s="6" t="inlineStr">
        <is>
          <t>3468</t>
        </is>
      </c>
    </row>
    <row r="14">
      <c r="A14" s="5" t="n"/>
      <c r="B14" s="9" t="inlineStr">
        <is>
          <t>ИТОГО серия «Эдем-1»</t>
        </is>
      </c>
      <c r="C14" s="6" t="n"/>
      <c r="D14" s="5" t="n"/>
      <c r="E14" s="10">
        <f>SUM(E7:E13)</f>
        <v/>
      </c>
      <c r="F14" s="5" t="n"/>
      <c r="G14" s="11">
        <f>SUM(G7:G13)</f>
        <v/>
      </c>
      <c r="H14" s="5" t="n"/>
      <c r="I14" s="6" t="n"/>
    </row>
    <row r="15">
      <c r="A15" s="5" t="n"/>
      <c r="B15" s="6" t="n"/>
      <c r="C15" s="6" t="n"/>
      <c r="D15" s="5" t="n"/>
      <c r="E15" s="5" t="n"/>
      <c r="F15" s="5" t="n"/>
      <c r="G15" s="5" t="n"/>
      <c r="H15" s="5" t="n"/>
      <c r="I15" s="6" t="n"/>
    </row>
    <row r="16">
      <c r="A16" s="10" t="inlineStr">
        <is>
          <t>Б. ПОЗИЦИИ, ГДЕ ПОСТАВЩИК УКАЗАН КАК ООО «ЭДЕМ-МЕБЕЛЬ» (колонка E)</t>
        </is>
      </c>
      <c r="B16" s="6" t="n"/>
      <c r="C16" s="6" t="n"/>
      <c r="D16" s="5" t="n"/>
      <c r="E16" s="5" t="n"/>
      <c r="F16" s="5" t="n"/>
      <c r="G16" s="5" t="n"/>
      <c r="H16" s="5" t="n"/>
      <c r="I16" s="6" t="n"/>
    </row>
    <row r="17" ht="30" customHeight="1">
      <c r="A17" s="4" t="inlineStr">
        <is>
          <t>Поз. по СО</t>
        </is>
      </c>
      <c r="B17" s="12" t="inlineStr">
        <is>
          <t>Наименование</t>
        </is>
      </c>
      <c r="C17" s="12" t="inlineStr">
        <is>
          <t>Артикул</t>
        </is>
      </c>
      <c r="D17" s="4" t="inlineStr">
        <is>
          <t>Ед.</t>
        </is>
      </c>
      <c r="E17" s="4" t="inlineStr">
        <is>
          <t>Кол-во, шт</t>
        </is>
      </c>
      <c r="F17" s="4" t="inlineStr">
        <is>
          <t>Цена, руб. с НДС</t>
        </is>
      </c>
      <c r="G17" s="4" t="inlineStr">
        <is>
          <t>Сумма, руб. с НДС</t>
        </is>
      </c>
      <c r="H17" s="4" t="inlineStr">
        <is>
          <t>Строк в спец.</t>
        </is>
      </c>
      <c r="I17" s="12" t="inlineStr">
        <is>
          <t>Строки</t>
        </is>
      </c>
    </row>
    <row r="18">
      <c r="A18" s="5" t="inlineStr">
        <is>
          <t>м17</t>
        </is>
      </c>
      <c r="B18" s="6" t="inlineStr">
        <is>
          <t>Стол рабочий прямой; 1400х700х750(h) мм</t>
        </is>
      </c>
      <c r="C18" s="6" t="inlineStr">
        <is>
          <t>Серия «Эдем-1», арт.Э-22.0</t>
        </is>
      </c>
      <c r="D18" s="5" t="inlineStr">
        <is>
          <t>шт.</t>
        </is>
      </c>
      <c r="E18" s="5" t="n">
        <v>9</v>
      </c>
      <c r="F18" s="7" t="inlineStr">
        <is>
          <t>ЦЕНЫ НЕТ</t>
        </is>
      </c>
      <c r="G18" s="8">
        <f>IF(ISNUMBER(F18),E18*F18,0)</f>
        <v/>
      </c>
      <c r="H18" s="5" t="n">
        <v>6</v>
      </c>
      <c r="I18" s="6" t="inlineStr">
        <is>
          <t>2984, 3247, 3290, 3434, 3517, 3672</t>
        </is>
      </c>
    </row>
    <row r="19">
      <c r="A19" s="5" t="inlineStr">
        <is>
          <t>м28</t>
        </is>
      </c>
      <c r="B19" s="6" t="inlineStr">
        <is>
          <t>Стул для посетителей (материал обивки – к/з); 540х440х820(h) мм</t>
        </is>
      </c>
      <c r="C19" s="6" t="inlineStr">
        <is>
          <t>Gigant GCH-01 (BL)</t>
        </is>
      </c>
      <c r="D19" s="5" t="inlineStr">
        <is>
          <t>шт.</t>
        </is>
      </c>
      <c r="E19" s="5" t="n">
        <v>9</v>
      </c>
      <c r="F19" s="8" t="n">
        <v>1950</v>
      </c>
      <c r="G19" s="8">
        <f>IF(ISNUMBER(F19),E19*F19,0)</f>
        <v/>
      </c>
      <c r="H19" s="5" t="n">
        <v>5</v>
      </c>
      <c r="I19" s="6" t="inlineStr">
        <is>
          <t>2985, 3291, 3435, 3518, 3673</t>
        </is>
      </c>
    </row>
    <row r="20">
      <c r="A20" s="5" t="inlineStr">
        <is>
          <t>м83</t>
        </is>
      </c>
      <c r="B20" s="6" t="inlineStr">
        <is>
          <t>Тумба выкатная с центральным замком (3 выдвижных ящика, колеса); 397х500х610(h) мм</t>
        </is>
      </c>
      <c r="C20" s="6" t="inlineStr">
        <is>
          <t>Серия «Эдем-1», арт.Э-37.0 ц/з</t>
        </is>
      </c>
      <c r="D20" s="5" t="inlineStr">
        <is>
          <t>шт.</t>
        </is>
      </c>
      <c r="E20" s="5" t="n">
        <v>5</v>
      </c>
      <c r="F20" s="7" t="inlineStr">
        <is>
          <t>ЦЕНЫ НЕТ</t>
        </is>
      </c>
      <c r="G20" s="8">
        <f>IF(ISNUMBER(F20),E20*F20,0)</f>
        <v/>
      </c>
      <c r="H20" s="5" t="n">
        <v>2</v>
      </c>
      <c r="I20" s="6" t="inlineStr">
        <is>
          <t>3439, 3522</t>
        </is>
      </c>
    </row>
    <row r="21">
      <c r="A21" s="5" t="inlineStr">
        <is>
          <t>3</t>
        </is>
      </c>
      <c r="B21" s="6" t="inlineStr">
        <is>
          <t>Кресло компьютерное (с подлокотниками, колеса, газлифт, материал обивки – к/з); 620х620х955-1135(h) мм</t>
        </is>
      </c>
      <c r="C21" s="6" t="inlineStr">
        <is>
          <t>Prestige GTP New</t>
        </is>
      </c>
      <c r="D21" s="5" t="inlineStr">
        <is>
          <t>шт.</t>
        </is>
      </c>
      <c r="E21" s="5" t="n">
        <v>1</v>
      </c>
      <c r="F21" s="8" t="n">
        <v>12000</v>
      </c>
      <c r="G21" s="8">
        <f>IF(ISNUMBER(F21),E21*F21,0)</f>
        <v/>
      </c>
      <c r="H21" s="5" t="n">
        <v>1</v>
      </c>
      <c r="I21" s="6" t="inlineStr">
        <is>
          <t>3433</t>
        </is>
      </c>
    </row>
    <row r="22">
      <c r="A22" s="5" t="inlineStr">
        <is>
          <t>м33</t>
        </is>
      </c>
      <c r="B22" s="6" t="inlineStr">
        <is>
          <t>Тумба для оргтехники двухстворчатая (2 распашные двери, ниша); 800х550х610(h) мм</t>
        </is>
      </c>
      <c r="C22" s="6" t="inlineStr">
        <is>
          <t>Серия «Эдем-1», арт.Э-26.7</t>
        </is>
      </c>
      <c r="D22" s="5" t="inlineStr">
        <is>
          <t>шт.</t>
        </is>
      </c>
      <c r="E22" s="5" t="n">
        <v>1</v>
      </c>
      <c r="F22" s="7" t="inlineStr">
        <is>
          <t>ЦЕНЫ НЕТ</t>
        </is>
      </c>
      <c r="G22" s="8">
        <f>IF(ISNUMBER(F22),E22*F22,0)</f>
        <v/>
      </c>
      <c r="H22" s="5" t="n">
        <v>1</v>
      </c>
      <c r="I22" s="6" t="inlineStr">
        <is>
          <t>3436</t>
        </is>
      </c>
    </row>
    <row r="23">
      <c r="A23" s="5" t="inlineStr">
        <is>
          <t>м38</t>
        </is>
      </c>
      <c r="B23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C23" s="6" t="inlineStr">
        <is>
          <t>Серия «Эдем-1», арт.Э-44.0 + 47.0*2 + 80.0*2 + ЭВ*2</t>
        </is>
      </c>
      <c r="D23" s="5" t="inlineStr">
        <is>
          <t>шт.</t>
        </is>
      </c>
      <c r="E23" s="5" t="n">
        <v>1</v>
      </c>
      <c r="F23" s="7" t="inlineStr">
        <is>
          <t>ЦЕНЫ НЕТ</t>
        </is>
      </c>
      <c r="G23" s="8">
        <f>IF(ISNUMBER(F23),E23*F23,0)</f>
        <v/>
      </c>
      <c r="H23" s="5" t="n">
        <v>1</v>
      </c>
      <c r="I23" s="6" t="inlineStr">
        <is>
          <t>3437</t>
        </is>
      </c>
    </row>
    <row r="24">
      <c r="A24" s="5" t="inlineStr">
        <is>
          <t>м39</t>
        </is>
      </c>
      <c r="B24" s="6" t="inlineStr">
        <is>
          <t>Шкаф двухстворчатый для одежды (2 распашные двери, перекладина); 768х403х1945(h) мм</t>
        </is>
      </c>
      <c r="C24" s="6" t="inlineStr">
        <is>
          <t>Серия «Эдем-1», арт.Э-46.0</t>
        </is>
      </c>
      <c r="D24" s="5" t="inlineStr">
        <is>
          <t>шт.</t>
        </is>
      </c>
      <c r="E24" s="5" t="n">
        <v>1</v>
      </c>
      <c r="F24" s="7" t="inlineStr">
        <is>
          <t>ЦЕНЫ НЕТ</t>
        </is>
      </c>
      <c r="G24" s="8">
        <f>IF(ISNUMBER(F24),E24*F24,0)</f>
        <v/>
      </c>
      <c r="H24" s="5" t="n">
        <v>1</v>
      </c>
      <c r="I24" s="6" t="inlineStr">
        <is>
          <t>3438</t>
        </is>
      </c>
    </row>
    <row r="25">
      <c r="A25" s="5" t="n"/>
      <c r="B25" s="9" t="inlineStr">
        <is>
          <t>ИТОГО по поставщику ООО «Эдем-Мебель»</t>
        </is>
      </c>
      <c r="C25" s="6" t="n"/>
      <c r="D25" s="5" t="n"/>
      <c r="E25" s="10">
        <f>SUM(E18:E24)</f>
        <v/>
      </c>
      <c r="F25" s="5" t="n"/>
      <c r="G25" s="11">
        <f>SUM(G18:G24)</f>
        <v/>
      </c>
      <c r="H25" s="5" t="n"/>
      <c r="I25" s="6" t="n"/>
    </row>
    <row r="27">
      <c r="A27" s="2" t="inlineStr">
        <is>
          <t>Примечание: блоки А и Б пересекаются по 11 строкам (позиции серии «Эдем-1», у которых поставщиком указано ООО «Эдем-Мебель»), поэтому складывать итоги А и Б нельзя.</t>
        </is>
      </c>
    </row>
    <row r="28">
      <c r="A28" s="2" t="inlineStr">
        <is>
          <t>Всего уникальных строк спецификации с упоминанием «Эдем»: 69 (лист «Все строки Эдем»).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10" customWidth="1" min="4" max="4"/>
    <col width="58" customWidth="1" min="5" max="5"/>
    <col width="42" customWidth="1" min="6" max="6"/>
    <col width="22" customWidth="1" min="7" max="7"/>
    <col width="8" customWidth="1" min="8" max="8"/>
    <col width="9" customWidth="1" min="9" max="9"/>
    <col width="15" customWidth="1" min="10" max="10"/>
    <col width="17" customWidth="1" min="11" max="11"/>
    <col width="44" customWidth="1" min="12" max="12"/>
    <col width="16" customWidth="1" min="13" max="13"/>
  </cols>
  <sheetData>
    <row r="1" ht="30" customHeight="1">
      <c r="A1" s="4" t="inlineStr">
        <is>
          <t>Строка в «Спецификации»</t>
        </is>
      </c>
      <c r="B1" s="4" t="inlineStr">
        <is>
          <t>Раздел</t>
        </is>
      </c>
      <c r="C1" s="4" t="inlineStr">
        <is>
          <t>Помещение</t>
        </is>
      </c>
      <c r="D1" s="4" t="inlineStr">
        <is>
          <t>Поз. по СО</t>
        </is>
      </c>
      <c r="E1" s="4" t="inlineStr">
        <is>
          <t>Наименование и тех. характеристика</t>
        </is>
      </c>
      <c r="F1" s="4" t="inlineStr">
        <is>
          <t>Тип, марка, артикул</t>
        </is>
      </c>
      <c r="G1" s="4" t="inlineStr">
        <is>
          <t>Поставщик</t>
        </is>
      </c>
      <c r="H1" s="4" t="inlineStr">
        <is>
          <t>Ед. изм.</t>
        </is>
      </c>
      <c r="I1" s="4" t="inlineStr">
        <is>
          <t>Кол-во</t>
        </is>
      </c>
      <c r="J1" s="4" t="inlineStr">
        <is>
          <t>Цена, руб. с НДС</t>
        </is>
      </c>
      <c r="K1" s="4" t="inlineStr">
        <is>
          <t>Сумма, руб. с НДС</t>
        </is>
      </c>
      <c r="L1" s="4" t="inlineStr">
        <is>
          <t>Примечание</t>
        </is>
      </c>
      <c r="M1" s="4" t="inlineStr">
        <is>
          <t>Флаг</t>
        </is>
      </c>
    </row>
    <row r="2">
      <c r="A2" s="13" t="n">
        <v>2514</v>
      </c>
      <c r="B2" s="13" t="inlineStr">
        <is>
          <t>ТХ.2. ОБОРУДОВАНИЕ, МЕБЕЛЬ И ИНВЕНТАРЬ ПО ПОМЕЩЕНИЯМ (03-01/07.21П-ТХ.2.СО)</t>
        </is>
      </c>
      <c r="C2" s="13" t="inlineStr">
        <is>
          <t>105.1 Помещение службы безопасности</t>
        </is>
      </c>
      <c r="D2" s="13" t="inlineStr">
        <is>
          <t>2</t>
        </is>
      </c>
      <c r="E2" s="13" t="inlineStr">
        <is>
          <t>Стол рабочий прямой; 1200х700х750(h) мм</t>
        </is>
      </c>
      <c r="F2" s="13" t="inlineStr">
        <is>
          <t>Серия «Эдем-1», арт.Э-21.0</t>
        </is>
      </c>
      <c r="G2" s="13" t="inlineStr">
        <is>
          <t>Торговая сеть Россия</t>
        </is>
      </c>
      <c r="H2" s="13" t="inlineStr">
        <is>
          <t>шт.</t>
        </is>
      </c>
      <c r="I2" s="13" t="n">
        <v>2</v>
      </c>
      <c r="J2" s="14" t="n"/>
      <c r="K2" s="14">
        <f>IF(ISNUMBER(J2),I2*J2,0)</f>
        <v/>
      </c>
      <c r="L2" s="13" t="n"/>
      <c r="M2" s="15" t="inlineStr">
        <is>
          <t>ЦЕНЫ НЕТ</t>
        </is>
      </c>
    </row>
    <row r="3">
      <c r="A3" s="13" t="n">
        <v>2519</v>
      </c>
      <c r="B3" s="13" t="inlineStr">
        <is>
          <t>ТХ.2. ОБОРУДОВАНИЕ, МЕБЕЛЬ И ИНВЕНТАРЬ ПО ПОМЕЩЕНИЯМ (03-01/07.21П-ТХ.2.СО)</t>
        </is>
      </c>
      <c r="C3" s="13" t="inlineStr">
        <is>
          <t>105.1 Помещение службы безопасности</t>
        </is>
      </c>
      <c r="D3" s="13" t="inlineStr">
        <is>
          <t>м38</t>
        </is>
      </c>
      <c r="E3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3" s="13" t="inlineStr">
        <is>
          <t>Серия «Эдем-1», арт.Э-44.0 + 47.0*2 + 80.0*2 + ЭВ*2</t>
        </is>
      </c>
      <c r="G3" s="13" t="inlineStr">
        <is>
          <t>Торговая сеть Россия</t>
        </is>
      </c>
      <c r="H3" s="13" t="inlineStr">
        <is>
          <t>шт.</t>
        </is>
      </c>
      <c r="I3" s="13" t="n">
        <v>2</v>
      </c>
      <c r="J3" s="14" t="n"/>
      <c r="K3" s="14">
        <f>IF(ISNUMBER(J3),I3*J3,0)</f>
        <v/>
      </c>
      <c r="L3" s="13" t="n"/>
      <c r="M3" s="15" t="inlineStr">
        <is>
          <t>ЦЕНЫ НЕТ</t>
        </is>
      </c>
    </row>
    <row r="4">
      <c r="A4" s="13" t="n">
        <v>2520</v>
      </c>
      <c r="B4" s="13" t="inlineStr">
        <is>
          <t>ТХ.2. ОБОРУДОВАНИЕ, МЕБЕЛЬ И ИНВЕНТАРЬ ПО ПОМЕЩЕНИЯМ (03-01/07.21П-ТХ.2.СО)</t>
        </is>
      </c>
      <c r="C4" s="13" t="inlineStr">
        <is>
          <t>105.1 Помещение службы безопасности</t>
        </is>
      </c>
      <c r="D4" s="13" t="inlineStr">
        <is>
          <t>м33</t>
        </is>
      </c>
      <c r="E4" s="13" t="inlineStr">
        <is>
          <t>Тумба для оргтехники двухстворчатая (2 распашные двери, ниша); 800х550х610(h) мм</t>
        </is>
      </c>
      <c r="F4" s="13" t="inlineStr">
        <is>
          <t>Серия «Эдем-1», арт.Э-26.7</t>
        </is>
      </c>
      <c r="G4" s="13" t="inlineStr">
        <is>
          <t>Торговая сеть Россия</t>
        </is>
      </c>
      <c r="H4" s="13" t="inlineStr">
        <is>
          <t>шт.</t>
        </is>
      </c>
      <c r="I4" s="13" t="n">
        <v>1</v>
      </c>
      <c r="J4" s="14" t="n"/>
      <c r="K4" s="14">
        <f>IF(ISNUMBER(J4),I4*J4,0)</f>
        <v/>
      </c>
      <c r="L4" s="13" t="n"/>
      <c r="M4" s="15" t="inlineStr">
        <is>
          <t>ЦЕНЫ НЕТ</t>
        </is>
      </c>
    </row>
    <row r="5">
      <c r="A5" s="13" t="n">
        <v>2542</v>
      </c>
      <c r="B5" s="13" t="inlineStr">
        <is>
          <t>ТХ.2. ОБОРУДОВАНИЕ, МЕБЕЛЬ И ИНВЕНТАРЬ ПО ПОМЕЩЕНИЯМ (03-01/07.21П-ТХ.2.СО)</t>
        </is>
      </c>
      <c r="C5" s="13" t="inlineStr">
        <is>
          <t>107 Помещение охраны круглосуточного дежурства</t>
        </is>
      </c>
      <c r="D5" s="13" t="inlineStr">
        <is>
          <t>м38</t>
        </is>
      </c>
      <c r="E5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5" s="13" t="inlineStr">
        <is>
          <t>Серия «Эдем-1», арт.Э-44.0 + 47.0*2 + 80.0*2 + ЭВ*2</t>
        </is>
      </c>
      <c r="G5" s="13" t="inlineStr">
        <is>
          <t>Торговая сеть Россия</t>
        </is>
      </c>
      <c r="H5" s="13" t="inlineStr">
        <is>
          <t>шт.</t>
        </is>
      </c>
      <c r="I5" s="13" t="n">
        <v>1</v>
      </c>
      <c r="J5" s="14" t="n"/>
      <c r="K5" s="14">
        <f>IF(ISNUMBER(J5),I5*J5,0)</f>
        <v/>
      </c>
      <c r="L5" s="13" t="n"/>
      <c r="M5" s="15" t="inlineStr">
        <is>
          <t>ЦЕНЫ НЕТ</t>
        </is>
      </c>
    </row>
    <row r="6">
      <c r="A6" s="13" t="n">
        <v>2545</v>
      </c>
      <c r="B6" s="13" t="inlineStr">
        <is>
          <t>ТХ.2. ОБОРУДОВАНИЕ, МЕБЕЛЬ И ИНВЕНТАРЬ ПО ПОМЕЩЕНИЯМ (03-01/07.21П-ТХ.2.СО)</t>
        </is>
      </c>
      <c r="C6" s="13" t="inlineStr">
        <is>
          <t>107 Помещение охраны круглосуточного дежурства</t>
        </is>
      </c>
      <c r="D6" s="13" t="inlineStr">
        <is>
          <t>м33</t>
        </is>
      </c>
      <c r="E6" s="13" t="inlineStr">
        <is>
          <t>Тумба для оргтехники двухстворчатая (2 распашные двери, ниша); 800х550х610(h) мм</t>
        </is>
      </c>
      <c r="F6" s="13" t="inlineStr">
        <is>
          <t>Серия «Эдем-1», арт.Э-26.7</t>
        </is>
      </c>
      <c r="G6" s="13" t="inlineStr">
        <is>
          <t>Торговая сеть Россия</t>
        </is>
      </c>
      <c r="H6" s="13" t="inlineStr">
        <is>
          <t>шт.</t>
        </is>
      </c>
      <c r="I6" s="13" t="n">
        <v>1</v>
      </c>
      <c r="J6" s="14" t="n"/>
      <c r="K6" s="14">
        <f>IF(ISNUMBER(J6),I6*J6,0)</f>
        <v/>
      </c>
      <c r="L6" s="13" t="n"/>
      <c r="M6" s="15" t="inlineStr">
        <is>
          <t>ЦЕНЫ НЕТ</t>
        </is>
      </c>
    </row>
    <row r="7">
      <c r="A7" s="13" t="n">
        <v>2559</v>
      </c>
      <c r="B7" s="13" t="inlineStr">
        <is>
          <t>ТХ.2. ОБОРУДОВАНИЕ, МЕБЕЛЬ И ИНВЕНТАРЬ ПО ПОМЕЩЕНИЯМ (03-01/07.21П-ТХ.2.СО)</t>
        </is>
      </c>
      <c r="C7" s="13" t="inlineStr">
        <is>
          <t>109 - Обработка антисептическими составами Касса для массового катания</t>
        </is>
      </c>
      <c r="D7" s="13" t="inlineStr">
        <is>
          <t>м33</t>
        </is>
      </c>
      <c r="E7" s="13" t="inlineStr">
        <is>
          <t>Тумба для оргтехники двухстворчатая (2 распашные двери, ниша); 800х550х610(h) мм</t>
        </is>
      </c>
      <c r="F7" s="13" t="inlineStr">
        <is>
          <t>Серия «Эдем-1», арт.Э-26.7</t>
        </is>
      </c>
      <c r="G7" s="13" t="inlineStr">
        <is>
          <t>Торговая сеть Россия</t>
        </is>
      </c>
      <c r="H7" s="13" t="inlineStr">
        <is>
          <t>шт.</t>
        </is>
      </c>
      <c r="I7" s="13" t="n">
        <v>1</v>
      </c>
      <c r="J7" s="14" t="n"/>
      <c r="K7" s="14">
        <f>IF(ISNUMBER(J7),I7*J7,0)</f>
        <v/>
      </c>
      <c r="L7" s="13" t="n"/>
      <c r="M7" s="15" t="inlineStr">
        <is>
          <t>ЦЕНЫ НЕТ</t>
        </is>
      </c>
    </row>
    <row r="8">
      <c r="A8" s="13" t="n">
        <v>2561</v>
      </c>
      <c r="B8" s="13" t="inlineStr">
        <is>
          <t>ТХ.2. ОБОРУДОВАНИЕ, МЕБЕЛЬ И ИНВЕНТАРЬ ПО ПОМЕЩЕНИЯМ (03-01/07.21П-ТХ.2.СО)</t>
        </is>
      </c>
      <c r="C8" s="13" t="inlineStr">
        <is>
          <t>109 - Обработка антисептическими составами Касса для массового катания</t>
        </is>
      </c>
      <c r="D8" s="13" t="inlineStr">
        <is>
          <t>м38</t>
        </is>
      </c>
      <c r="E8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8" s="13" t="inlineStr">
        <is>
          <t>Серия «Эдем-1», арт.Э-44.0 + 47.0*2 + 80.0*2 + ЭВ*2</t>
        </is>
      </c>
      <c r="G8" s="13" t="inlineStr">
        <is>
          <t>Торговая сеть Россия</t>
        </is>
      </c>
      <c r="H8" s="13" t="inlineStr">
        <is>
          <t>шт.</t>
        </is>
      </c>
      <c r="I8" s="13" t="n">
        <v>1</v>
      </c>
      <c r="J8" s="14" t="n"/>
      <c r="K8" s="14">
        <f>IF(ISNUMBER(J8),I8*J8,0)</f>
        <v/>
      </c>
      <c r="L8" s="13" t="n"/>
      <c r="M8" s="15" t="inlineStr">
        <is>
          <t>ЦЕНЫ НЕТ</t>
        </is>
      </c>
    </row>
    <row r="9">
      <c r="A9" s="13" t="n">
        <v>2571</v>
      </c>
      <c r="B9" s="13" t="inlineStr">
        <is>
          <t>ТХ.2. ОБОРУДОВАНИЕ, МЕБЕЛЬ И ИНВЕНТАРЬ ПО ПОМЕЩЕНИЯМ (03-01/07.21П-ТХ.2.СО)</t>
        </is>
      </c>
      <c r="C9" s="13" t="inlineStr">
        <is>
          <t>109.1 Помещение кассы</t>
        </is>
      </c>
      <c r="D9" s="13" t="inlineStr">
        <is>
          <t>м33</t>
        </is>
      </c>
      <c r="E9" s="13" t="inlineStr">
        <is>
          <t>Тумба для оргтехники двухстворчатая (2 распашные двери, ниша); 800х550х610(h) мм</t>
        </is>
      </c>
      <c r="F9" s="13" t="inlineStr">
        <is>
          <t>Серия «Эдем-1», арт.Э-26.7</t>
        </is>
      </c>
      <c r="G9" s="13" t="inlineStr">
        <is>
          <t>Торговая сеть Россия</t>
        </is>
      </c>
      <c r="H9" s="13" t="inlineStr">
        <is>
          <t>шт.</t>
        </is>
      </c>
      <c r="I9" s="13" t="n">
        <v>1</v>
      </c>
      <c r="J9" s="14" t="n"/>
      <c r="K9" s="14">
        <f>IF(ISNUMBER(J9),I9*J9,0)</f>
        <v/>
      </c>
      <c r="L9" s="13" t="n"/>
      <c r="M9" s="15" t="inlineStr">
        <is>
          <t>ЦЕНЫ НЕТ</t>
        </is>
      </c>
    </row>
    <row r="10">
      <c r="A10" s="13" t="n">
        <v>2573</v>
      </c>
      <c r="B10" s="13" t="inlineStr">
        <is>
          <t>ТХ.2. ОБОРУДОВАНИЕ, МЕБЕЛЬ И ИНВЕНТАРЬ ПО ПОМЕЩЕНИЯМ (03-01/07.21П-ТХ.2.СО)</t>
        </is>
      </c>
      <c r="C10" s="13" t="inlineStr">
        <is>
          <t>109.1 Помещение кассы</t>
        </is>
      </c>
      <c r="D10" s="13" t="inlineStr">
        <is>
          <t>м38</t>
        </is>
      </c>
      <c r="E10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10" s="13" t="inlineStr">
        <is>
          <t>Серия «Эдем-1», арт.Э-44.0 + 47.0*2 + 80.0*2 + ЭВ*2</t>
        </is>
      </c>
      <c r="G10" s="13" t="inlineStr">
        <is>
          <t>Торговая сеть Россия</t>
        </is>
      </c>
      <c r="H10" s="13" t="inlineStr">
        <is>
          <t>шт.</t>
        </is>
      </c>
      <c r="I10" s="13" t="n">
        <v>1</v>
      </c>
      <c r="J10" s="14" t="n"/>
      <c r="K10" s="14">
        <f>IF(ISNUMBER(J10),I10*J10,0)</f>
        <v/>
      </c>
      <c r="L10" s="13" t="n"/>
      <c r="M10" s="15" t="inlineStr">
        <is>
          <t>ЦЕНЫ НЕТ</t>
        </is>
      </c>
    </row>
    <row r="11">
      <c r="A11" s="13" t="n">
        <v>2580</v>
      </c>
      <c r="B11" s="13" t="inlineStr">
        <is>
          <t>ТХ.2. ОБОРУДОВАНИЕ, МЕБЕЛЬ И ИНВЕНТАРЬ ПО ПОМЕЩЕНИЯМ (03-01/07.21П-ТХ.2.СО)</t>
        </is>
      </c>
      <c r="C11" s="13" t="inlineStr">
        <is>
          <t>110 Ритейл, помещение для хранения, сушки коньков, выдачи проката и заточки коньков</t>
        </is>
      </c>
      <c r="D11" s="13" t="inlineStr">
        <is>
          <t>м17</t>
        </is>
      </c>
      <c r="E11" s="13" t="inlineStr">
        <is>
          <t>Стол рабочий прямой; 1400х700х750(h) мм</t>
        </is>
      </c>
      <c r="F11" s="13" t="inlineStr">
        <is>
          <t>Серия «Эдем-1», арт.Э-22.0</t>
        </is>
      </c>
      <c r="G11" s="13" t="inlineStr">
        <is>
          <t>Торговая сеть Россия</t>
        </is>
      </c>
      <c r="H11" s="13" t="inlineStr">
        <is>
          <t>шт.</t>
        </is>
      </c>
      <c r="I11" s="13" t="n">
        <v>1</v>
      </c>
      <c r="J11" s="14" t="n"/>
      <c r="K11" s="14">
        <f>IF(ISNUMBER(J11),I11*J11,0)</f>
        <v/>
      </c>
      <c r="L11" s="13" t="n"/>
      <c r="M11" s="15" t="inlineStr">
        <is>
          <t>ЦЕНЫ НЕТ</t>
        </is>
      </c>
    </row>
    <row r="12">
      <c r="A12" s="13" t="n">
        <v>2608</v>
      </c>
      <c r="B12" s="13" t="inlineStr">
        <is>
          <t>ТХ.2. ОБОРУДОВАНИЕ, МЕБЕЛЬ И ИНВЕНТАРЬ ПО ПОМЕЩЕНИЯМ (03-01/07.21П-ТХ.2.СО)</t>
        </is>
      </c>
      <c r="C12" s="13" t="inlineStr">
        <is>
          <t>118 Помещение службы безопасности</t>
        </is>
      </c>
      <c r="D12" s="13" t="inlineStr">
        <is>
          <t>2</t>
        </is>
      </c>
      <c r="E12" s="13" t="inlineStr">
        <is>
          <t>Стол рабочий прямой; 1200х700х750(h) мм</t>
        </is>
      </c>
      <c r="F12" s="13" t="inlineStr">
        <is>
          <t>Серия «Эдем-1», арт.Э-21.0</t>
        </is>
      </c>
      <c r="G12" s="13" t="inlineStr">
        <is>
          <t>Торговая сеть Россия</t>
        </is>
      </c>
      <c r="H12" s="13" t="inlineStr">
        <is>
          <t>шт.</t>
        </is>
      </c>
      <c r="I12" s="13" t="n">
        <v>1</v>
      </c>
      <c r="J12" s="14" t="n"/>
      <c r="K12" s="14">
        <f>IF(ISNUMBER(J12),I12*J12,0)</f>
        <v/>
      </c>
      <c r="L12" s="13" t="n"/>
      <c r="M12" s="15" t="inlineStr">
        <is>
          <t>ЦЕНЫ НЕТ</t>
        </is>
      </c>
    </row>
    <row r="13">
      <c r="A13" s="13" t="n">
        <v>2612</v>
      </c>
      <c r="B13" s="13" t="inlineStr">
        <is>
          <t>ТХ.2. ОБОРУДОВАНИЕ, МЕБЕЛЬ И ИНВЕНТАРЬ ПО ПОМЕЩЕНИЯМ (03-01/07.21П-ТХ.2.СО)</t>
        </is>
      </c>
      <c r="C13" s="13" t="inlineStr">
        <is>
          <t>118 Помещение службы безопасности</t>
        </is>
      </c>
      <c r="D13" s="13" t="inlineStr">
        <is>
          <t>м38</t>
        </is>
      </c>
      <c r="E13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13" s="13" t="inlineStr">
        <is>
          <t>Серия «Эдем-1», арт.Э-44.0 + 47.0*2 + 80.0*2 + ЭВ*2</t>
        </is>
      </c>
      <c r="G13" s="13" t="inlineStr">
        <is>
          <t>Торговая сеть Россия</t>
        </is>
      </c>
      <c r="H13" s="13" t="inlineStr">
        <is>
          <t>шт.</t>
        </is>
      </c>
      <c r="I13" s="13" t="n">
        <v>1</v>
      </c>
      <c r="J13" s="14" t="n"/>
      <c r="K13" s="14">
        <f>IF(ISNUMBER(J13),I13*J13,0)</f>
        <v/>
      </c>
      <c r="L13" s="13" t="n"/>
      <c r="M13" s="15" t="inlineStr">
        <is>
          <t>ЦЕНЫ НЕТ</t>
        </is>
      </c>
    </row>
    <row r="14">
      <c r="A14" s="13" t="n">
        <v>2614</v>
      </c>
      <c r="B14" s="13" t="inlineStr">
        <is>
          <t>ТХ.2. ОБОРУДОВАНИЕ, МЕБЕЛЬ И ИНВЕНТАРЬ ПО ПОМЕЩЕНИЯМ (03-01/07.21П-ТХ.2.СО)</t>
        </is>
      </c>
      <c r="C14" s="13" t="inlineStr">
        <is>
          <t>118 Помещение службы безопасности</t>
        </is>
      </c>
      <c r="D14" s="13" t="inlineStr">
        <is>
          <t>м33</t>
        </is>
      </c>
      <c r="E14" s="13" t="inlineStr">
        <is>
          <t>Тумба для оргтехники двухстворчатая (2 распашные двери, ниша); 800х550х610(h) мм</t>
        </is>
      </c>
      <c r="F14" s="13" t="inlineStr">
        <is>
          <t>Серия «Эдем-1», арт.Э-26.7</t>
        </is>
      </c>
      <c r="G14" s="13" t="inlineStr">
        <is>
          <t>Торговая сеть Россия</t>
        </is>
      </c>
      <c r="H14" s="13" t="inlineStr">
        <is>
          <t>шт.</t>
        </is>
      </c>
      <c r="I14" s="13" t="n">
        <v>1</v>
      </c>
      <c r="J14" s="14" t="n"/>
      <c r="K14" s="14">
        <f>IF(ISNUMBER(J14),I14*J14,0)</f>
        <v/>
      </c>
      <c r="L14" s="13" t="n"/>
      <c r="M14" s="15" t="inlineStr">
        <is>
          <t>ЦЕНЫ НЕТ</t>
        </is>
      </c>
    </row>
    <row r="15">
      <c r="A15" s="13" t="n">
        <v>2624</v>
      </c>
      <c r="B15" s="13" t="inlineStr">
        <is>
          <t>ТХ.2. ОБОРУДОВАНИЕ, МЕБЕЛЬ И ИНВЕНТАРЬ ПО ПОМЕЩЕНИЯМ (03-01/07.21П-ТХ.2.СО)</t>
        </is>
      </c>
      <c r="C15" s="13" t="inlineStr">
        <is>
          <t>119 Помещение охраны круглосуточного дежурства 2</t>
        </is>
      </c>
      <c r="D15" s="13" t="inlineStr">
        <is>
          <t>м38</t>
        </is>
      </c>
      <c r="E15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15" s="13" t="inlineStr">
        <is>
          <t>Серия «Эдем-1», арт.Э-44.0 + 47.0*2 + 80.0*2 + ЭВ*2</t>
        </is>
      </c>
      <c r="G15" s="13" t="inlineStr">
        <is>
          <t>Торговая сеть Россия</t>
        </is>
      </c>
      <c r="H15" s="13" t="inlineStr">
        <is>
          <t>шт.</t>
        </is>
      </c>
      <c r="I15" s="13" t="n">
        <v>2</v>
      </c>
      <c r="J15" s="14" t="n"/>
      <c r="K15" s="14">
        <f>IF(ISNUMBER(J15),I15*J15,0)</f>
        <v/>
      </c>
      <c r="L15" s="13" t="n"/>
      <c r="M15" s="15" t="inlineStr">
        <is>
          <t>ЦЕНЫ НЕТ</t>
        </is>
      </c>
    </row>
    <row r="16">
      <c r="A16" s="13" t="n">
        <v>2625</v>
      </c>
      <c r="B16" s="13" t="inlineStr">
        <is>
          <t>ТХ.2. ОБОРУДОВАНИЕ, МЕБЕЛЬ И ИНВЕНТАРЬ ПО ПОМЕЩЕНИЯМ (03-01/07.21П-ТХ.2.СО)</t>
        </is>
      </c>
      <c r="C16" s="13" t="inlineStr">
        <is>
          <t>119 Помещение охраны круглосуточного дежурства 2</t>
        </is>
      </c>
      <c r="D16" s="13" t="inlineStr">
        <is>
          <t>м33</t>
        </is>
      </c>
      <c r="E16" s="13" t="inlineStr">
        <is>
          <t>Тумба для оргтехники двухстворчатая (2 распашные двери, ниша); 800х550х610(h) мм</t>
        </is>
      </c>
      <c r="F16" s="13" t="inlineStr">
        <is>
          <t>Серия «Эдем-1», арт.Э-26.7</t>
        </is>
      </c>
      <c r="G16" s="13" t="inlineStr">
        <is>
          <t>Торговая сеть Россия</t>
        </is>
      </c>
      <c r="H16" s="13" t="inlineStr">
        <is>
          <t>шт.</t>
        </is>
      </c>
      <c r="I16" s="13" t="n">
        <v>1</v>
      </c>
      <c r="J16" s="14" t="n"/>
      <c r="K16" s="14">
        <f>IF(ISNUMBER(J16),I16*J16,0)</f>
        <v/>
      </c>
      <c r="L16" s="13" t="n"/>
      <c r="M16" s="15" t="inlineStr">
        <is>
          <t>ЦЕНЫ НЕТ</t>
        </is>
      </c>
    </row>
    <row r="17">
      <c r="A17" s="13" t="n">
        <v>2771</v>
      </c>
      <c r="B17" s="13" t="inlineStr">
        <is>
          <t>ТХ.2. ОБОРУДОВАНИЕ, МЕБЕЛЬ И ИНВЕНТАРЬ ПО ПОМЕЩЕНИЯМ (03-01/07.21П-ТХ.2.СО)</t>
        </is>
      </c>
      <c r="C17" s="13" t="inlineStr">
        <is>
          <t>128 Раздевальная для хоккеистов 1</t>
        </is>
      </c>
      <c r="D17" s="13" t="inlineStr">
        <is>
          <t>м17</t>
        </is>
      </c>
      <c r="E17" s="13" t="inlineStr">
        <is>
          <t>Стол рабочий прямой; 1400х700х750(h) мм</t>
        </is>
      </c>
      <c r="F17" s="13" t="inlineStr">
        <is>
          <t>Серия «Эдем-1», арт.Э-22.0</t>
        </is>
      </c>
      <c r="G17" s="13" t="inlineStr">
        <is>
          <t>Торговая сеть Россия</t>
        </is>
      </c>
      <c r="H17" s="13" t="inlineStr">
        <is>
          <t>шт.</t>
        </is>
      </c>
      <c r="I17" s="13" t="n">
        <v>1</v>
      </c>
      <c r="J17" s="14" t="n"/>
      <c r="K17" s="14">
        <f>IF(ISNUMBER(J17),I17*J17,0)</f>
        <v/>
      </c>
      <c r="L17" s="13" t="n"/>
      <c r="M17" s="15" t="inlineStr">
        <is>
          <t>ЦЕНЫ НЕТ</t>
        </is>
      </c>
    </row>
    <row r="18">
      <c r="A18" s="13" t="n">
        <v>2802</v>
      </c>
      <c r="B18" s="13" t="inlineStr">
        <is>
          <t>ТХ.2. ОБОРУДОВАНИЕ, МЕБЕЛЬ И ИНВЕНТАРЬ ПО ПОМЕЩЕНИЯМ (03-01/07.21П-ТХ.2.СО)</t>
        </is>
      </c>
      <c r="C18" s="13" t="inlineStr">
        <is>
          <t>129 Раздевальная для хоккеистов 2</t>
        </is>
      </c>
      <c r="D18" s="13" t="inlineStr">
        <is>
          <t>м17</t>
        </is>
      </c>
      <c r="E18" s="13" t="inlineStr">
        <is>
          <t>Стол рабочий прямой; 1400х700х750(h) мм</t>
        </is>
      </c>
      <c r="F18" s="13" t="inlineStr">
        <is>
          <t>Серия «Эдем-1», арт.Э-22.0</t>
        </is>
      </c>
      <c r="G18" s="13" t="inlineStr">
        <is>
          <t>Торговая сеть Россия</t>
        </is>
      </c>
      <c r="H18" s="13" t="inlineStr">
        <is>
          <t>шт.</t>
        </is>
      </c>
      <c r="I18" s="13" t="n">
        <v>1</v>
      </c>
      <c r="J18" s="14" t="n"/>
      <c r="K18" s="14">
        <f>IF(ISNUMBER(J18),I18*J18,0)</f>
        <v/>
      </c>
      <c r="L18" s="13" t="n"/>
      <c r="M18" s="15" t="inlineStr">
        <is>
          <t>ЦЕНЫ НЕТ</t>
        </is>
      </c>
    </row>
    <row r="19">
      <c r="A19" s="13" t="n">
        <v>2833</v>
      </c>
      <c r="B19" s="13" t="inlineStr">
        <is>
          <t>ТХ.2. ОБОРУДОВАНИЕ, МЕБЕЛЬ И ИНВЕНТАРЬ ПО ПОМЕЩЕНИЯМ (03-01/07.21П-ТХ.2.СО)</t>
        </is>
      </c>
      <c r="C19" s="13" t="inlineStr">
        <is>
          <t>130 Раздевальная для хоккеистов 3</t>
        </is>
      </c>
      <c r="D19" s="13" t="inlineStr">
        <is>
          <t>м17</t>
        </is>
      </c>
      <c r="E19" s="13" t="inlineStr">
        <is>
          <t>Стол рабочий прямой; 1400х700х750(h) мм</t>
        </is>
      </c>
      <c r="F19" s="13" t="inlineStr">
        <is>
          <t>Серия «Эдем-1», арт.Э-22.0</t>
        </is>
      </c>
      <c r="G19" s="13" t="inlineStr">
        <is>
          <t>Торговая сеть Россия</t>
        </is>
      </c>
      <c r="H19" s="13" t="inlineStr">
        <is>
          <t>шт.</t>
        </is>
      </c>
      <c r="I19" s="13" t="n">
        <v>1</v>
      </c>
      <c r="J19" s="14" t="n"/>
      <c r="K19" s="14">
        <f>IF(ISNUMBER(J19),I19*J19,0)</f>
        <v/>
      </c>
      <c r="L19" s="13" t="n"/>
      <c r="M19" s="15" t="inlineStr">
        <is>
          <t>ЦЕНЫ НЕТ</t>
        </is>
      </c>
    </row>
    <row r="20">
      <c r="A20" s="13" t="n">
        <v>2864</v>
      </c>
      <c r="B20" s="13" t="inlineStr">
        <is>
          <t>ТХ.2. ОБОРУДОВАНИЕ, МЕБЕЛЬ И ИНВЕНТАРЬ ПО ПОМЕЩЕНИЯМ (03-01/07.21П-ТХ.2.СО)</t>
        </is>
      </c>
      <c r="C20" s="13" t="inlineStr">
        <is>
          <t>131 Раздевальная для хоккеистов 4</t>
        </is>
      </c>
      <c r="D20" s="13" t="inlineStr">
        <is>
          <t>м17</t>
        </is>
      </c>
      <c r="E20" s="13" t="inlineStr">
        <is>
          <t>Стол рабочий прямой; 1400х700х750(h) мм</t>
        </is>
      </c>
      <c r="F20" s="13" t="inlineStr">
        <is>
          <t>Серия «Эдем-1», арт.Э-22.0</t>
        </is>
      </c>
      <c r="G20" s="13" t="inlineStr">
        <is>
          <t>Торговая сеть Россия</t>
        </is>
      </c>
      <c r="H20" s="13" t="inlineStr">
        <is>
          <t>шт.</t>
        </is>
      </c>
      <c r="I20" s="13" t="n">
        <v>1</v>
      </c>
      <c r="J20" s="14" t="n"/>
      <c r="K20" s="14">
        <f>IF(ISNUMBER(J20),I20*J20,0)</f>
        <v/>
      </c>
      <c r="L20" s="13" t="n"/>
      <c r="M20" s="15" t="inlineStr">
        <is>
          <t>ЦЕНЫ НЕТ</t>
        </is>
      </c>
    </row>
    <row r="21">
      <c r="A21" s="13" t="n">
        <v>2895</v>
      </c>
      <c r="B21" s="13" t="inlineStr">
        <is>
          <t>ТХ.2. ОБОРУДОВАНИЕ, МЕБЕЛЬ И ИНВЕНТАРЬ ПО ПОМЕЩЕНИЯМ (03-01/07.21П-ТХ.2.СО)</t>
        </is>
      </c>
      <c r="C21" s="13" t="inlineStr">
        <is>
          <t>132 Раздевальная для хоккеистов 5</t>
        </is>
      </c>
      <c r="D21" s="13" t="inlineStr">
        <is>
          <t>м17</t>
        </is>
      </c>
      <c r="E21" s="13" t="inlineStr">
        <is>
          <t>Стол рабочий прямой; 1400х700х750(h) мм</t>
        </is>
      </c>
      <c r="F21" s="13" t="inlineStr">
        <is>
          <t>Серия «Эдем-1», арт.Э-22.0</t>
        </is>
      </c>
      <c r="G21" s="13" t="inlineStr">
        <is>
          <t>Торговая сеть Россия</t>
        </is>
      </c>
      <c r="H21" s="13" t="inlineStr">
        <is>
          <t>шт.</t>
        </is>
      </c>
      <c r="I21" s="13" t="n">
        <v>1</v>
      </c>
      <c r="J21" s="14" t="n"/>
      <c r="K21" s="14">
        <f>IF(ISNUMBER(J21),I21*J21,0)</f>
        <v/>
      </c>
      <c r="L21" s="13" t="n"/>
      <c r="M21" s="15" t="inlineStr">
        <is>
          <t>ЦЕНЫ НЕТ</t>
        </is>
      </c>
    </row>
    <row r="22">
      <c r="A22" s="13" t="n">
        <v>2926</v>
      </c>
      <c r="B22" s="13" t="inlineStr">
        <is>
          <t>ТХ.2. ОБОРУДОВАНИЕ, МЕБЕЛЬ И ИНВЕНТАРЬ ПО ПОМЕЩЕНИЯМ (03-01/07.21П-ТХ.2.СО)</t>
        </is>
      </c>
      <c r="C22" s="13" t="inlineStr">
        <is>
          <t>133 Раздевальная для хоккеистов 6</t>
        </is>
      </c>
      <c r="D22" s="13" t="inlineStr">
        <is>
          <t>м17</t>
        </is>
      </c>
      <c r="E22" s="13" t="inlineStr">
        <is>
          <t>Стол рабочий прямой; 1400х700х750(h) мм</t>
        </is>
      </c>
      <c r="F22" s="13" t="inlineStr">
        <is>
          <t>Серия «Эдем-1», арт.Э-22.0</t>
        </is>
      </c>
      <c r="G22" s="13" t="inlineStr">
        <is>
          <t>Торговая сеть Россия</t>
        </is>
      </c>
      <c r="H22" s="13" t="inlineStr">
        <is>
          <t>шт.</t>
        </is>
      </c>
      <c r="I22" s="13" t="n">
        <v>1</v>
      </c>
      <c r="J22" s="14" t="n"/>
      <c r="K22" s="14">
        <f>IF(ISNUMBER(J22),I22*J22,0)</f>
        <v/>
      </c>
      <c r="L22" s="13" t="n"/>
      <c r="M22" s="15" t="inlineStr">
        <is>
          <t>ЦЕНЫ НЕТ</t>
        </is>
      </c>
    </row>
    <row r="23">
      <c r="A23" s="13" t="n">
        <v>2984</v>
      </c>
      <c r="B23" s="13" t="inlineStr">
        <is>
          <t>ТХ.2. ОБОРУДОВАНИЕ, МЕБЕЛЬ И ИНВЕНТАРЬ ПО ПОМЕЩЕНИЯМ (03-01/07.21П-ТХ.2.СО)</t>
        </is>
      </c>
      <c r="C23" s="13" t="inlineStr">
        <is>
          <t>138 Помещение для работы персонала (место отбора проб)</t>
        </is>
      </c>
      <c r="D23" s="13" t="inlineStr">
        <is>
          <t>м17</t>
        </is>
      </c>
      <c r="E23" s="13" t="inlineStr">
        <is>
          <t>Стол рабочий прямой; 1400х700х750(h) мм</t>
        </is>
      </c>
      <c r="F23" s="13" t="inlineStr">
        <is>
          <t>Серия «Эдем-1», арт.Э-22.0</t>
        </is>
      </c>
      <c r="G23" s="13" t="inlineStr">
        <is>
          <t>ООО «Эдем-Мебель»</t>
        </is>
      </c>
      <c r="H23" s="13" t="inlineStr">
        <is>
          <t>шт.</t>
        </is>
      </c>
      <c r="I23" s="13" t="n">
        <v>1</v>
      </c>
      <c r="J23" s="14" t="n"/>
      <c r="K23" s="14">
        <f>IF(ISNUMBER(J23),I23*J23,0)</f>
        <v/>
      </c>
      <c r="L23" s="13" t="n"/>
      <c r="M23" s="15" t="inlineStr">
        <is>
          <t>ЦЕНЫ НЕТ</t>
        </is>
      </c>
    </row>
    <row r="24">
      <c r="A24" s="6" t="n">
        <v>2985</v>
      </c>
      <c r="B24" s="6" t="inlineStr">
        <is>
          <t>ТХ.2. ОБОРУДОВАНИЕ, МЕБЕЛЬ И ИНВЕНТАРЬ ПО ПОМЕЩЕНИЯМ (03-01/07.21П-ТХ.2.СО)</t>
        </is>
      </c>
      <c r="C24" s="6" t="inlineStr">
        <is>
          <t>138 Помещение для работы персонала (место отбора проб)</t>
        </is>
      </c>
      <c r="D24" s="6" t="inlineStr">
        <is>
          <t>м28</t>
        </is>
      </c>
      <c r="E24" s="6" t="inlineStr">
        <is>
          <t>Стул для посетителей (материал обивки – к/з); 540х440х820(h) мм</t>
        </is>
      </c>
      <c r="F24" s="6" t="inlineStr">
        <is>
          <t>Gigant GCH-01 (BL)</t>
        </is>
      </c>
      <c r="G24" s="6" t="inlineStr">
        <is>
          <t>ООО «Эдем-Мебель»</t>
        </is>
      </c>
      <c r="H24" s="6" t="inlineStr">
        <is>
          <t>шт.</t>
        </is>
      </c>
      <c r="I24" s="6" t="n">
        <v>1</v>
      </c>
      <c r="J24" s="16" t="n">
        <v>1950</v>
      </c>
      <c r="K24" s="16">
        <f>IF(ISNUMBER(J24),I24*J24,0)</f>
        <v/>
      </c>
      <c r="L24" s="6" t="inlineStr">
        <is>
          <t>цена перенесена сюда из ВОР 02-01-11 (ВОР 8, ВОР 483), сама строка ВОР удалена как дубль</t>
        </is>
      </c>
      <c r="M24" s="6" t="inlineStr">
        <is>
          <t>проценено</t>
        </is>
      </c>
    </row>
    <row r="25">
      <c r="A25" s="13" t="n">
        <v>3247</v>
      </c>
      <c r="B25" s="13" t="inlineStr">
        <is>
          <t>ТХ.2. ОБОРУДОВАНИЕ, МЕБЕЛЬ И ИНВЕНТАРЬ ПО ПОМЕЩЕНИЯМ (03-01/07.21П-ТХ.2.СО)</t>
        </is>
      </c>
      <c r="C25" s="13" t="inlineStr">
        <is>
          <t>162.2 Помещение распечатки результатов</t>
        </is>
      </c>
      <c r="D25" s="13" t="inlineStr">
        <is>
          <t>м17</t>
        </is>
      </c>
      <c r="E25" s="13" t="inlineStr">
        <is>
          <t>Стол рабочий прямой; 1400х700х750(h) мм</t>
        </is>
      </c>
      <c r="F25" s="13" t="inlineStr">
        <is>
          <t>Серия «Эдем-1», арт.Э-22.0</t>
        </is>
      </c>
      <c r="G25" s="13" t="inlineStr">
        <is>
          <t>ООО «Эдем-Мебель»</t>
        </is>
      </c>
      <c r="H25" s="13" t="inlineStr">
        <is>
          <t>шт.</t>
        </is>
      </c>
      <c r="I25" s="13" t="n">
        <v>1</v>
      </c>
      <c r="J25" s="14" t="n"/>
      <c r="K25" s="14">
        <f>IF(ISNUMBER(J25),I25*J25,0)</f>
        <v/>
      </c>
      <c r="L25" s="13" t="n"/>
      <c r="M25" s="15" t="inlineStr">
        <is>
          <t>ЦЕНЫ НЕТ</t>
        </is>
      </c>
    </row>
    <row r="26">
      <c r="A26" s="13" t="n">
        <v>3251</v>
      </c>
      <c r="B26" s="13" t="inlineStr">
        <is>
          <t>ТХ.2. ОБОРУДОВАНИЕ, МЕБЕЛЬ И ИНВЕНТАРЬ ПО ПОМЕЩЕНИЯМ (03-01/07.21П-ТХ.2.СО)</t>
        </is>
      </c>
      <c r="C26" s="13" t="inlineStr">
        <is>
          <t>162.2 Помещение распечатки результатов</t>
        </is>
      </c>
      <c r="D26" s="13" t="inlineStr">
        <is>
          <t>м38</t>
        </is>
      </c>
      <c r="E26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26" s="13" t="inlineStr">
        <is>
          <t>Серия «Эдем-1», арт.Э-44.0 + 47.0*2 + 80.0*2 + ЭВ*2</t>
        </is>
      </c>
      <c r="G26" s="13" t="inlineStr">
        <is>
          <t>Торговая сеть Россия</t>
        </is>
      </c>
      <c r="H26" s="13" t="inlineStr">
        <is>
          <t>шт.</t>
        </is>
      </c>
      <c r="I26" s="13" t="n">
        <v>2</v>
      </c>
      <c r="J26" s="14" t="n"/>
      <c r="K26" s="14">
        <f>IF(ISNUMBER(J26),I26*J26,0)</f>
        <v/>
      </c>
      <c r="L26" s="13" t="n"/>
      <c r="M26" s="15" t="inlineStr">
        <is>
          <t>ЦЕНЫ НЕТ</t>
        </is>
      </c>
    </row>
    <row r="27">
      <c r="A27" s="13" t="n">
        <v>3252</v>
      </c>
      <c r="B27" s="13" t="inlineStr">
        <is>
          <t>ТХ.2. ОБОРУДОВАНИЕ, МЕБЕЛЬ И ИНВЕНТАРЬ ПО ПОМЕЩЕНИЯМ (03-01/07.21П-ТХ.2.СО)</t>
        </is>
      </c>
      <c r="C27" s="13" t="inlineStr">
        <is>
          <t>162.2 Помещение распечатки результатов</t>
        </is>
      </c>
      <c r="D27" s="13" t="inlineStr">
        <is>
          <t>м33</t>
        </is>
      </c>
      <c r="E27" s="13" t="inlineStr">
        <is>
          <t>Тумба для оргтехники двухстворчатая (2 распашные двери, ниша); 800х550х610(h) мм</t>
        </is>
      </c>
      <c r="F27" s="13" t="inlineStr">
        <is>
          <t>Серия «Эдем-1», арт.Э-26.7</t>
        </is>
      </c>
      <c r="G27" s="13" t="inlineStr">
        <is>
          <t>Торговая сеть Россия</t>
        </is>
      </c>
      <c r="H27" s="13" t="inlineStr">
        <is>
          <t>шт.</t>
        </is>
      </c>
      <c r="I27" s="13" t="n">
        <v>1</v>
      </c>
      <c r="J27" s="14" t="n"/>
      <c r="K27" s="14">
        <f>IF(ISNUMBER(J27),I27*J27,0)</f>
        <v/>
      </c>
      <c r="L27" s="13" t="n"/>
      <c r="M27" s="15" t="inlineStr">
        <is>
          <t>ЦЕНЫ НЕТ</t>
        </is>
      </c>
    </row>
    <row r="28">
      <c r="A28" s="13" t="n">
        <v>3276</v>
      </c>
      <c r="B28" s="13" t="inlineStr">
        <is>
          <t>ТХ.2. ОБОРУДОВАНИЕ, МЕБЕЛЬ И ИНВЕНТАРЬ ПО ПОМЕЩЕНИЯМ (03-01/07.21П-ТХ.2.СО)</t>
        </is>
      </c>
      <c r="C28" s="13" t="inlineStr">
        <is>
          <t>163 Зал универсальный, гимнастики, аэробики ОФП</t>
        </is>
      </c>
      <c r="D28" s="13" t="inlineStr">
        <is>
          <t>2</t>
        </is>
      </c>
      <c r="E28" s="13" t="inlineStr">
        <is>
          <t>Стол рабочий прямой; 1200х700х750(h) мм</t>
        </is>
      </c>
      <c r="F28" s="13" t="inlineStr">
        <is>
          <t>Серия «Эдем-1», арт.Э-21.0</t>
        </is>
      </c>
      <c r="G28" s="13" t="inlineStr">
        <is>
          <t>Торговая сеть Россия</t>
        </is>
      </c>
      <c r="H28" s="13" t="inlineStr">
        <is>
          <t>шт.</t>
        </is>
      </c>
      <c r="I28" s="13" t="n">
        <v>1</v>
      </c>
      <c r="J28" s="14" t="n"/>
      <c r="K28" s="14">
        <f>IF(ISNUMBER(J28),I28*J28,0)</f>
        <v/>
      </c>
      <c r="L28" s="13" t="n"/>
      <c r="M28" s="15" t="inlineStr">
        <is>
          <t>ЦЕНЫ НЕТ</t>
        </is>
      </c>
    </row>
    <row r="29">
      <c r="A29" s="13" t="n">
        <v>3290</v>
      </c>
      <c r="B29" s="13" t="inlineStr">
        <is>
          <t>ТХ.2. ОБОРУДОВАНИЕ, МЕБЕЛЬ И ИНВЕНТАРЬ ПО ПОМЕЩЕНИЯМ (03-01/07.21П-ТХ.2.СО)</t>
        </is>
      </c>
      <c r="C29" s="13" t="inlineStr">
        <is>
          <t>165 Хореографический зал</t>
        </is>
      </c>
      <c r="D29" s="13" t="inlineStr">
        <is>
          <t>м17</t>
        </is>
      </c>
      <c r="E29" s="13" t="inlineStr">
        <is>
          <t>Стол рабочий прямой; 1400х700х750(h) мм</t>
        </is>
      </c>
      <c r="F29" s="13" t="inlineStr">
        <is>
          <t>Серия «Эдем-1», арт.Э-22.0</t>
        </is>
      </c>
      <c r="G29" s="13" t="inlineStr">
        <is>
          <t>ООО «Эдем-Мебель»</t>
        </is>
      </c>
      <c r="H29" s="13" t="inlineStr">
        <is>
          <t>шт.</t>
        </is>
      </c>
      <c r="I29" s="13" t="n">
        <v>1</v>
      </c>
      <c r="J29" s="14" t="n"/>
      <c r="K29" s="14">
        <f>IF(ISNUMBER(J29),I29*J29,0)</f>
        <v/>
      </c>
      <c r="L29" s="13" t="n"/>
      <c r="M29" s="15" t="inlineStr">
        <is>
          <t>ЦЕНЫ НЕТ</t>
        </is>
      </c>
    </row>
    <row r="30">
      <c r="A30" s="6" t="n">
        <v>3291</v>
      </c>
      <c r="B30" s="6" t="inlineStr">
        <is>
          <t>ТХ.2. ОБОРУДОВАНИЕ, МЕБЕЛЬ И ИНВЕНТАРЬ ПО ПОМЕЩЕНИЯМ (03-01/07.21П-ТХ.2.СО)</t>
        </is>
      </c>
      <c r="C30" s="6" t="inlineStr">
        <is>
          <t>165 Хореографический зал</t>
        </is>
      </c>
      <c r="D30" s="6" t="inlineStr">
        <is>
          <t>м28</t>
        </is>
      </c>
      <c r="E30" s="6" t="inlineStr">
        <is>
          <t>Стул для посетителей (материал обивки – к/з); 540х440х820(h) мм</t>
        </is>
      </c>
      <c r="F30" s="6" t="inlineStr">
        <is>
          <t>Gigant GCH-01 (BL)</t>
        </is>
      </c>
      <c r="G30" s="6" t="inlineStr">
        <is>
          <t>ООО «Эдем-Мебель»</t>
        </is>
      </c>
      <c r="H30" s="6" t="inlineStr">
        <is>
          <t>шт.</t>
        </is>
      </c>
      <c r="I30" s="6" t="n">
        <v>1</v>
      </c>
      <c r="J30" s="16" t="n">
        <v>1950</v>
      </c>
      <c r="K30" s="16">
        <f>IF(ISNUMBER(J30),I30*J30,0)</f>
        <v/>
      </c>
      <c r="L30" s="6" t="inlineStr">
        <is>
          <t>цена перенесена сюда из ВОР 02-01-11 (ВОР 8, ВОР 483), сама строка ВОР удалена как дубль</t>
        </is>
      </c>
      <c r="M30" s="6" t="inlineStr">
        <is>
          <t>проценено</t>
        </is>
      </c>
    </row>
    <row r="31">
      <c r="A31" s="6" t="n">
        <v>3433</v>
      </c>
      <c r="B31" s="6" t="inlineStr">
        <is>
          <t>ТХ.2. ОБОРУДОВАНИЕ, МЕБЕЛЬ И ИНВЕНТАРЬ ПО ПОМЕЩЕНИЯМ (03-01/07.21П-ТХ.2.СО)</t>
        </is>
      </c>
      <c r="C31" s="6" t="inlineStr">
        <is>
          <t>178 Кабинет главного инженера</t>
        </is>
      </c>
      <c r="D31" s="6" t="inlineStr">
        <is>
          <t>3</t>
        </is>
      </c>
      <c r="E31" s="6" t="inlineStr">
        <is>
          <t>Кресло компьютерное (с подлокотниками, колеса, газлифт, материал обивки – к/з); 620х620х955-1135(h) мм</t>
        </is>
      </c>
      <c r="F31" s="6" t="inlineStr">
        <is>
          <t>Prestige GTP New</t>
        </is>
      </c>
      <c r="G31" s="6" t="inlineStr">
        <is>
          <t>ООО «Эдем-Мебель»</t>
        </is>
      </c>
      <c r="H31" s="6" t="inlineStr">
        <is>
          <t>шт.</t>
        </is>
      </c>
      <c r="I31" s="6" t="n">
        <v>1</v>
      </c>
      <c r="J31" s="16" t="n">
        <v>12000</v>
      </c>
      <c r="K31" s="16">
        <f>IF(ISNUMBER(J31),I31*J31,0)</f>
        <v/>
      </c>
      <c r="L31" s="6" t="n"/>
      <c r="M31" s="6" t="inlineStr">
        <is>
          <t>проценено</t>
        </is>
      </c>
    </row>
    <row r="32">
      <c r="A32" s="13" t="n">
        <v>3434</v>
      </c>
      <c r="B32" s="13" t="inlineStr">
        <is>
          <t>ТХ.2. ОБОРУДОВАНИЕ, МЕБЕЛЬ И ИНВЕНТАРЬ ПО ПОМЕЩЕНИЯМ (03-01/07.21П-ТХ.2.СО)</t>
        </is>
      </c>
      <c r="C32" s="13" t="inlineStr">
        <is>
          <t>178 Кабинет главного инженера</t>
        </is>
      </c>
      <c r="D32" s="13" t="inlineStr">
        <is>
          <t>м17</t>
        </is>
      </c>
      <c r="E32" s="13" t="inlineStr">
        <is>
          <t>Стол рабочий прямой; 1400х700х750(h) мм</t>
        </is>
      </c>
      <c r="F32" s="13" t="inlineStr">
        <is>
          <t>Серия «Эдем-1», арт.Э-22.0</t>
        </is>
      </c>
      <c r="G32" s="13" t="inlineStr">
        <is>
          <t>ООО «Эдем-Мебель»</t>
        </is>
      </c>
      <c r="H32" s="13" t="inlineStr">
        <is>
          <t>шт.</t>
        </is>
      </c>
      <c r="I32" s="13" t="n">
        <v>1</v>
      </c>
      <c r="J32" s="14" t="n"/>
      <c r="K32" s="14">
        <f>IF(ISNUMBER(J32),I32*J32,0)</f>
        <v/>
      </c>
      <c r="L32" s="13" t="n"/>
      <c r="M32" s="15" t="inlineStr">
        <is>
          <t>ЦЕНЫ НЕТ</t>
        </is>
      </c>
    </row>
    <row r="33">
      <c r="A33" s="6" t="n">
        <v>3435</v>
      </c>
      <c r="B33" s="6" t="inlineStr">
        <is>
          <t>ТХ.2. ОБОРУДОВАНИЕ, МЕБЕЛЬ И ИНВЕНТАРЬ ПО ПОМЕЩЕНИЯМ (03-01/07.21П-ТХ.2.СО)</t>
        </is>
      </c>
      <c r="C33" s="6" t="inlineStr">
        <is>
          <t>178 Кабинет главного инженера</t>
        </is>
      </c>
      <c r="D33" s="6" t="inlineStr">
        <is>
          <t>м28</t>
        </is>
      </c>
      <c r="E33" s="6" t="inlineStr">
        <is>
          <t>Стул для посетителей (материал обивки – к/з); 540х440х820(h) мм</t>
        </is>
      </c>
      <c r="F33" s="6" t="inlineStr">
        <is>
          <t>Gigant GCH-01 (BL)</t>
        </is>
      </c>
      <c r="G33" s="6" t="inlineStr">
        <is>
          <t>ООО «Эдем-Мебель»</t>
        </is>
      </c>
      <c r="H33" s="6" t="inlineStr">
        <is>
          <t>шт.</t>
        </is>
      </c>
      <c r="I33" s="6" t="n">
        <v>4</v>
      </c>
      <c r="J33" s="16" t="n">
        <v>1950</v>
      </c>
      <c r="K33" s="16">
        <f>IF(ISNUMBER(J33),I33*J33,0)</f>
        <v/>
      </c>
      <c r="L33" s="6" t="inlineStr">
        <is>
          <t>цена перенесена сюда из ВОР 02-01-11 (ВОР 8, ВОР 483), сама строка ВОР удалена как дубль</t>
        </is>
      </c>
      <c r="M33" s="6" t="inlineStr">
        <is>
          <t>проценено</t>
        </is>
      </c>
    </row>
    <row r="34">
      <c r="A34" s="13" t="n">
        <v>3436</v>
      </c>
      <c r="B34" s="13" t="inlineStr">
        <is>
          <t>ТХ.2. ОБОРУДОВАНИЕ, МЕБЕЛЬ И ИНВЕНТАРЬ ПО ПОМЕЩЕНИЯМ (03-01/07.21П-ТХ.2.СО)</t>
        </is>
      </c>
      <c r="C34" s="13" t="inlineStr">
        <is>
          <t>178 Кабинет главного инженера</t>
        </is>
      </c>
      <c r="D34" s="13" t="inlineStr">
        <is>
          <t>м33</t>
        </is>
      </c>
      <c r="E34" s="13" t="inlineStr">
        <is>
          <t>Тумба для оргтехники двухстворчатая (2 распашные двери, ниша); 800х550х610(h) мм</t>
        </is>
      </c>
      <c r="F34" s="13" t="inlineStr">
        <is>
          <t>Серия «Эдем-1», арт.Э-26.7</t>
        </is>
      </c>
      <c r="G34" s="13" t="inlineStr">
        <is>
          <t>ООО «Эдем-Мебель»</t>
        </is>
      </c>
      <c r="H34" s="13" t="inlineStr">
        <is>
          <t>шт.</t>
        </is>
      </c>
      <c r="I34" s="13" t="n">
        <v>1</v>
      </c>
      <c r="J34" s="14" t="n"/>
      <c r="K34" s="14">
        <f>IF(ISNUMBER(J34),I34*J34,0)</f>
        <v/>
      </c>
      <c r="L34" s="13" t="n"/>
      <c r="M34" s="15" t="inlineStr">
        <is>
          <t>ЦЕНЫ НЕТ</t>
        </is>
      </c>
    </row>
    <row r="35">
      <c r="A35" s="13" t="n">
        <v>3437</v>
      </c>
      <c r="B35" s="13" t="inlineStr">
        <is>
          <t>ТХ.2. ОБОРУДОВАНИЕ, МЕБЕЛЬ И ИНВЕНТАРЬ ПО ПОМЕЩЕНИЯМ (03-01/07.21П-ТХ.2.СО)</t>
        </is>
      </c>
      <c r="C35" s="13" t="inlineStr">
        <is>
          <t>178 Кабинет главного инженера</t>
        </is>
      </c>
      <c r="D35" s="13" t="inlineStr">
        <is>
          <t>м38</t>
        </is>
      </c>
      <c r="E35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35" s="13" t="inlineStr">
        <is>
          <t>Серия «Эдем-1», арт.Э-44.0 + 47.0*2 + 80.0*2 + ЭВ*2</t>
        </is>
      </c>
      <c r="G35" s="13" t="inlineStr">
        <is>
          <t>ООО «Эдем-Мебель»</t>
        </is>
      </c>
      <c r="H35" s="13" t="inlineStr">
        <is>
          <t>шт.</t>
        </is>
      </c>
      <c r="I35" s="13" t="n">
        <v>1</v>
      </c>
      <c r="J35" s="14" t="n"/>
      <c r="K35" s="14">
        <f>IF(ISNUMBER(J35),I35*J35,0)</f>
        <v/>
      </c>
      <c r="L35" s="13" t="n"/>
      <c r="M35" s="15" t="inlineStr">
        <is>
          <t>ЦЕНЫ НЕТ</t>
        </is>
      </c>
    </row>
    <row r="36">
      <c r="A36" s="13" t="n">
        <v>3438</v>
      </c>
      <c r="B36" s="13" t="inlineStr">
        <is>
          <t>ТХ.2. ОБОРУДОВАНИЕ, МЕБЕЛЬ И ИНВЕНТАРЬ ПО ПОМЕЩЕНИЯМ (03-01/07.21П-ТХ.2.СО)</t>
        </is>
      </c>
      <c r="C36" s="13" t="inlineStr">
        <is>
          <t>178 Кабинет главного инженера</t>
        </is>
      </c>
      <c r="D36" s="13" t="inlineStr">
        <is>
          <t>м39</t>
        </is>
      </c>
      <c r="E36" s="13" t="inlineStr">
        <is>
          <t>Шкаф двухстворчатый для одежды (2 распашные двери, перекладина); 768х403х1945(h) мм</t>
        </is>
      </c>
      <c r="F36" s="13" t="inlineStr">
        <is>
          <t>Серия «Эдем-1», арт.Э-46.0</t>
        </is>
      </c>
      <c r="G36" s="13" t="inlineStr">
        <is>
          <t>ООО «Эдем-Мебель»</t>
        </is>
      </c>
      <c r="H36" s="13" t="inlineStr">
        <is>
          <t>шт.</t>
        </is>
      </c>
      <c r="I36" s="13" t="n">
        <v>1</v>
      </c>
      <c r="J36" s="14" t="n"/>
      <c r="K36" s="14">
        <f>IF(ISNUMBER(J36),I36*J36,0)</f>
        <v/>
      </c>
      <c r="L36" s="13" t="n"/>
      <c r="M36" s="15" t="inlineStr">
        <is>
          <t>ЦЕНЫ НЕТ</t>
        </is>
      </c>
    </row>
    <row r="37">
      <c r="A37" s="13" t="n">
        <v>3439</v>
      </c>
      <c r="B37" s="13" t="inlineStr">
        <is>
          <t>ТХ.2. ОБОРУДОВАНИЕ, МЕБЕЛЬ И ИНВЕНТАРЬ ПО ПОМЕЩЕНИЯМ (03-01/07.21П-ТХ.2.СО)</t>
        </is>
      </c>
      <c r="C37" s="13" t="inlineStr">
        <is>
          <t>178 Кабинет главного инженера</t>
        </is>
      </c>
      <c r="D37" s="13" t="inlineStr">
        <is>
          <t>м83</t>
        </is>
      </c>
      <c r="E37" s="13" t="inlineStr">
        <is>
          <t>Тумба выкатная с центральным замком (3 выдвижных ящика, колеса); 397х500х610(h) мм</t>
        </is>
      </c>
      <c r="F37" s="13" t="inlineStr">
        <is>
          <t>Серия «Эдем-1», арт.Э-37.0 ц/з</t>
        </is>
      </c>
      <c r="G37" s="13" t="inlineStr">
        <is>
          <t>ООО «Эдем-Мебель»</t>
        </is>
      </c>
      <c r="H37" s="13" t="inlineStr">
        <is>
          <t>шт.</t>
        </is>
      </c>
      <c r="I37" s="13" t="n">
        <v>1</v>
      </c>
      <c r="J37" s="14" t="n"/>
      <c r="K37" s="14">
        <f>IF(ISNUMBER(J37),I37*J37,0)</f>
        <v/>
      </c>
      <c r="L37" s="13" t="n"/>
      <c r="M37" s="15" t="inlineStr">
        <is>
          <t>ЦЕНЫ НЕТ</t>
        </is>
      </c>
    </row>
    <row r="38">
      <c r="A38" s="13" t="n">
        <v>3447</v>
      </c>
      <c r="B38" s="13" t="inlineStr">
        <is>
          <t>ТХ.2. ОБОРУДОВАНИЕ, МЕБЕЛЬ И ИНВЕНТАРЬ ПО ПОМЕЩЕНИЯМ (03-01/07.21П-ТХ.2.СО)</t>
        </is>
      </c>
      <c r="C38" s="13" t="inlineStr">
        <is>
          <t>179 Приемная</t>
        </is>
      </c>
      <c r="D38" s="13" t="inlineStr">
        <is>
          <t>м17</t>
        </is>
      </c>
      <c r="E38" s="13" t="inlineStr">
        <is>
          <t>Стол рабочий прямой; 1400х700х750(h) мм</t>
        </is>
      </c>
      <c r="F38" s="13" t="inlineStr">
        <is>
          <t>Серия «Эдем-1», арт.Э-22.0</t>
        </is>
      </c>
      <c r="G38" s="13" t="inlineStr">
        <is>
          <t>Торговая сеть Россия</t>
        </is>
      </c>
      <c r="H38" s="13" t="inlineStr">
        <is>
          <t>шт.</t>
        </is>
      </c>
      <c r="I38" s="13" t="n">
        <v>1</v>
      </c>
      <c r="J38" s="14" t="n"/>
      <c r="K38" s="14">
        <f>IF(ISNUMBER(J38),I38*J38,0)</f>
        <v/>
      </c>
      <c r="L38" s="13" t="n"/>
      <c r="M38" s="15" t="inlineStr">
        <is>
          <t>ЦЕНЫ НЕТ</t>
        </is>
      </c>
    </row>
    <row r="39">
      <c r="A39" s="13" t="n">
        <v>3448</v>
      </c>
      <c r="B39" s="13" t="inlineStr">
        <is>
          <t>ТХ.2. ОБОРУДОВАНИЕ, МЕБЕЛЬ И ИНВЕНТАРЬ ПО ПОМЕЩЕНИЯМ (03-01/07.21П-ТХ.2.СО)</t>
        </is>
      </c>
      <c r="C39" s="13" t="inlineStr">
        <is>
          <t>179 Приемная</t>
        </is>
      </c>
      <c r="D39" s="13" t="inlineStr">
        <is>
          <t>м33</t>
        </is>
      </c>
      <c r="E39" s="13" t="inlineStr">
        <is>
          <t>Тумба для оргтехники двухстворчатая (2 распашные двери, ниша); 800х550х610(h) мм</t>
        </is>
      </c>
      <c r="F39" s="13" t="inlineStr">
        <is>
          <t>Серия «Эдем-1», арт.Э-26.7</t>
        </is>
      </c>
      <c r="G39" s="13" t="inlineStr">
        <is>
          <t>Торговая сеть Россия</t>
        </is>
      </c>
      <c r="H39" s="13" t="inlineStr">
        <is>
          <t>шт.</t>
        </is>
      </c>
      <c r="I39" s="13" t="n">
        <v>1</v>
      </c>
      <c r="J39" s="14" t="n"/>
      <c r="K39" s="14">
        <f>IF(ISNUMBER(J39),I39*J39,0)</f>
        <v/>
      </c>
      <c r="L39" s="13" t="n"/>
      <c r="M39" s="15" t="inlineStr">
        <is>
          <t>ЦЕНЫ НЕТ</t>
        </is>
      </c>
    </row>
    <row r="40">
      <c r="A40" s="13" t="n">
        <v>3449</v>
      </c>
      <c r="B40" s="13" t="inlineStr">
        <is>
          <t>ТХ.2. ОБОРУДОВАНИЕ, МЕБЕЛЬ И ИНВЕНТАРЬ ПО ПОМЕЩЕНИЯМ (03-01/07.21П-ТХ.2.СО)</t>
        </is>
      </c>
      <c r="C40" s="13" t="inlineStr">
        <is>
          <t>179 Приемная</t>
        </is>
      </c>
      <c r="D40" s="13" t="inlineStr">
        <is>
          <t>м38</t>
        </is>
      </c>
      <c r="E40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40" s="13" t="inlineStr">
        <is>
          <t>Серия «Эдем-1», арт.Э-44.0 + 47.0*2 + 80.0*2 + ЭВ*2</t>
        </is>
      </c>
      <c r="G40" s="13" t="inlineStr">
        <is>
          <t>Торговая сеть Россия</t>
        </is>
      </c>
      <c r="H40" s="13" t="inlineStr">
        <is>
          <t>шт.</t>
        </is>
      </c>
      <c r="I40" s="13" t="n">
        <v>1</v>
      </c>
      <c r="J40" s="14" t="n"/>
      <c r="K40" s="14">
        <f>IF(ISNUMBER(J40),I40*J40,0)</f>
        <v/>
      </c>
      <c r="L40" s="13" t="n"/>
      <c r="M40" s="15" t="inlineStr">
        <is>
          <t>ЦЕНЫ НЕТ</t>
        </is>
      </c>
    </row>
    <row r="41">
      <c r="A41" s="13" t="n">
        <v>3450</v>
      </c>
      <c r="B41" s="13" t="inlineStr">
        <is>
          <t>ТХ.2. ОБОРУДОВАНИЕ, МЕБЕЛЬ И ИНВЕНТАРЬ ПО ПОМЕЩЕНИЯМ (03-01/07.21П-ТХ.2.СО)</t>
        </is>
      </c>
      <c r="C41" s="13" t="inlineStr">
        <is>
          <t>179 Приемная</t>
        </is>
      </c>
      <c r="D41" s="13" t="inlineStr">
        <is>
          <t>м39</t>
        </is>
      </c>
      <c r="E41" s="13" t="inlineStr">
        <is>
          <t>Шкаф двухстворчатый для одежды (2 распашные двери, перекладина); 768х403х1945(h) мм</t>
        </is>
      </c>
      <c r="F41" s="13" t="inlineStr">
        <is>
          <t>Серия «Эдем-1», арт.Э-46.0</t>
        </is>
      </c>
      <c r="G41" s="13" t="inlineStr">
        <is>
          <t>Торговая сеть Россия</t>
        </is>
      </c>
      <c r="H41" s="13" t="inlineStr">
        <is>
          <t>шт.</t>
        </is>
      </c>
      <c r="I41" s="13" t="n">
        <v>1</v>
      </c>
      <c r="J41" s="14" t="n"/>
      <c r="K41" s="14">
        <f>IF(ISNUMBER(J41),I41*J41,0)</f>
        <v/>
      </c>
      <c r="L41" s="13" t="n"/>
      <c r="M41" s="15" t="inlineStr">
        <is>
          <t>ЦЕНЫ НЕТ</t>
        </is>
      </c>
    </row>
    <row r="42">
      <c r="A42" s="13" t="n">
        <v>3451</v>
      </c>
      <c r="B42" s="13" t="inlineStr">
        <is>
          <t>ТХ.2. ОБОРУДОВАНИЕ, МЕБЕЛЬ И ИНВЕНТАРЬ ПО ПОМЕЩЕНИЯМ (03-01/07.21П-ТХ.2.СО)</t>
        </is>
      </c>
      <c r="C42" s="13" t="inlineStr">
        <is>
          <t>179 Приемная</t>
        </is>
      </c>
      <c r="D42" s="13" t="inlineStr">
        <is>
          <t>м83</t>
        </is>
      </c>
      <c r="E42" s="13" t="inlineStr">
        <is>
          <t>Тумба выкатная с центральным замком (3 выдвижных ящика, колеса); 397х500х610(h) мм</t>
        </is>
      </c>
      <c r="F42" s="13" t="inlineStr">
        <is>
          <t>Серия «Эдем-1», арт.Э-37.0 ц/з</t>
        </is>
      </c>
      <c r="G42" s="13" t="inlineStr">
        <is>
          <t>Торговая сеть Россия</t>
        </is>
      </c>
      <c r="H42" s="13" t="inlineStr">
        <is>
          <t>шт.</t>
        </is>
      </c>
      <c r="I42" s="13" t="n">
        <v>1</v>
      </c>
      <c r="J42" s="14" t="n"/>
      <c r="K42" s="14">
        <f>IF(ISNUMBER(J42),I42*J42,0)</f>
        <v/>
      </c>
      <c r="L42" s="13" t="n"/>
      <c r="M42" s="15" t="inlineStr">
        <is>
          <t>ЦЕНЫ НЕТ</t>
        </is>
      </c>
    </row>
    <row r="43">
      <c r="A43" s="13" t="n">
        <v>3461</v>
      </c>
      <c r="B43" s="13" t="inlineStr">
        <is>
          <t>ТХ.2. ОБОРУДОВАНИЕ, МЕБЕЛЬ И ИНВЕНТАРЬ ПО ПОМЕЩЕНИЯМ (03-01/07.21П-ТХ.2.СО)</t>
        </is>
      </c>
      <c r="C43" s="13" t="inlineStr">
        <is>
          <t>180 Кабинет директора с переговорной</t>
        </is>
      </c>
      <c r="D43" s="13" t="inlineStr">
        <is>
          <t>м17</t>
        </is>
      </c>
      <c r="E43" s="13" t="inlineStr">
        <is>
          <t>Стол рабочий прямой; 1400х700х750(h) мм</t>
        </is>
      </c>
      <c r="F43" s="13" t="inlineStr">
        <is>
          <t>Серия «Эдем-1», арт.Э-22.0</t>
        </is>
      </c>
      <c r="G43" s="13" t="inlineStr">
        <is>
          <t>Торговая сеть Россия</t>
        </is>
      </c>
      <c r="H43" s="13" t="inlineStr">
        <is>
          <t>шт.</t>
        </is>
      </c>
      <c r="I43" s="13" t="n">
        <v>1</v>
      </c>
      <c r="J43" s="14" t="n"/>
      <c r="K43" s="14">
        <f>IF(ISNUMBER(J43),I43*J43,0)</f>
        <v/>
      </c>
      <c r="L43" s="13" t="n"/>
      <c r="M43" s="15" t="inlineStr">
        <is>
          <t>ЦЕНЫ НЕТ</t>
        </is>
      </c>
    </row>
    <row r="44">
      <c r="A44" s="13" t="n">
        <v>3464</v>
      </c>
      <c r="B44" s="13" t="inlineStr">
        <is>
          <t>ТХ.2. ОБОРУДОВАНИЕ, МЕБЕЛЬ И ИНВЕНТАРЬ ПО ПОМЕЩЕНИЯМ (03-01/07.21П-ТХ.2.СО)</t>
        </is>
      </c>
      <c r="C44" s="13" t="inlineStr">
        <is>
          <t>180 Кабинет директора с переговорной</t>
        </is>
      </c>
      <c r="D44" s="13" t="inlineStr">
        <is>
          <t>м33</t>
        </is>
      </c>
      <c r="E44" s="13" t="inlineStr">
        <is>
          <t>Тумба для оргтехники двухстворчатая (2 распашные двери, ниша); 800х550х610(h) мм</t>
        </is>
      </c>
      <c r="F44" s="13" t="inlineStr">
        <is>
          <t>Серия «Эдем-1», арт.Э-26.7</t>
        </is>
      </c>
      <c r="G44" s="13" t="inlineStr">
        <is>
          <t>Торговая сеть Россия</t>
        </is>
      </c>
      <c r="H44" s="13" t="inlineStr">
        <is>
          <t>шт.</t>
        </is>
      </c>
      <c r="I44" s="13" t="n">
        <v>1</v>
      </c>
      <c r="J44" s="14" t="n"/>
      <c r="K44" s="14">
        <f>IF(ISNUMBER(J44),I44*J44,0)</f>
        <v/>
      </c>
      <c r="L44" s="13" t="n"/>
      <c r="M44" s="15" t="inlineStr">
        <is>
          <t>ЦЕНЫ НЕТ</t>
        </is>
      </c>
    </row>
    <row r="45">
      <c r="A45" s="13" t="n">
        <v>3465</v>
      </c>
      <c r="B45" s="13" t="inlineStr">
        <is>
          <t>ТХ.2. ОБОРУДОВАНИЕ, МЕБЕЛЬ И ИНВЕНТАРЬ ПО ПОМЕЩЕНИЯМ (03-01/07.21П-ТХ.2.СО)</t>
        </is>
      </c>
      <c r="C45" s="13" t="inlineStr">
        <is>
          <t>180 Кабинет директора с переговорной</t>
        </is>
      </c>
      <c r="D45" s="13" t="inlineStr">
        <is>
          <t>м38</t>
        </is>
      </c>
      <c r="E45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45" s="13" t="inlineStr">
        <is>
          <t>Серия «Эдем-1», арт.Э-44.0 + 47.0*2 + 80.0*2 + ЭВ*2</t>
        </is>
      </c>
      <c r="G45" s="13" t="inlineStr">
        <is>
          <t>Торговая сеть Россия</t>
        </is>
      </c>
      <c r="H45" s="13" t="inlineStr">
        <is>
          <t>шт.</t>
        </is>
      </c>
      <c r="I45" s="13" t="n">
        <v>3</v>
      </c>
      <c r="J45" s="14" t="n"/>
      <c r="K45" s="14">
        <f>IF(ISNUMBER(J45),I45*J45,0)</f>
        <v/>
      </c>
      <c r="L45" s="13" t="n"/>
      <c r="M45" s="15" t="inlineStr">
        <is>
          <t>ЦЕНЫ НЕТ</t>
        </is>
      </c>
    </row>
    <row r="46">
      <c r="A46" s="13" t="n">
        <v>3466</v>
      </c>
      <c r="B46" s="13" t="inlineStr">
        <is>
          <t>ТХ.2. ОБОРУДОВАНИЕ, МЕБЕЛЬ И ИНВЕНТАРЬ ПО ПОМЕЩЕНИЯМ (03-01/07.21П-ТХ.2.СО)</t>
        </is>
      </c>
      <c r="C46" s="13" t="inlineStr">
        <is>
          <t>180 Кабинет директора с переговорной</t>
        </is>
      </c>
      <c r="D46" s="13" t="inlineStr">
        <is>
          <t>м39</t>
        </is>
      </c>
      <c r="E46" s="13" t="inlineStr">
        <is>
          <t>Шкаф двухстворчатый для одежды (2 распашные двери, перекладина); 768х403х1945(h) мм</t>
        </is>
      </c>
      <c r="F46" s="13" t="inlineStr">
        <is>
          <t>Серия «Эдем-1», арт.Э-46.0</t>
        </is>
      </c>
      <c r="G46" s="13" t="inlineStr">
        <is>
          <t>Торговая сеть Россия</t>
        </is>
      </c>
      <c r="H46" s="13" t="inlineStr">
        <is>
          <t>шт.</t>
        </is>
      </c>
      <c r="I46" s="13" t="n">
        <v>1</v>
      </c>
      <c r="J46" s="14" t="n"/>
      <c r="K46" s="14">
        <f>IF(ISNUMBER(J46),I46*J46,0)</f>
        <v/>
      </c>
      <c r="L46" s="13" t="n"/>
      <c r="M46" s="15" t="inlineStr">
        <is>
          <t>ЦЕНЫ НЕТ</t>
        </is>
      </c>
    </row>
    <row r="47">
      <c r="A47" s="13" t="n">
        <v>3467</v>
      </c>
      <c r="B47" s="13" t="inlineStr">
        <is>
          <t>ТХ.2. ОБОРУДОВАНИЕ, МЕБЕЛЬ И ИНВЕНТАРЬ ПО ПОМЕЩЕНИЯМ (03-01/07.21П-ТХ.2.СО)</t>
        </is>
      </c>
      <c r="C47" s="13" t="inlineStr">
        <is>
          <t>180 Кабинет директора с переговорной</t>
        </is>
      </c>
      <c r="D47" s="13" t="inlineStr">
        <is>
          <t>м83</t>
        </is>
      </c>
      <c r="E47" s="13" t="inlineStr">
        <is>
          <t>Тумба выкатная с центральным замком (3 выдвижных ящика, колеса); 397х500х610(h) мм</t>
        </is>
      </c>
      <c r="F47" s="13" t="inlineStr">
        <is>
          <t>Серия «Эдем-1», арт.Э-37.0 ц/з</t>
        </is>
      </c>
      <c r="G47" s="13" t="inlineStr">
        <is>
          <t>Торговая сеть Россия</t>
        </is>
      </c>
      <c r="H47" s="13" t="inlineStr">
        <is>
          <t>шт.</t>
        </is>
      </c>
      <c r="I47" s="13" t="n">
        <v>1</v>
      </c>
      <c r="J47" s="14" t="n"/>
      <c r="K47" s="14">
        <f>IF(ISNUMBER(J47),I47*J47,0)</f>
        <v/>
      </c>
      <c r="L47" s="13" t="n"/>
      <c r="M47" s="15" t="inlineStr">
        <is>
          <t>ЦЕНЫ НЕТ</t>
        </is>
      </c>
    </row>
    <row r="48">
      <c r="A48" s="13" t="n">
        <v>3468</v>
      </c>
      <c r="B48" s="13" t="inlineStr">
        <is>
          <t>ТХ.2. ОБОРУДОВАНИЕ, МЕБЕЛЬ И ИНВЕНТАРЬ ПО ПОМЕЩЕНИЯМ (03-01/07.21П-ТХ.2.СО)</t>
        </is>
      </c>
      <c r="C48" s="13" t="inlineStr">
        <is>
          <t>180 Кабинет директора с переговорной</t>
        </is>
      </c>
      <c r="D48" s="13" t="inlineStr">
        <is>
          <t>М84</t>
        </is>
      </c>
      <c r="E48" s="13" t="inlineStr">
        <is>
          <t>Стол для переговоров прямой; 1800х800х750(h) мм</t>
        </is>
      </c>
      <c r="F48" s="13" t="inlineStr">
        <is>
          <t>Серия «Эдем-1», арт.Э-24.0</t>
        </is>
      </c>
      <c r="G48" s="13" t="inlineStr">
        <is>
          <t>Торговая сеть Россия</t>
        </is>
      </c>
      <c r="H48" s="13" t="inlineStr">
        <is>
          <t>шт.</t>
        </is>
      </c>
      <c r="I48" s="13" t="n">
        <v>1</v>
      </c>
      <c r="J48" s="14" t="n"/>
      <c r="K48" s="14">
        <f>IF(ISNUMBER(J48),I48*J48,0)</f>
        <v/>
      </c>
      <c r="L48" s="13" t="n"/>
      <c r="M48" s="15" t="inlineStr">
        <is>
          <t>ЦЕНЫ НЕТ</t>
        </is>
      </c>
    </row>
    <row r="49">
      <c r="A49" s="13" t="n">
        <v>3476</v>
      </c>
      <c r="B49" s="13" t="inlineStr">
        <is>
          <t>ТХ.2. ОБОРУДОВАНИЕ, МЕБЕЛЬ И ИНВЕНТАРЬ ПО ПОМЕЩЕНИЯМ (03-01/07.21П-ТХ.2.СО)</t>
        </is>
      </c>
      <c r="C49" s="13" t="inlineStr">
        <is>
          <t>181 Кабинет главного бухгалтера</t>
        </is>
      </c>
      <c r="D49" s="13" t="inlineStr">
        <is>
          <t>м17</t>
        </is>
      </c>
      <c r="E49" s="13" t="inlineStr">
        <is>
          <t>Стол рабочий прямой; 1400х700х750(h) мм</t>
        </is>
      </c>
      <c r="F49" s="13" t="inlineStr">
        <is>
          <t>Серия «Эдем-1», арт.Э-22.0</t>
        </is>
      </c>
      <c r="G49" s="13" t="inlineStr">
        <is>
          <t>Торговая сеть Россия</t>
        </is>
      </c>
      <c r="H49" s="13" t="inlineStr">
        <is>
          <t>шт.</t>
        </is>
      </c>
      <c r="I49" s="13" t="n">
        <v>1</v>
      </c>
      <c r="J49" s="14" t="n"/>
      <c r="K49" s="14">
        <f>IF(ISNUMBER(J49),I49*J49,0)</f>
        <v/>
      </c>
      <c r="L49" s="13" t="n"/>
      <c r="M49" s="15" t="inlineStr">
        <is>
          <t>ЦЕНЫ НЕТ</t>
        </is>
      </c>
    </row>
    <row r="50">
      <c r="A50" s="13" t="n">
        <v>3478</v>
      </c>
      <c r="B50" s="13" t="inlineStr">
        <is>
          <t>ТХ.2. ОБОРУДОВАНИЕ, МЕБЕЛЬ И ИНВЕНТАРЬ ПО ПОМЕЩЕНИЯМ (03-01/07.21П-ТХ.2.СО)</t>
        </is>
      </c>
      <c r="C50" s="13" t="inlineStr">
        <is>
          <t>181 Кабинет главного бухгалтера</t>
        </is>
      </c>
      <c r="D50" s="13" t="inlineStr">
        <is>
          <t>м33</t>
        </is>
      </c>
      <c r="E50" s="13" t="inlineStr">
        <is>
          <t>Тумба для оргтехники двухстворчатая (2 распашные двери, ниша); 800х550х610(h) мм</t>
        </is>
      </c>
      <c r="F50" s="13" t="inlineStr">
        <is>
          <t>Серия «Эдем-1», арт.Э-26.7</t>
        </is>
      </c>
      <c r="G50" s="13" t="inlineStr">
        <is>
          <t>Торговая сеть Россия</t>
        </is>
      </c>
      <c r="H50" s="13" t="inlineStr">
        <is>
          <t>шт.</t>
        </is>
      </c>
      <c r="I50" s="13" t="n">
        <v>1</v>
      </c>
      <c r="J50" s="14" t="n"/>
      <c r="K50" s="14">
        <f>IF(ISNUMBER(J50),I50*J50,0)</f>
        <v/>
      </c>
      <c r="L50" s="13" t="n"/>
      <c r="M50" s="15" t="inlineStr">
        <is>
          <t>ЦЕНЫ НЕТ</t>
        </is>
      </c>
    </row>
    <row r="51">
      <c r="A51" s="13" t="n">
        <v>3479</v>
      </c>
      <c r="B51" s="13" t="inlineStr">
        <is>
          <t>ТХ.2. ОБОРУДОВАНИЕ, МЕБЕЛЬ И ИНВЕНТАРЬ ПО ПОМЕЩЕНИЯМ (03-01/07.21П-ТХ.2.СО)</t>
        </is>
      </c>
      <c r="C51" s="13" t="inlineStr">
        <is>
          <t>181 Кабинет главного бухгалтера</t>
        </is>
      </c>
      <c r="D51" s="13" t="inlineStr">
        <is>
          <t>м38</t>
        </is>
      </c>
      <c r="E51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51" s="13" t="inlineStr">
        <is>
          <t>Серия «Эдем-1», арт.Э-44.0 + 47.0*2 + 80.0*2 + ЭВ*2</t>
        </is>
      </c>
      <c r="G51" s="13" t="inlineStr">
        <is>
          <t>Торговая сеть Россия</t>
        </is>
      </c>
      <c r="H51" s="13" t="inlineStr">
        <is>
          <t>шт.</t>
        </is>
      </c>
      <c r="I51" s="13" t="n">
        <v>3</v>
      </c>
      <c r="J51" s="14" t="n"/>
      <c r="K51" s="14">
        <f>IF(ISNUMBER(J51),I51*J51,0)</f>
        <v/>
      </c>
      <c r="L51" s="13" t="n"/>
      <c r="M51" s="15" t="inlineStr">
        <is>
          <t>ЦЕНЫ НЕТ</t>
        </is>
      </c>
    </row>
    <row r="52">
      <c r="A52" s="13" t="n">
        <v>3480</v>
      </c>
      <c r="B52" s="13" t="inlineStr">
        <is>
          <t>ТХ.2. ОБОРУДОВАНИЕ, МЕБЕЛЬ И ИНВЕНТАРЬ ПО ПОМЕЩЕНИЯМ (03-01/07.21П-ТХ.2.СО)</t>
        </is>
      </c>
      <c r="C52" s="13" t="inlineStr">
        <is>
          <t>181 Кабинет главного бухгалтера</t>
        </is>
      </c>
      <c r="D52" s="13" t="inlineStr">
        <is>
          <t>м39</t>
        </is>
      </c>
      <c r="E52" s="13" t="inlineStr">
        <is>
          <t>Шкаф двухстворчатый для одежды (2 распашные двери, перекладина); 768х403х1945(h) мм</t>
        </is>
      </c>
      <c r="F52" s="13" t="inlineStr">
        <is>
          <t>Серия «Эдем-1», арт.Э-46.0</t>
        </is>
      </c>
      <c r="G52" s="13" t="inlineStr">
        <is>
          <t>Торговая сеть Россия</t>
        </is>
      </c>
      <c r="H52" s="13" t="inlineStr">
        <is>
          <t>шт.</t>
        </is>
      </c>
      <c r="I52" s="13" t="n">
        <v>1</v>
      </c>
      <c r="J52" s="14" t="n"/>
      <c r="K52" s="14">
        <f>IF(ISNUMBER(J52),I52*J52,0)</f>
        <v/>
      </c>
      <c r="L52" s="13" t="n"/>
      <c r="M52" s="15" t="inlineStr">
        <is>
          <t>ЦЕНЫ НЕТ</t>
        </is>
      </c>
    </row>
    <row r="53">
      <c r="A53" s="13" t="n">
        <v>3481</v>
      </c>
      <c r="B53" s="13" t="inlineStr">
        <is>
          <t>ТХ.2. ОБОРУДОВАНИЕ, МЕБЕЛЬ И ИНВЕНТАРЬ ПО ПОМЕЩЕНИЯМ (03-01/07.21П-ТХ.2.СО)</t>
        </is>
      </c>
      <c r="C53" s="13" t="inlineStr">
        <is>
          <t>181 Кабинет главного бухгалтера</t>
        </is>
      </c>
      <c r="D53" s="13" t="inlineStr">
        <is>
          <t>м83</t>
        </is>
      </c>
      <c r="E53" s="13" t="inlineStr">
        <is>
          <t>Тумба выкатная с центральным замком (3 выдвижных ящика, колеса); 397х500х610(h) мм</t>
        </is>
      </c>
      <c r="F53" s="13" t="inlineStr">
        <is>
          <t>Серия «Эдем-1», арт.Э-37.0 ц/з</t>
        </is>
      </c>
      <c r="G53" s="13" t="inlineStr">
        <is>
          <t>Торговая сеть Россия</t>
        </is>
      </c>
      <c r="H53" s="13" t="inlineStr">
        <is>
          <t>шт.</t>
        </is>
      </c>
      <c r="I53" s="13" t="n">
        <v>1</v>
      </c>
      <c r="J53" s="14" t="n"/>
      <c r="K53" s="14">
        <f>IF(ISNUMBER(J53),I53*J53,0)</f>
        <v/>
      </c>
      <c r="L53" s="13" t="n"/>
      <c r="M53" s="15" t="inlineStr">
        <is>
          <t>ЦЕНЫ НЕТ</t>
        </is>
      </c>
    </row>
    <row r="54">
      <c r="A54" s="13" t="n">
        <v>3490</v>
      </c>
      <c r="B54" s="13" t="inlineStr">
        <is>
          <t>ТХ.2. ОБОРУДОВАНИЕ, МЕБЕЛЬ И ИНВЕНТАРЬ ПО ПОМЕЩЕНИЯМ (03-01/07.21П-ТХ.2.СО)</t>
        </is>
      </c>
      <c r="C54" s="13" t="inlineStr">
        <is>
          <t>182 Помещение главного администратора</t>
        </is>
      </c>
      <c r="D54" s="13" t="inlineStr">
        <is>
          <t>м17</t>
        </is>
      </c>
      <c r="E54" s="13" t="inlineStr">
        <is>
          <t>Стол рабочий прямой; 1400х700х750(h) мм</t>
        </is>
      </c>
      <c r="F54" s="13" t="inlineStr">
        <is>
          <t>Серия «Эдем-1», арт.Э-22.0</t>
        </is>
      </c>
      <c r="G54" s="13" t="inlineStr">
        <is>
          <t>Торговая сеть Россия</t>
        </is>
      </c>
      <c r="H54" s="13" t="inlineStr">
        <is>
          <t>шт.</t>
        </is>
      </c>
      <c r="I54" s="13" t="n">
        <v>1</v>
      </c>
      <c r="J54" s="14" t="n"/>
      <c r="K54" s="14">
        <f>IF(ISNUMBER(J54),I54*J54,0)</f>
        <v/>
      </c>
      <c r="L54" s="13" t="n"/>
      <c r="M54" s="15" t="inlineStr">
        <is>
          <t>ЦЕНЫ НЕТ</t>
        </is>
      </c>
    </row>
    <row r="55">
      <c r="A55" s="13" t="n">
        <v>3492</v>
      </c>
      <c r="B55" s="13" t="inlineStr">
        <is>
          <t>ТХ.2. ОБОРУДОВАНИЕ, МЕБЕЛЬ И ИНВЕНТАРЬ ПО ПОМЕЩЕНИЯМ (03-01/07.21П-ТХ.2.СО)</t>
        </is>
      </c>
      <c r="C55" s="13" t="inlineStr">
        <is>
          <t>182 Помещение главного администратора</t>
        </is>
      </c>
      <c r="D55" s="13" t="inlineStr">
        <is>
          <t>м33</t>
        </is>
      </c>
      <c r="E55" s="13" t="inlineStr">
        <is>
          <t>Тумба для оргтехники двухстворчатая (2 распашные двери, ниша); 800х550х610(h) мм</t>
        </is>
      </c>
      <c r="F55" s="13" t="inlineStr">
        <is>
          <t>Серия «Эдем-1», арт.Э-26.7</t>
        </is>
      </c>
      <c r="G55" s="13" t="inlineStr">
        <is>
          <t>Торговая сеть Россия</t>
        </is>
      </c>
      <c r="H55" s="13" t="inlineStr">
        <is>
          <t>шт.</t>
        </is>
      </c>
      <c r="I55" s="13" t="n">
        <v>1</v>
      </c>
      <c r="J55" s="14" t="n"/>
      <c r="K55" s="14">
        <f>IF(ISNUMBER(J55),I55*J55,0)</f>
        <v/>
      </c>
      <c r="L55" s="13" t="n"/>
      <c r="M55" s="15" t="inlineStr">
        <is>
          <t>ЦЕНЫ НЕТ</t>
        </is>
      </c>
    </row>
    <row r="56">
      <c r="A56" s="13" t="n">
        <v>3493</v>
      </c>
      <c r="B56" s="13" t="inlineStr">
        <is>
          <t>ТХ.2. ОБОРУДОВАНИЕ, МЕБЕЛЬ И ИНВЕНТАРЬ ПО ПОМЕЩЕНИЯМ (03-01/07.21П-ТХ.2.СО)</t>
        </is>
      </c>
      <c r="C56" s="13" t="inlineStr">
        <is>
          <t>182 Помещение главного администратора</t>
        </is>
      </c>
      <c r="D56" s="13" t="inlineStr">
        <is>
          <t>м38</t>
        </is>
      </c>
      <c r="E56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56" s="13" t="inlineStr">
        <is>
          <t>Серия «Эдем-1», арт.Э-44.0 + 47.0*2 + 80.0*2 + ЭВ*2</t>
        </is>
      </c>
      <c r="G56" s="13" t="inlineStr">
        <is>
          <t>Торговая сеть Россия</t>
        </is>
      </c>
      <c r="H56" s="13" t="inlineStr">
        <is>
          <t>шт.</t>
        </is>
      </c>
      <c r="I56" s="13" t="n">
        <v>3</v>
      </c>
      <c r="J56" s="14" t="n"/>
      <c r="K56" s="14">
        <f>IF(ISNUMBER(J56),I56*J56,0)</f>
        <v/>
      </c>
      <c r="L56" s="13" t="n"/>
      <c r="M56" s="15" t="inlineStr">
        <is>
          <t>ЦЕНЫ НЕТ</t>
        </is>
      </c>
    </row>
    <row r="57">
      <c r="A57" s="13" t="n">
        <v>3494</v>
      </c>
      <c r="B57" s="13" t="inlineStr">
        <is>
          <t>ТХ.2. ОБОРУДОВАНИЕ, МЕБЕЛЬ И ИНВЕНТАРЬ ПО ПОМЕЩЕНИЯМ (03-01/07.21П-ТХ.2.СО)</t>
        </is>
      </c>
      <c r="C57" s="13" t="inlineStr">
        <is>
          <t>182 Помещение главного администратора</t>
        </is>
      </c>
      <c r="D57" s="13" t="inlineStr">
        <is>
          <t>м39</t>
        </is>
      </c>
      <c r="E57" s="13" t="inlineStr">
        <is>
          <t>Шкаф двухстворчатый для одежды (2 распашные двери, перекладина); 768х403х1945(h) мм</t>
        </is>
      </c>
      <c r="F57" s="13" t="inlineStr">
        <is>
          <t>Серия «Эдем-1», арт.Э-46.0</t>
        </is>
      </c>
      <c r="G57" s="13" t="inlineStr">
        <is>
          <t>Торговая сеть Россия</t>
        </is>
      </c>
      <c r="H57" s="13" t="inlineStr">
        <is>
          <t>шт.</t>
        </is>
      </c>
      <c r="I57" s="13" t="n">
        <v>1</v>
      </c>
      <c r="J57" s="14" t="n"/>
      <c r="K57" s="14">
        <f>IF(ISNUMBER(J57),I57*J57,0)</f>
        <v/>
      </c>
      <c r="L57" s="13" t="n"/>
      <c r="M57" s="15" t="inlineStr">
        <is>
          <t>ЦЕНЫ НЕТ</t>
        </is>
      </c>
    </row>
    <row r="58">
      <c r="A58" s="13" t="n">
        <v>3495</v>
      </c>
      <c r="B58" s="13" t="inlineStr">
        <is>
          <t>ТХ.2. ОБОРУДОВАНИЕ, МЕБЕЛЬ И ИНВЕНТАРЬ ПО ПОМЕЩЕНИЯМ (03-01/07.21П-ТХ.2.СО)</t>
        </is>
      </c>
      <c r="C58" s="13" t="inlineStr">
        <is>
          <t>182 Помещение главного администратора</t>
        </is>
      </c>
      <c r="D58" s="13" t="inlineStr">
        <is>
          <t>м83</t>
        </is>
      </c>
      <c r="E58" s="13" t="inlineStr">
        <is>
          <t>Тумба выкатная с центральным замком (3 выдвижных ящика, колеса); 397х500х610(h) мм</t>
        </is>
      </c>
      <c r="F58" s="13" t="inlineStr">
        <is>
          <t>Серия «Эдем-1», арт.Э-37.0 ц/з</t>
        </is>
      </c>
      <c r="G58" s="13" t="inlineStr">
        <is>
          <t>Торговая сеть Россия</t>
        </is>
      </c>
      <c r="H58" s="13" t="inlineStr">
        <is>
          <t>шт.</t>
        </is>
      </c>
      <c r="I58" s="13" t="n">
        <v>1</v>
      </c>
      <c r="J58" s="14" t="n"/>
      <c r="K58" s="14">
        <f>IF(ISNUMBER(J58),I58*J58,0)</f>
        <v/>
      </c>
      <c r="L58" s="13" t="n"/>
      <c r="M58" s="15" t="inlineStr">
        <is>
          <t>ЦЕНЫ НЕТ</t>
        </is>
      </c>
    </row>
    <row r="59">
      <c r="A59" s="13" t="n">
        <v>3504</v>
      </c>
      <c r="B59" s="13" t="inlineStr">
        <is>
          <t>ТХ.2. ОБОРУДОВАНИЕ, МЕБЕЛЬ И ИНВЕНТАРЬ ПО ПОМЕЩЕНИЯМ (03-01/07.21П-ТХ.2.СО)</t>
        </is>
      </c>
      <c r="C59" s="13" t="inlineStr">
        <is>
          <t>183 Комната технического персонала</t>
        </is>
      </c>
      <c r="D59" s="13" t="inlineStr">
        <is>
          <t>м17</t>
        </is>
      </c>
      <c r="E59" s="13" t="inlineStr">
        <is>
          <t>Стол рабочий прямой; 1400х700х750(h) мм</t>
        </is>
      </c>
      <c r="F59" s="13" t="inlineStr">
        <is>
          <t>Серия «Эдем-1», арт.Э-22.0</t>
        </is>
      </c>
      <c r="G59" s="13" t="inlineStr">
        <is>
          <t>Торговая сеть Россия</t>
        </is>
      </c>
      <c r="H59" s="13" t="inlineStr">
        <is>
          <t>шт.</t>
        </is>
      </c>
      <c r="I59" s="13" t="n">
        <v>3</v>
      </c>
      <c r="J59" s="14" t="n"/>
      <c r="K59" s="14">
        <f>IF(ISNUMBER(J59),I59*J59,0)</f>
        <v/>
      </c>
      <c r="L59" s="13" t="n"/>
      <c r="M59" s="15" t="inlineStr">
        <is>
          <t>ЦЕНЫ НЕТ</t>
        </is>
      </c>
    </row>
    <row r="60">
      <c r="A60" s="13" t="n">
        <v>3506</v>
      </c>
      <c r="B60" s="13" t="inlineStr">
        <is>
          <t>ТХ.2. ОБОРУДОВАНИЕ, МЕБЕЛЬ И ИНВЕНТАРЬ ПО ПОМЕЩЕНИЯМ (03-01/07.21П-ТХ.2.СО)</t>
        </is>
      </c>
      <c r="C60" s="13" t="inlineStr">
        <is>
          <t>183 Комната технического персонала</t>
        </is>
      </c>
      <c r="D60" s="13" t="inlineStr">
        <is>
          <t>м33</t>
        </is>
      </c>
      <c r="E60" s="13" t="inlineStr">
        <is>
          <t>Тумба для оргтехники двухстворчатая (2 распашные двери, ниша); 800х550х610(h) мм</t>
        </is>
      </c>
      <c r="F60" s="13" t="inlineStr">
        <is>
          <t>Серия «Эдем-1», арт.Э-26.7</t>
        </is>
      </c>
      <c r="G60" s="13" t="inlineStr">
        <is>
          <t>Торговая сеть Россия</t>
        </is>
      </c>
      <c r="H60" s="13" t="inlineStr">
        <is>
          <t>шт.</t>
        </is>
      </c>
      <c r="I60" s="13" t="n">
        <v>1</v>
      </c>
      <c r="J60" s="14" t="n"/>
      <c r="K60" s="14">
        <f>IF(ISNUMBER(J60),I60*J60,0)</f>
        <v/>
      </c>
      <c r="L60" s="13" t="n"/>
      <c r="M60" s="15" t="inlineStr">
        <is>
          <t>ЦЕНЫ НЕТ</t>
        </is>
      </c>
    </row>
    <row r="61">
      <c r="A61" s="13" t="n">
        <v>3507</v>
      </c>
      <c r="B61" s="13" t="inlineStr">
        <is>
          <t>ТХ.2. ОБОРУДОВАНИЕ, МЕБЕЛЬ И ИНВЕНТАРЬ ПО ПОМЕЩЕНИЯМ (03-01/07.21П-ТХ.2.СО)</t>
        </is>
      </c>
      <c r="C61" s="13" t="inlineStr">
        <is>
          <t>183 Комната технического персонала</t>
        </is>
      </c>
      <c r="D61" s="13" t="inlineStr">
        <is>
          <t>м38</t>
        </is>
      </c>
      <c r="E61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61" s="13" t="inlineStr">
        <is>
          <t>Серия «Эдем-1», арт.Э-44.0 + 47.0*2 + 80.0*2 + ЭВ*2</t>
        </is>
      </c>
      <c r="G61" s="13" t="inlineStr">
        <is>
          <t>Торговая сеть Россия</t>
        </is>
      </c>
      <c r="H61" s="13" t="inlineStr">
        <is>
          <t>шт.</t>
        </is>
      </c>
      <c r="I61" s="13" t="n">
        <v>3</v>
      </c>
      <c r="J61" s="14" t="n"/>
      <c r="K61" s="14">
        <f>IF(ISNUMBER(J61),I61*J61,0)</f>
        <v/>
      </c>
      <c r="L61" s="13" t="n"/>
      <c r="M61" s="15" t="inlineStr">
        <is>
          <t>ЦЕНЫ НЕТ</t>
        </is>
      </c>
    </row>
    <row r="62">
      <c r="A62" s="13" t="n">
        <v>3508</v>
      </c>
      <c r="B62" s="13" t="inlineStr">
        <is>
          <t>ТХ.2. ОБОРУДОВАНИЕ, МЕБЕЛЬ И ИНВЕНТАРЬ ПО ПОМЕЩЕНИЯМ (03-01/07.21П-ТХ.2.СО)</t>
        </is>
      </c>
      <c r="C62" s="13" t="inlineStr">
        <is>
          <t>183 Комната технического персонала</t>
        </is>
      </c>
      <c r="D62" s="13" t="inlineStr">
        <is>
          <t>м39</t>
        </is>
      </c>
      <c r="E62" s="13" t="inlineStr">
        <is>
          <t>Шкаф двухстворчатый для одежды (2 распашные двери, перекладина); 768х403х1945(h) мм</t>
        </is>
      </c>
      <c r="F62" s="13" t="inlineStr">
        <is>
          <t>Серия «Эдем-1», арт.Э-46.0</t>
        </is>
      </c>
      <c r="G62" s="13" t="inlineStr">
        <is>
          <t>Торговая сеть Россия</t>
        </is>
      </c>
      <c r="H62" s="13" t="inlineStr">
        <is>
          <t>шт.</t>
        </is>
      </c>
      <c r="I62" s="13" t="n">
        <v>1</v>
      </c>
      <c r="J62" s="14" t="n"/>
      <c r="K62" s="14">
        <f>IF(ISNUMBER(J62),I62*J62,0)</f>
        <v/>
      </c>
      <c r="L62" s="13" t="n"/>
      <c r="M62" s="15" t="inlineStr">
        <is>
          <t>ЦЕНЫ НЕТ</t>
        </is>
      </c>
    </row>
    <row r="63">
      <c r="A63" s="13" t="n">
        <v>3509</v>
      </c>
      <c r="B63" s="13" t="inlineStr">
        <is>
          <t>ТХ.2. ОБОРУДОВАНИЕ, МЕБЕЛЬ И ИНВЕНТАРЬ ПО ПОМЕЩЕНИЯМ (03-01/07.21П-ТХ.2.СО)</t>
        </is>
      </c>
      <c r="C63" s="13" t="inlineStr">
        <is>
          <t>183 Комната технического персонала</t>
        </is>
      </c>
      <c r="D63" s="13" t="inlineStr">
        <is>
          <t>м83</t>
        </is>
      </c>
      <c r="E63" s="13" t="inlineStr">
        <is>
          <t>Тумба выкатная с центральным замком (3 выдвижных ящика, колеса); 397х500х610(h) мм</t>
        </is>
      </c>
      <c r="F63" s="13" t="inlineStr">
        <is>
          <t>Серия «Эдем-1», арт.Э-37.0 ц/з</t>
        </is>
      </c>
      <c r="G63" s="13" t="inlineStr">
        <is>
          <t>Торговая сеть Россия</t>
        </is>
      </c>
      <c r="H63" s="13" t="inlineStr">
        <is>
          <t>шт.</t>
        </is>
      </c>
      <c r="I63" s="13" t="n">
        <v>3</v>
      </c>
      <c r="J63" s="14" t="n"/>
      <c r="K63" s="14">
        <f>IF(ISNUMBER(J63),I63*J63,0)</f>
        <v/>
      </c>
      <c r="L63" s="13" t="n"/>
      <c r="M63" s="15" t="inlineStr">
        <is>
          <t>ЦЕНЫ НЕТ</t>
        </is>
      </c>
    </row>
    <row r="64">
      <c r="A64" s="13" t="n">
        <v>3517</v>
      </c>
      <c r="B64" s="13" t="inlineStr">
        <is>
          <t>ТХ.2. ОБОРУДОВАНИЕ, МЕБЕЛЬ И ИНВЕНТАРЬ ПО ПОМЕЩЕНИЯМ (03-01/07.21П-ТХ.2.СО)</t>
        </is>
      </c>
      <c r="C64" s="13" t="inlineStr">
        <is>
          <t>184 Помещение для трениров</t>
        </is>
      </c>
      <c r="D64" s="13" t="inlineStr">
        <is>
          <t>м17</t>
        </is>
      </c>
      <c r="E64" s="13" t="inlineStr">
        <is>
          <t>Стол рабочий прямой; 1400х700х750(h) мм</t>
        </is>
      </c>
      <c r="F64" s="13" t="inlineStr">
        <is>
          <t>Серия «Эдем-1», арт.Э-22.0</t>
        </is>
      </c>
      <c r="G64" s="13" t="inlineStr">
        <is>
          <t>ООО «Эдем-Мебель»</t>
        </is>
      </c>
      <c r="H64" s="13" t="inlineStr">
        <is>
          <t>шт.</t>
        </is>
      </c>
      <c r="I64" s="13" t="n">
        <v>4</v>
      </c>
      <c r="J64" s="14" t="n"/>
      <c r="K64" s="14">
        <f>IF(ISNUMBER(J64),I64*J64,0)</f>
        <v/>
      </c>
      <c r="L64" s="13" t="n"/>
      <c r="M64" s="15" t="inlineStr">
        <is>
          <t>ЦЕНЫ НЕТ</t>
        </is>
      </c>
    </row>
    <row r="65">
      <c r="A65" s="6" t="n">
        <v>3518</v>
      </c>
      <c r="B65" s="6" t="inlineStr">
        <is>
          <t>ТХ.2. ОБОРУДОВАНИЕ, МЕБЕЛЬ И ИНВЕНТАРЬ ПО ПОМЕЩЕНИЯМ (03-01/07.21П-ТХ.2.СО)</t>
        </is>
      </c>
      <c r="C65" s="6" t="inlineStr">
        <is>
          <t>184 Помещение для трениров</t>
        </is>
      </c>
      <c r="D65" s="6" t="inlineStr">
        <is>
          <t>м28</t>
        </is>
      </c>
      <c r="E65" s="6" t="inlineStr">
        <is>
          <t>Стул для посетителей (материал обивки – к/з); 540х440х820(h) мм</t>
        </is>
      </c>
      <c r="F65" s="6" t="inlineStr">
        <is>
          <t>Gigant GCH-01 (BL)</t>
        </is>
      </c>
      <c r="G65" s="6" t="inlineStr">
        <is>
          <t>ООО «Эдем-Мебель»</t>
        </is>
      </c>
      <c r="H65" s="6" t="inlineStr">
        <is>
          <t>шт.</t>
        </is>
      </c>
      <c r="I65" s="6" t="n">
        <v>2</v>
      </c>
      <c r="J65" s="16" t="n">
        <v>1950</v>
      </c>
      <c r="K65" s="16">
        <f>IF(ISNUMBER(J65),I65*J65,0)</f>
        <v/>
      </c>
      <c r="L65" s="6" t="inlineStr">
        <is>
          <t>цена перенесена сюда из ВОР 02-01-11 (ВОР 8, ВОР 483), сама строка ВОР удалена как дубль</t>
        </is>
      </c>
      <c r="M65" s="6" t="inlineStr">
        <is>
          <t>проценено</t>
        </is>
      </c>
    </row>
    <row r="66">
      <c r="A66" s="13" t="n">
        <v>3522</v>
      </c>
      <c r="B66" s="13" t="inlineStr">
        <is>
          <t>ТХ.2. ОБОРУДОВАНИЕ, МЕБЕЛЬ И ИНВЕНТАРЬ ПО ПОМЕЩЕНИЯМ (03-01/07.21П-ТХ.2.СО)</t>
        </is>
      </c>
      <c r="C66" s="13" t="inlineStr">
        <is>
          <t>184 Помещение для трениров</t>
        </is>
      </c>
      <c r="D66" s="13" t="inlineStr">
        <is>
          <t>м83</t>
        </is>
      </c>
      <c r="E66" s="13" t="inlineStr">
        <is>
          <t>Тумба выкатная с центральным замком (3 выдвижных ящика, колеса); 397х500х610(h) мм</t>
        </is>
      </c>
      <c r="F66" s="13" t="inlineStr">
        <is>
          <t>Серия «Эдем-1», арт.Э-37.0 ц/з</t>
        </is>
      </c>
      <c r="G66" s="13" t="inlineStr">
        <is>
          <t>ООО «Эдем-Мебель»</t>
        </is>
      </c>
      <c r="H66" s="13" t="inlineStr">
        <is>
          <t>шт.</t>
        </is>
      </c>
      <c r="I66" s="13" t="n">
        <v>4</v>
      </c>
      <c r="J66" s="14" t="n"/>
      <c r="K66" s="14">
        <f>IF(ISNUMBER(J66),I66*J66,0)</f>
        <v/>
      </c>
      <c r="L66" s="13" t="n"/>
      <c r="M66" s="15" t="inlineStr">
        <is>
          <t>ЦЕНЫ НЕТ</t>
        </is>
      </c>
    </row>
    <row r="67">
      <c r="A67" s="13" t="n">
        <v>3523</v>
      </c>
      <c r="B67" s="13" t="inlineStr">
        <is>
          <t>ТХ.2. ОБОРУДОВАНИЕ, МЕБЕЛЬ И ИНВЕНТАРЬ ПО ПОМЕЩЕНИЯМ (03-01/07.21П-ТХ.2.СО)</t>
        </is>
      </c>
      <c r="C67" s="13" t="inlineStr">
        <is>
          <t>184 Помещение для трениров</t>
        </is>
      </c>
      <c r="D67" s="13" t="inlineStr">
        <is>
          <t>м38</t>
        </is>
      </c>
      <c r="E67" s="13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F67" s="13" t="inlineStr">
        <is>
          <t>Серия «Эдем-1», арт.Э-44.0 + 47.0*2 + 80.0*2 + ЭВ*2</t>
        </is>
      </c>
      <c r="G67" s="13" t="inlineStr">
        <is>
          <t>Торговая сеть Россия</t>
        </is>
      </c>
      <c r="H67" s="13" t="inlineStr">
        <is>
          <t>шт.</t>
        </is>
      </c>
      <c r="I67" s="13" t="n">
        <v>4</v>
      </c>
      <c r="J67" s="14" t="n"/>
      <c r="K67" s="14">
        <f>IF(ISNUMBER(J67),I67*J67,0)</f>
        <v/>
      </c>
      <c r="L67" s="13" t="n"/>
      <c r="M67" s="15" t="inlineStr">
        <is>
          <t>ЦЕНЫ НЕТ</t>
        </is>
      </c>
    </row>
    <row r="68">
      <c r="A68" s="13" t="n">
        <v>3672</v>
      </c>
      <c r="B68" s="13" t="inlineStr">
        <is>
          <t>ТХ.2. ОБОРУДОВАНИЕ, МЕБЕЛЬ И ИНВЕНТАРЬ ПО ПОМЕЩЕНИЯМ (03-01/07.21П-ТХ.2.СО)</t>
        </is>
      </c>
      <c r="C68" s="13" t="inlineStr">
        <is>
          <t>187.2 Операторская</t>
        </is>
      </c>
      <c r="D68" s="13" t="inlineStr">
        <is>
          <t>м17</t>
        </is>
      </c>
      <c r="E68" s="13" t="inlineStr">
        <is>
          <t>Стол рабочий прямой; 1400х700х750(h) мм</t>
        </is>
      </c>
      <c r="F68" s="13" t="inlineStr">
        <is>
          <t>Серия «Эдем-1», арт.Э-22.0</t>
        </is>
      </c>
      <c r="G68" s="13" t="inlineStr">
        <is>
          <t>ООО «Эдем-Мебель»</t>
        </is>
      </c>
      <c r="H68" s="13" t="inlineStr">
        <is>
          <t>шт.</t>
        </is>
      </c>
      <c r="I68" s="13" t="n">
        <v>1</v>
      </c>
      <c r="J68" s="14" t="n"/>
      <c r="K68" s="14">
        <f>IF(ISNUMBER(J68),I68*J68,0)</f>
        <v/>
      </c>
      <c r="L68" s="13" t="n"/>
      <c r="M68" s="15" t="inlineStr">
        <is>
          <t>ЦЕНЫ НЕТ</t>
        </is>
      </c>
    </row>
    <row r="69">
      <c r="A69" s="6" t="n">
        <v>3673</v>
      </c>
      <c r="B69" s="6" t="inlineStr">
        <is>
          <t>ТХ.2. ОБОРУДОВАНИЕ, МЕБЕЛЬ И ИНВЕНТАРЬ ПО ПОМЕЩЕНИЯМ (03-01/07.21П-ТХ.2.СО)</t>
        </is>
      </c>
      <c r="C69" s="6" t="inlineStr">
        <is>
          <t>187.2 Операторская</t>
        </is>
      </c>
      <c r="D69" s="6" t="inlineStr">
        <is>
          <t>м28</t>
        </is>
      </c>
      <c r="E69" s="6" t="inlineStr">
        <is>
          <t>Стул для посетителей (материал обивки – к/з); 540х440х820(h) мм</t>
        </is>
      </c>
      <c r="F69" s="6" t="inlineStr">
        <is>
          <t>Gigant GCH-01 (BL)</t>
        </is>
      </c>
      <c r="G69" s="6" t="inlineStr">
        <is>
          <t>ООО «Эдем-Мебель»</t>
        </is>
      </c>
      <c r="H69" s="6" t="inlineStr">
        <is>
          <t>шт.</t>
        </is>
      </c>
      <c r="I69" s="6" t="n">
        <v>1</v>
      </c>
      <c r="J69" s="16" t="n">
        <v>1950</v>
      </c>
      <c r="K69" s="16">
        <f>IF(ISNUMBER(J69),I69*J69,0)</f>
        <v/>
      </c>
      <c r="L69" s="6" t="inlineStr">
        <is>
          <t>цена перенесена сюда из ВОР 02-01-11 (ВОР 8, ВОР 483), сама строка ВОР удалена как дубль</t>
        </is>
      </c>
      <c r="M69" s="6" t="inlineStr">
        <is>
          <t>проценено</t>
        </is>
      </c>
    </row>
    <row r="70">
      <c r="A70" s="13" t="n">
        <v>3773</v>
      </c>
      <c r="B70" s="13" t="inlineStr">
        <is>
          <t>ТХ.2. ОБОРУДОВАНИЕ, МЕБЕЛЬ И ИНВЕНТАРЬ ПО ПОМЕЩЕНИЯМ (03-01/07.21П-ТХ.2.СО)</t>
        </is>
      </c>
      <c r="C70" s="13" t="inlineStr">
        <is>
          <t>193 Телевизионная комментаторская студия</t>
        </is>
      </c>
      <c r="D70" s="13" t="inlineStr">
        <is>
          <t>2</t>
        </is>
      </c>
      <c r="E70" s="13" t="inlineStr">
        <is>
          <t>Стол рабочий прямой; 1200х700х750(h) мм</t>
        </is>
      </c>
      <c r="F70" s="13" t="inlineStr">
        <is>
          <t>Серия «Эдем-1», арт.Э-21.0</t>
        </is>
      </c>
      <c r="G70" s="13" t="inlineStr">
        <is>
          <t>Торговая сеть Россия</t>
        </is>
      </c>
      <c r="H70" s="13" t="inlineStr">
        <is>
          <t>шт.</t>
        </is>
      </c>
      <c r="I70" s="13" t="n">
        <v>2</v>
      </c>
      <c r="J70" s="14" t="n"/>
      <c r="K70" s="14">
        <f>IF(ISNUMBER(J70),I70*J70,0)</f>
        <v/>
      </c>
      <c r="L70" s="13" t="n"/>
      <c r="M70" s="15" t="inlineStr">
        <is>
          <t>ЦЕНЫ НЕТ</t>
        </is>
      </c>
    </row>
    <row r="71">
      <c r="A71" s="13" t="n">
        <v>3777</v>
      </c>
      <c r="B71" s="13" t="inlineStr">
        <is>
          <t>ТХ.2. ОБОРУДОВАНИЕ, МЕБЕЛЬ И ИНВЕНТАРЬ ПО ПОМЕЩЕНИЯМ (03-01/07.21П-ТХ.2.СО)</t>
        </is>
      </c>
      <c r="C71" s="13" t="inlineStr">
        <is>
          <t>193 Телевизионная комментаторская студия</t>
        </is>
      </c>
      <c r="D71" s="13" t="inlineStr">
        <is>
          <t>м33</t>
        </is>
      </c>
      <c r="E71" s="13" t="inlineStr">
        <is>
          <t>Тумба для оргтехники двухстворчатая (2 распашные двери, ниша); 800х550х610(h) мм</t>
        </is>
      </c>
      <c r="F71" s="13" t="inlineStr">
        <is>
          <t>Серия «Эдем-1», арт.Э-26.7</t>
        </is>
      </c>
      <c r="G71" s="13" t="inlineStr">
        <is>
          <t>Торговая сеть Россия</t>
        </is>
      </c>
      <c r="H71" s="13" t="inlineStr">
        <is>
          <t>шт.</t>
        </is>
      </c>
      <c r="I71" s="13" t="n">
        <v>1</v>
      </c>
      <c r="J71" s="14" t="n"/>
      <c r="K71" s="14">
        <f>IF(ISNUMBER(J71),I71*J71,0)</f>
        <v/>
      </c>
      <c r="L71" s="13" t="n"/>
      <c r="M71" s="15" t="inlineStr">
        <is>
          <t>ЦЕНЫ НЕТ</t>
        </is>
      </c>
    </row>
    <row r="72">
      <c r="A72" s="13" t="n">
        <v>3851</v>
      </c>
      <c r="B72" s="13" t="inlineStr">
        <is>
          <t>ТХ.2. ОБОРУДОВАНИЕ, МЕБЕЛЬ И ИНВЕНТАРЬ ПО ПОМЕЩЕНИЯМ (03-01/07.21П-ТХ.2.СО)</t>
        </is>
      </c>
      <c r="C72" s="13" t="inlineStr">
        <is>
          <t>199.2 Помещение для фотографа</t>
        </is>
      </c>
      <c r="D72" s="13" t="inlineStr">
        <is>
          <t>2</t>
        </is>
      </c>
      <c r="E72" s="13" t="inlineStr">
        <is>
          <t>Стол рабочий прямой; 1200х700х750(h) мм</t>
        </is>
      </c>
      <c r="F72" s="13" t="inlineStr">
        <is>
          <t>Серия «Эдем-1», арт.Э-21.0</t>
        </is>
      </c>
      <c r="G72" s="13" t="inlineStr">
        <is>
          <t>Торговая сеть Россия</t>
        </is>
      </c>
      <c r="H72" s="13" t="inlineStr">
        <is>
          <t>шт.</t>
        </is>
      </c>
      <c r="I72" s="13" t="n">
        <v>2</v>
      </c>
      <c r="J72" s="14" t="n"/>
      <c r="K72" s="14">
        <f>IF(ISNUMBER(J72),I72*J72,0)</f>
        <v/>
      </c>
      <c r="L72" s="13" t="n"/>
      <c r="M72" s="15" t="inlineStr">
        <is>
          <t>ЦЕНЫ НЕТ</t>
        </is>
      </c>
    </row>
    <row r="73">
      <c r="A73" s="13" t="n">
        <v>3855</v>
      </c>
      <c r="B73" s="13" t="inlineStr">
        <is>
          <t>ТХ.2. ОБОРУДОВАНИЕ, МЕБЕЛЬ И ИНВЕНТАРЬ ПО ПОМЕЩЕНИЯМ (03-01/07.21П-ТХ.2.СО)</t>
        </is>
      </c>
      <c r="C73" s="13" t="inlineStr">
        <is>
          <t>199.2 Помещение для фотографа</t>
        </is>
      </c>
      <c r="D73" s="13" t="inlineStr">
        <is>
          <t>м33</t>
        </is>
      </c>
      <c r="E73" s="13" t="inlineStr">
        <is>
          <t>Тумба для оргтехники двухстворчатая (2 распашные двери, ниша); 800х550х610(h) мм</t>
        </is>
      </c>
      <c r="F73" s="13" t="inlineStr">
        <is>
          <t>Серия «Эдем-1», арт.Э-26.7</t>
        </is>
      </c>
      <c r="G73" s="13" t="inlineStr">
        <is>
          <t>Торговая сеть Россия</t>
        </is>
      </c>
      <c r="H73" s="13" t="inlineStr">
        <is>
          <t>шт.</t>
        </is>
      </c>
      <c r="I73" s="13" t="n">
        <v>1</v>
      </c>
      <c r="J73" s="14" t="n"/>
      <c r="K73" s="14">
        <f>IF(ISNUMBER(J73),I73*J73,0)</f>
        <v/>
      </c>
      <c r="L73" s="13" t="n"/>
      <c r="M73" s="15" t="inlineStr">
        <is>
          <t>ЦЕНЫ НЕТ</t>
        </is>
      </c>
    </row>
    <row r="74">
      <c r="A74" s="13" t="n">
        <v>3859</v>
      </c>
      <c r="B74" s="13" t="inlineStr">
        <is>
          <t>ТХ.2. ОБОРУДОВАНИЕ, МЕБЕЛЬ И ИНВЕНТАРЬ ПО ПОМЕЩЕНИЯМ (03-01/07.21П-ТХ.2.СО)</t>
        </is>
      </c>
      <c r="C74" s="13" t="inlineStr">
        <is>
          <t>199.3 Помещение для фотографа</t>
        </is>
      </c>
      <c r="D74" s="13" t="inlineStr">
        <is>
          <t>2</t>
        </is>
      </c>
      <c r="E74" s="13" t="inlineStr">
        <is>
          <t>Стол рабочий прямой; 1200х700х750(h) мм</t>
        </is>
      </c>
      <c r="F74" s="13" t="inlineStr">
        <is>
          <t>Серия «Эдем-1», арт.Э-21.0</t>
        </is>
      </c>
      <c r="G74" s="13" t="inlineStr">
        <is>
          <t>Торговая сеть Россия</t>
        </is>
      </c>
      <c r="H74" s="13" t="inlineStr">
        <is>
          <t>шт.</t>
        </is>
      </c>
      <c r="I74" s="13" t="n">
        <v>2</v>
      </c>
      <c r="J74" s="14" t="n"/>
      <c r="K74" s="14">
        <f>IF(ISNUMBER(J74),I74*J74,0)</f>
        <v/>
      </c>
      <c r="L74" s="13" t="n"/>
      <c r="M74" s="15" t="inlineStr">
        <is>
          <t>ЦЕНЫ НЕТ</t>
        </is>
      </c>
    </row>
    <row r="75">
      <c r="A75" s="13" t="n">
        <v>3863</v>
      </c>
      <c r="B75" s="13" t="inlineStr">
        <is>
          <t>ТХ.2. ОБОРУДОВАНИЕ, МЕБЕЛЬ И ИНВЕНТАРЬ ПО ПОМЕЩЕНИЯМ (03-01/07.21П-ТХ.2.СО)</t>
        </is>
      </c>
      <c r="C75" s="13" t="inlineStr">
        <is>
          <t>199.3 Помещение для фотографа</t>
        </is>
      </c>
      <c r="D75" s="13" t="inlineStr">
        <is>
          <t>м33</t>
        </is>
      </c>
      <c r="E75" s="13" t="inlineStr">
        <is>
          <t>Тумба для оргтехники двухстворчатая (2 распашные двери, ниша); 800х550х610(h) мм</t>
        </is>
      </c>
      <c r="F75" s="13" t="inlineStr">
        <is>
          <t>Серия «Эдем-1», арт.Э-26.7</t>
        </is>
      </c>
      <c r="G75" s="13" t="inlineStr">
        <is>
          <t>Торговая сеть Россия</t>
        </is>
      </c>
      <c r="H75" s="13" t="inlineStr">
        <is>
          <t>шт.</t>
        </is>
      </c>
      <c r="I75" s="13" t="n">
        <v>1</v>
      </c>
      <c r="J75" s="14" t="n"/>
      <c r="K75" s="14">
        <f>IF(ISNUMBER(J75),I75*J75,0)</f>
        <v/>
      </c>
      <c r="L75" s="13" t="n"/>
      <c r="M75" s="15" t="inlineStr">
        <is>
          <t>ЦЕНЫ НЕТ</t>
        </is>
      </c>
    </row>
    <row r="76">
      <c r="A76" s="6" t="n"/>
      <c r="B76" s="6" t="n"/>
      <c r="C76" s="6" t="n"/>
      <c r="D76" s="6" t="n"/>
      <c r="E76" s="9" t="inlineStr">
        <is>
          <t>ИТОГО</t>
        </is>
      </c>
      <c r="F76" s="6" t="n"/>
      <c r="G76" s="6" t="n"/>
      <c r="H76" s="6" t="n"/>
      <c r="I76" s="9">
        <f>SUM(I2:I75)</f>
        <v/>
      </c>
      <c r="J76" s="16" t="n"/>
      <c r="K76" s="17">
        <f>SUM(K2:K75)</f>
        <v/>
      </c>
      <c r="L76" s="6" t="n"/>
      <c r="M7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0" customWidth="1" min="3" max="3"/>
    <col width="56" customWidth="1" min="4" max="4"/>
    <col width="42" customWidth="1" min="5" max="5"/>
    <col width="11" customWidth="1" min="6" max="6"/>
    <col width="14" customWidth="1" min="7" max="7"/>
    <col width="16" customWidth="1" min="8" max="8"/>
  </cols>
  <sheetData>
    <row r="1" ht="30" customHeight="1">
      <c r="A1" s="4" t="inlineStr">
        <is>
          <t>Помещение</t>
        </is>
      </c>
      <c r="B1" s="4" t="inlineStr">
        <is>
          <t>Раздел</t>
        </is>
      </c>
      <c r="C1" s="4" t="inlineStr">
        <is>
          <t>Поз.</t>
        </is>
      </c>
      <c r="D1" s="4" t="inlineStr">
        <is>
          <t>Наименование</t>
        </is>
      </c>
      <c r="E1" s="4" t="inlineStr">
        <is>
          <t>Артикул</t>
        </is>
      </c>
      <c r="F1" s="4" t="inlineStr">
        <is>
          <t>Кол-во, шт</t>
        </is>
      </c>
      <c r="G1" s="4" t="inlineStr">
        <is>
          <t>Цена</t>
        </is>
      </c>
      <c r="H1" s="4" t="inlineStr">
        <is>
          <t>Сумма</t>
        </is>
      </c>
    </row>
    <row r="2">
      <c r="A2" s="18" t="inlineStr">
        <is>
          <t>105.1 Помещение службы безопасности</t>
        </is>
      </c>
      <c r="B2" s="19" t="inlineStr">
        <is>
          <t>ТХ.2. ОБОРУДОВАНИЕ, МЕБЕЛЬ И ИНВЕНТАРЬ ПО ПОМЕЩЕНИЯМ (03-01/07.21П-ТХ.2.СО)</t>
        </is>
      </c>
      <c r="C2" s="6" t="n"/>
      <c r="D2" s="6" t="n"/>
      <c r="E2" s="6" t="n"/>
      <c r="F2" s="6" t="n"/>
      <c r="G2" s="16" t="n"/>
      <c r="H2" s="16" t="n"/>
    </row>
    <row r="3">
      <c r="A3" s="6" t="n"/>
      <c r="B3" s="6" t="n"/>
      <c r="C3" s="6" t="inlineStr">
        <is>
          <t>2</t>
        </is>
      </c>
      <c r="D3" s="6" t="inlineStr">
        <is>
          <t>Стол рабочий прямой; 1200х700х750(h) мм</t>
        </is>
      </c>
      <c r="E3" s="6" t="inlineStr">
        <is>
          <t>Серия «Эдем-1», арт.Э-21.0</t>
        </is>
      </c>
      <c r="F3" s="6" t="n">
        <v>2</v>
      </c>
      <c r="G3" s="20" t="inlineStr">
        <is>
          <t>ЦЕНЫ НЕТ</t>
        </is>
      </c>
      <c r="H3" s="16">
        <f>IF(ISNUMBER(G3),F3*G3,0)</f>
        <v/>
      </c>
    </row>
    <row r="4">
      <c r="A4" s="6" t="n"/>
      <c r="B4" s="6" t="n"/>
      <c r="C4" s="6" t="inlineStr">
        <is>
          <t>м38</t>
        </is>
      </c>
      <c r="D4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4" s="6" t="inlineStr">
        <is>
          <t>Серия «Эдем-1», арт.Э-44.0 + 47.0*2 + 80.0*2 + ЭВ*2</t>
        </is>
      </c>
      <c r="F4" s="6" t="n">
        <v>2</v>
      </c>
      <c r="G4" s="20" t="inlineStr">
        <is>
          <t>ЦЕНЫ НЕТ</t>
        </is>
      </c>
      <c r="H4" s="16">
        <f>IF(ISNUMBER(G4),F4*G4,0)</f>
        <v/>
      </c>
    </row>
    <row r="5">
      <c r="A5" s="6" t="n"/>
      <c r="B5" s="6" t="n"/>
      <c r="C5" s="6" t="inlineStr">
        <is>
          <t>м33</t>
        </is>
      </c>
      <c r="D5" s="6" t="inlineStr">
        <is>
          <t>Тумба для оргтехники двухстворчатая (2 распашные двери, ниша); 800х550х610(h) мм</t>
        </is>
      </c>
      <c r="E5" s="6" t="inlineStr">
        <is>
          <t>Серия «Эдем-1», арт.Э-26.7</t>
        </is>
      </c>
      <c r="F5" s="6" t="n">
        <v>1</v>
      </c>
      <c r="G5" s="20" t="inlineStr">
        <is>
          <t>ЦЕНЫ НЕТ</t>
        </is>
      </c>
      <c r="H5" s="16">
        <f>IF(ISNUMBER(G5),F5*G5,0)</f>
        <v/>
      </c>
    </row>
    <row r="6">
      <c r="A6" s="18" t="inlineStr">
        <is>
          <t>107 Помещение охраны круглосуточного дежурства</t>
        </is>
      </c>
      <c r="B6" s="19" t="inlineStr">
        <is>
          <t>ТХ.2. ОБОРУДОВАНИЕ, МЕБЕЛЬ И ИНВЕНТАРЬ ПО ПОМЕЩЕНИЯМ (03-01/07.21П-ТХ.2.СО)</t>
        </is>
      </c>
      <c r="C6" s="6" t="n"/>
      <c r="D6" s="6" t="n"/>
      <c r="E6" s="6" t="n"/>
      <c r="F6" s="6" t="n"/>
      <c r="G6" s="16" t="n"/>
      <c r="H6" s="16" t="n"/>
    </row>
    <row r="7">
      <c r="A7" s="6" t="n"/>
      <c r="B7" s="6" t="n"/>
      <c r="C7" s="6" t="inlineStr">
        <is>
          <t>м38</t>
        </is>
      </c>
      <c r="D7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7" s="6" t="inlineStr">
        <is>
          <t>Серия «Эдем-1», арт.Э-44.0 + 47.0*2 + 80.0*2 + ЭВ*2</t>
        </is>
      </c>
      <c r="F7" s="6" t="n">
        <v>1</v>
      </c>
      <c r="G7" s="20" t="inlineStr">
        <is>
          <t>ЦЕНЫ НЕТ</t>
        </is>
      </c>
      <c r="H7" s="16">
        <f>IF(ISNUMBER(G7),F7*G7,0)</f>
        <v/>
      </c>
    </row>
    <row r="8">
      <c r="A8" s="6" t="n"/>
      <c r="B8" s="6" t="n"/>
      <c r="C8" s="6" t="inlineStr">
        <is>
          <t>м33</t>
        </is>
      </c>
      <c r="D8" s="6" t="inlineStr">
        <is>
          <t>Тумба для оргтехники двухстворчатая (2 распашные двери, ниша); 800х550х610(h) мм</t>
        </is>
      </c>
      <c r="E8" s="6" t="inlineStr">
        <is>
          <t>Серия «Эдем-1», арт.Э-26.7</t>
        </is>
      </c>
      <c r="F8" s="6" t="n">
        <v>1</v>
      </c>
      <c r="G8" s="20" t="inlineStr">
        <is>
          <t>ЦЕНЫ НЕТ</t>
        </is>
      </c>
      <c r="H8" s="16">
        <f>IF(ISNUMBER(G8),F8*G8,0)</f>
        <v/>
      </c>
    </row>
    <row r="9">
      <c r="A9" s="18" t="inlineStr">
        <is>
          <t>109 - Обработка антисептическими составами Касса для массового катания</t>
        </is>
      </c>
      <c r="B9" s="19" t="inlineStr">
        <is>
          <t>ТХ.2. ОБОРУДОВАНИЕ, МЕБЕЛЬ И ИНВЕНТАРЬ ПО ПОМЕЩЕНИЯМ (03-01/07.21П-ТХ.2.СО)</t>
        </is>
      </c>
      <c r="C9" s="6" t="n"/>
      <c r="D9" s="6" t="n"/>
      <c r="E9" s="6" t="n"/>
      <c r="F9" s="6" t="n"/>
      <c r="G9" s="16" t="n"/>
      <c r="H9" s="16" t="n"/>
    </row>
    <row r="10">
      <c r="A10" s="6" t="n"/>
      <c r="B10" s="6" t="n"/>
      <c r="C10" s="6" t="inlineStr">
        <is>
          <t>м33</t>
        </is>
      </c>
      <c r="D10" s="6" t="inlineStr">
        <is>
          <t>Тумба для оргтехники двухстворчатая (2 распашные двери, ниша); 800х550х610(h) мм</t>
        </is>
      </c>
      <c r="E10" s="6" t="inlineStr">
        <is>
          <t>Серия «Эдем-1», арт.Э-26.7</t>
        </is>
      </c>
      <c r="F10" s="6" t="n">
        <v>1</v>
      </c>
      <c r="G10" s="20" t="inlineStr">
        <is>
          <t>ЦЕНЫ НЕТ</t>
        </is>
      </c>
      <c r="H10" s="16">
        <f>IF(ISNUMBER(G10),F10*G10,0)</f>
        <v/>
      </c>
    </row>
    <row r="11">
      <c r="A11" s="6" t="n"/>
      <c r="B11" s="6" t="n"/>
      <c r="C11" s="6" t="inlineStr">
        <is>
          <t>м38</t>
        </is>
      </c>
      <c r="D11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11" s="6" t="inlineStr">
        <is>
          <t>Серия «Эдем-1», арт.Э-44.0 + 47.0*2 + 80.0*2 + ЭВ*2</t>
        </is>
      </c>
      <c r="F11" s="6" t="n">
        <v>1</v>
      </c>
      <c r="G11" s="20" t="inlineStr">
        <is>
          <t>ЦЕНЫ НЕТ</t>
        </is>
      </c>
      <c r="H11" s="16">
        <f>IF(ISNUMBER(G11),F11*G11,0)</f>
        <v/>
      </c>
    </row>
    <row r="12">
      <c r="A12" s="18" t="inlineStr">
        <is>
          <t>109.1 Помещение кассы</t>
        </is>
      </c>
      <c r="B12" s="19" t="inlineStr">
        <is>
          <t>ТХ.2. ОБОРУДОВАНИЕ, МЕБЕЛЬ И ИНВЕНТАРЬ ПО ПОМЕЩЕНИЯМ (03-01/07.21П-ТХ.2.СО)</t>
        </is>
      </c>
      <c r="C12" s="6" t="n"/>
      <c r="D12" s="6" t="n"/>
      <c r="E12" s="6" t="n"/>
      <c r="F12" s="6" t="n"/>
      <c r="G12" s="16" t="n"/>
      <c r="H12" s="16" t="n"/>
    </row>
    <row r="13">
      <c r="A13" s="6" t="n"/>
      <c r="B13" s="6" t="n"/>
      <c r="C13" s="6" t="inlineStr">
        <is>
          <t>м33</t>
        </is>
      </c>
      <c r="D13" s="6" t="inlineStr">
        <is>
          <t>Тумба для оргтехники двухстворчатая (2 распашные двери, ниша); 800х550х610(h) мм</t>
        </is>
      </c>
      <c r="E13" s="6" t="inlineStr">
        <is>
          <t>Серия «Эдем-1», арт.Э-26.7</t>
        </is>
      </c>
      <c r="F13" s="6" t="n">
        <v>1</v>
      </c>
      <c r="G13" s="20" t="inlineStr">
        <is>
          <t>ЦЕНЫ НЕТ</t>
        </is>
      </c>
      <c r="H13" s="16">
        <f>IF(ISNUMBER(G13),F13*G13,0)</f>
        <v/>
      </c>
    </row>
    <row r="14">
      <c r="A14" s="6" t="n"/>
      <c r="B14" s="6" t="n"/>
      <c r="C14" s="6" t="inlineStr">
        <is>
          <t>м38</t>
        </is>
      </c>
      <c r="D14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14" s="6" t="inlineStr">
        <is>
          <t>Серия «Эдем-1», арт.Э-44.0 + 47.0*2 + 80.0*2 + ЭВ*2</t>
        </is>
      </c>
      <c r="F14" s="6" t="n">
        <v>1</v>
      </c>
      <c r="G14" s="20" t="inlineStr">
        <is>
          <t>ЦЕНЫ НЕТ</t>
        </is>
      </c>
      <c r="H14" s="16">
        <f>IF(ISNUMBER(G14),F14*G14,0)</f>
        <v/>
      </c>
    </row>
    <row r="15">
      <c r="A15" s="18" t="inlineStr">
        <is>
          <t>110 Ритейл, помещение для хранения, сушки коньков, выдачи проката и заточки коньков</t>
        </is>
      </c>
      <c r="B15" s="19" t="inlineStr">
        <is>
          <t>ТХ.2. ОБОРУДОВАНИЕ, МЕБЕЛЬ И ИНВЕНТАРЬ ПО ПОМЕЩЕНИЯМ (03-01/07.21П-ТХ.2.СО)</t>
        </is>
      </c>
      <c r="C15" s="6" t="n"/>
      <c r="D15" s="6" t="n"/>
      <c r="E15" s="6" t="n"/>
      <c r="F15" s="6" t="n"/>
      <c r="G15" s="16" t="n"/>
      <c r="H15" s="16" t="n"/>
    </row>
    <row r="16">
      <c r="A16" s="6" t="n"/>
      <c r="B16" s="6" t="n"/>
      <c r="C16" s="6" t="inlineStr">
        <is>
          <t>м17</t>
        </is>
      </c>
      <c r="D16" s="6" t="inlineStr">
        <is>
          <t>Стол рабочий прямой; 1400х700х750(h) мм</t>
        </is>
      </c>
      <c r="E16" s="6" t="inlineStr">
        <is>
          <t>Серия «Эдем-1», арт.Э-22.0</t>
        </is>
      </c>
      <c r="F16" s="6" t="n">
        <v>1</v>
      </c>
      <c r="G16" s="20" t="inlineStr">
        <is>
          <t>ЦЕНЫ НЕТ</t>
        </is>
      </c>
      <c r="H16" s="16">
        <f>IF(ISNUMBER(G16),F16*G16,0)</f>
        <v/>
      </c>
    </row>
    <row r="17">
      <c r="A17" s="18" t="inlineStr">
        <is>
          <t>118 Помещение службы безопасности</t>
        </is>
      </c>
      <c r="B17" s="19" t="inlineStr">
        <is>
          <t>ТХ.2. ОБОРУДОВАНИЕ, МЕБЕЛЬ И ИНВЕНТАРЬ ПО ПОМЕЩЕНИЯМ (03-01/07.21П-ТХ.2.СО)</t>
        </is>
      </c>
      <c r="C17" s="6" t="n"/>
      <c r="D17" s="6" t="n"/>
      <c r="E17" s="6" t="n"/>
      <c r="F17" s="6" t="n"/>
      <c r="G17" s="16" t="n"/>
      <c r="H17" s="16" t="n"/>
    </row>
    <row r="18">
      <c r="A18" s="6" t="n"/>
      <c r="B18" s="6" t="n"/>
      <c r="C18" s="6" t="inlineStr">
        <is>
          <t>2</t>
        </is>
      </c>
      <c r="D18" s="6" t="inlineStr">
        <is>
          <t>Стол рабочий прямой; 1200х700х750(h) мм</t>
        </is>
      </c>
      <c r="E18" s="6" t="inlineStr">
        <is>
          <t>Серия «Эдем-1», арт.Э-21.0</t>
        </is>
      </c>
      <c r="F18" s="6" t="n">
        <v>1</v>
      </c>
      <c r="G18" s="20" t="inlineStr">
        <is>
          <t>ЦЕНЫ НЕТ</t>
        </is>
      </c>
      <c r="H18" s="16">
        <f>IF(ISNUMBER(G18),F18*G18,0)</f>
        <v/>
      </c>
    </row>
    <row r="19">
      <c r="A19" s="6" t="n"/>
      <c r="B19" s="6" t="n"/>
      <c r="C19" s="6" t="inlineStr">
        <is>
          <t>м38</t>
        </is>
      </c>
      <c r="D19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19" s="6" t="inlineStr">
        <is>
          <t>Серия «Эдем-1», арт.Э-44.0 + 47.0*2 + 80.0*2 + ЭВ*2</t>
        </is>
      </c>
      <c r="F19" s="6" t="n">
        <v>1</v>
      </c>
      <c r="G19" s="20" t="inlineStr">
        <is>
          <t>ЦЕНЫ НЕТ</t>
        </is>
      </c>
      <c r="H19" s="16">
        <f>IF(ISNUMBER(G19),F19*G19,0)</f>
        <v/>
      </c>
    </row>
    <row r="20">
      <c r="A20" s="6" t="n"/>
      <c r="B20" s="6" t="n"/>
      <c r="C20" s="6" t="inlineStr">
        <is>
          <t>м33</t>
        </is>
      </c>
      <c r="D20" s="6" t="inlineStr">
        <is>
          <t>Тумба для оргтехники двухстворчатая (2 распашные двери, ниша); 800х550х610(h) мм</t>
        </is>
      </c>
      <c r="E20" s="6" t="inlineStr">
        <is>
          <t>Серия «Эдем-1», арт.Э-26.7</t>
        </is>
      </c>
      <c r="F20" s="6" t="n">
        <v>1</v>
      </c>
      <c r="G20" s="20" t="inlineStr">
        <is>
          <t>ЦЕНЫ НЕТ</t>
        </is>
      </c>
      <c r="H20" s="16">
        <f>IF(ISNUMBER(G20),F20*G20,0)</f>
        <v/>
      </c>
    </row>
    <row r="21">
      <c r="A21" s="18" t="inlineStr">
        <is>
          <t>119 Помещение охраны круглосуточного дежурства 2</t>
        </is>
      </c>
      <c r="B21" s="19" t="inlineStr">
        <is>
          <t>ТХ.2. ОБОРУДОВАНИЕ, МЕБЕЛЬ И ИНВЕНТАРЬ ПО ПОМЕЩЕНИЯМ (03-01/07.21П-ТХ.2.СО)</t>
        </is>
      </c>
      <c r="C21" s="6" t="n"/>
      <c r="D21" s="6" t="n"/>
      <c r="E21" s="6" t="n"/>
      <c r="F21" s="6" t="n"/>
      <c r="G21" s="16" t="n"/>
      <c r="H21" s="16" t="n"/>
    </row>
    <row r="22">
      <c r="A22" s="6" t="n"/>
      <c r="B22" s="6" t="n"/>
      <c r="C22" s="6" t="inlineStr">
        <is>
          <t>м38</t>
        </is>
      </c>
      <c r="D22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22" s="6" t="inlineStr">
        <is>
          <t>Серия «Эдем-1», арт.Э-44.0 + 47.0*2 + 80.0*2 + ЭВ*2</t>
        </is>
      </c>
      <c r="F22" s="6" t="n">
        <v>2</v>
      </c>
      <c r="G22" s="20" t="inlineStr">
        <is>
          <t>ЦЕНЫ НЕТ</t>
        </is>
      </c>
      <c r="H22" s="16">
        <f>IF(ISNUMBER(G22),F22*G22,0)</f>
        <v/>
      </c>
    </row>
    <row r="23">
      <c r="A23" s="6" t="n"/>
      <c r="B23" s="6" t="n"/>
      <c r="C23" s="6" t="inlineStr">
        <is>
          <t>м33</t>
        </is>
      </c>
      <c r="D23" s="6" t="inlineStr">
        <is>
          <t>Тумба для оргтехники двухстворчатая (2 распашные двери, ниша); 800х550х610(h) мм</t>
        </is>
      </c>
      <c r="E23" s="6" t="inlineStr">
        <is>
          <t>Серия «Эдем-1», арт.Э-26.7</t>
        </is>
      </c>
      <c r="F23" s="6" t="n">
        <v>1</v>
      </c>
      <c r="G23" s="20" t="inlineStr">
        <is>
          <t>ЦЕНЫ НЕТ</t>
        </is>
      </c>
      <c r="H23" s="16">
        <f>IF(ISNUMBER(G23),F23*G23,0)</f>
        <v/>
      </c>
    </row>
    <row r="24">
      <c r="A24" s="18" t="inlineStr">
        <is>
          <t>128 Раздевальная для хоккеистов 1</t>
        </is>
      </c>
      <c r="B24" s="19" t="inlineStr">
        <is>
          <t>ТХ.2. ОБОРУДОВАНИЕ, МЕБЕЛЬ И ИНВЕНТАРЬ ПО ПОМЕЩЕНИЯМ (03-01/07.21П-ТХ.2.СО)</t>
        </is>
      </c>
      <c r="C24" s="6" t="n"/>
      <c r="D24" s="6" t="n"/>
      <c r="E24" s="6" t="n"/>
      <c r="F24" s="6" t="n"/>
      <c r="G24" s="16" t="n"/>
      <c r="H24" s="16" t="n"/>
    </row>
    <row r="25">
      <c r="A25" s="6" t="n"/>
      <c r="B25" s="6" t="n"/>
      <c r="C25" s="6" t="inlineStr">
        <is>
          <t>м17</t>
        </is>
      </c>
      <c r="D25" s="6" t="inlineStr">
        <is>
          <t>Стол рабочий прямой; 1400х700х750(h) мм</t>
        </is>
      </c>
      <c r="E25" s="6" t="inlineStr">
        <is>
          <t>Серия «Эдем-1», арт.Э-22.0</t>
        </is>
      </c>
      <c r="F25" s="6" t="n">
        <v>1</v>
      </c>
      <c r="G25" s="20" t="inlineStr">
        <is>
          <t>ЦЕНЫ НЕТ</t>
        </is>
      </c>
      <c r="H25" s="16">
        <f>IF(ISNUMBER(G25),F25*G25,0)</f>
        <v/>
      </c>
    </row>
    <row r="26">
      <c r="A26" s="18" t="inlineStr">
        <is>
          <t>129 Раздевальная для хоккеистов 2</t>
        </is>
      </c>
      <c r="B26" s="19" t="inlineStr">
        <is>
          <t>ТХ.2. ОБОРУДОВАНИЕ, МЕБЕЛЬ И ИНВЕНТАРЬ ПО ПОМЕЩЕНИЯМ (03-01/07.21П-ТХ.2.СО)</t>
        </is>
      </c>
      <c r="C26" s="6" t="n"/>
      <c r="D26" s="6" t="n"/>
      <c r="E26" s="6" t="n"/>
      <c r="F26" s="6" t="n"/>
      <c r="G26" s="16" t="n"/>
      <c r="H26" s="16" t="n"/>
    </row>
    <row r="27">
      <c r="A27" s="6" t="n"/>
      <c r="B27" s="6" t="n"/>
      <c r="C27" s="6" t="inlineStr">
        <is>
          <t>м17</t>
        </is>
      </c>
      <c r="D27" s="6" t="inlineStr">
        <is>
          <t>Стол рабочий прямой; 1400х700х750(h) мм</t>
        </is>
      </c>
      <c r="E27" s="6" t="inlineStr">
        <is>
          <t>Серия «Эдем-1», арт.Э-22.0</t>
        </is>
      </c>
      <c r="F27" s="6" t="n">
        <v>1</v>
      </c>
      <c r="G27" s="20" t="inlineStr">
        <is>
          <t>ЦЕНЫ НЕТ</t>
        </is>
      </c>
      <c r="H27" s="16">
        <f>IF(ISNUMBER(G27),F27*G27,0)</f>
        <v/>
      </c>
    </row>
    <row r="28">
      <c r="A28" s="18" t="inlineStr">
        <is>
          <t>130 Раздевальная для хоккеистов 3</t>
        </is>
      </c>
      <c r="B28" s="19" t="inlineStr">
        <is>
          <t>ТХ.2. ОБОРУДОВАНИЕ, МЕБЕЛЬ И ИНВЕНТАРЬ ПО ПОМЕЩЕНИЯМ (03-01/07.21П-ТХ.2.СО)</t>
        </is>
      </c>
      <c r="C28" s="6" t="n"/>
      <c r="D28" s="6" t="n"/>
      <c r="E28" s="6" t="n"/>
      <c r="F28" s="6" t="n"/>
      <c r="G28" s="16" t="n"/>
      <c r="H28" s="16" t="n"/>
    </row>
    <row r="29">
      <c r="A29" s="6" t="n"/>
      <c r="B29" s="6" t="n"/>
      <c r="C29" s="6" t="inlineStr">
        <is>
          <t>м17</t>
        </is>
      </c>
      <c r="D29" s="6" t="inlineStr">
        <is>
          <t>Стол рабочий прямой; 1400х700х750(h) мм</t>
        </is>
      </c>
      <c r="E29" s="6" t="inlineStr">
        <is>
          <t>Серия «Эдем-1», арт.Э-22.0</t>
        </is>
      </c>
      <c r="F29" s="6" t="n">
        <v>1</v>
      </c>
      <c r="G29" s="20" t="inlineStr">
        <is>
          <t>ЦЕНЫ НЕТ</t>
        </is>
      </c>
      <c r="H29" s="16">
        <f>IF(ISNUMBER(G29),F29*G29,0)</f>
        <v/>
      </c>
    </row>
    <row r="30">
      <c r="A30" s="18" t="inlineStr">
        <is>
          <t>131 Раздевальная для хоккеистов 4</t>
        </is>
      </c>
      <c r="B30" s="19" t="inlineStr">
        <is>
          <t>ТХ.2. ОБОРУДОВАНИЕ, МЕБЕЛЬ И ИНВЕНТАРЬ ПО ПОМЕЩЕНИЯМ (03-01/07.21П-ТХ.2.СО)</t>
        </is>
      </c>
      <c r="C30" s="6" t="n"/>
      <c r="D30" s="6" t="n"/>
      <c r="E30" s="6" t="n"/>
      <c r="F30" s="6" t="n"/>
      <c r="G30" s="16" t="n"/>
      <c r="H30" s="16" t="n"/>
    </row>
    <row r="31">
      <c r="A31" s="6" t="n"/>
      <c r="B31" s="6" t="n"/>
      <c r="C31" s="6" t="inlineStr">
        <is>
          <t>м17</t>
        </is>
      </c>
      <c r="D31" s="6" t="inlineStr">
        <is>
          <t>Стол рабочий прямой; 1400х700х750(h) мм</t>
        </is>
      </c>
      <c r="E31" s="6" t="inlineStr">
        <is>
          <t>Серия «Эдем-1», арт.Э-22.0</t>
        </is>
      </c>
      <c r="F31" s="6" t="n">
        <v>1</v>
      </c>
      <c r="G31" s="20" t="inlineStr">
        <is>
          <t>ЦЕНЫ НЕТ</t>
        </is>
      </c>
      <c r="H31" s="16">
        <f>IF(ISNUMBER(G31),F31*G31,0)</f>
        <v/>
      </c>
    </row>
    <row r="32">
      <c r="A32" s="18" t="inlineStr">
        <is>
          <t>132 Раздевальная для хоккеистов 5</t>
        </is>
      </c>
      <c r="B32" s="19" t="inlineStr">
        <is>
          <t>ТХ.2. ОБОРУДОВАНИЕ, МЕБЕЛЬ И ИНВЕНТАРЬ ПО ПОМЕЩЕНИЯМ (03-01/07.21П-ТХ.2.СО)</t>
        </is>
      </c>
      <c r="C32" s="6" t="n"/>
      <c r="D32" s="6" t="n"/>
      <c r="E32" s="6" t="n"/>
      <c r="F32" s="6" t="n"/>
      <c r="G32" s="16" t="n"/>
      <c r="H32" s="16" t="n"/>
    </row>
    <row r="33">
      <c r="A33" s="6" t="n"/>
      <c r="B33" s="6" t="n"/>
      <c r="C33" s="6" t="inlineStr">
        <is>
          <t>м17</t>
        </is>
      </c>
      <c r="D33" s="6" t="inlineStr">
        <is>
          <t>Стол рабочий прямой; 1400х700х750(h) мм</t>
        </is>
      </c>
      <c r="E33" s="6" t="inlineStr">
        <is>
          <t>Серия «Эдем-1», арт.Э-22.0</t>
        </is>
      </c>
      <c r="F33" s="6" t="n">
        <v>1</v>
      </c>
      <c r="G33" s="20" t="inlineStr">
        <is>
          <t>ЦЕНЫ НЕТ</t>
        </is>
      </c>
      <c r="H33" s="16">
        <f>IF(ISNUMBER(G33),F33*G33,0)</f>
        <v/>
      </c>
    </row>
    <row r="34">
      <c r="A34" s="18" t="inlineStr">
        <is>
          <t>133 Раздевальная для хоккеистов 6</t>
        </is>
      </c>
      <c r="B34" s="19" t="inlineStr">
        <is>
          <t>ТХ.2. ОБОРУДОВАНИЕ, МЕБЕЛЬ И ИНВЕНТАРЬ ПО ПОМЕЩЕНИЯМ (03-01/07.21П-ТХ.2.СО)</t>
        </is>
      </c>
      <c r="C34" s="6" t="n"/>
      <c r="D34" s="6" t="n"/>
      <c r="E34" s="6" t="n"/>
      <c r="F34" s="6" t="n"/>
      <c r="G34" s="16" t="n"/>
      <c r="H34" s="16" t="n"/>
    </row>
    <row r="35">
      <c r="A35" s="6" t="n"/>
      <c r="B35" s="6" t="n"/>
      <c r="C35" s="6" t="inlineStr">
        <is>
          <t>м17</t>
        </is>
      </c>
      <c r="D35" s="6" t="inlineStr">
        <is>
          <t>Стол рабочий прямой; 1400х700х750(h) мм</t>
        </is>
      </c>
      <c r="E35" s="6" t="inlineStr">
        <is>
          <t>Серия «Эдем-1», арт.Э-22.0</t>
        </is>
      </c>
      <c r="F35" s="6" t="n">
        <v>1</v>
      </c>
      <c r="G35" s="20" t="inlineStr">
        <is>
          <t>ЦЕНЫ НЕТ</t>
        </is>
      </c>
      <c r="H35" s="16">
        <f>IF(ISNUMBER(G35),F35*G35,0)</f>
        <v/>
      </c>
    </row>
    <row r="36">
      <c r="A36" s="18" t="inlineStr">
        <is>
          <t>138 Помещение для работы персонала (место отбора проб)</t>
        </is>
      </c>
      <c r="B36" s="19" t="inlineStr">
        <is>
          <t>ТХ.2. ОБОРУДОВАНИЕ, МЕБЕЛЬ И ИНВЕНТАРЬ ПО ПОМЕЩЕНИЯМ (03-01/07.21П-ТХ.2.СО)</t>
        </is>
      </c>
      <c r="C36" s="6" t="n"/>
      <c r="D36" s="6" t="n"/>
      <c r="E36" s="6" t="n"/>
      <c r="F36" s="6" t="n"/>
      <c r="G36" s="16" t="n"/>
      <c r="H36" s="16" t="n"/>
    </row>
    <row r="37">
      <c r="A37" s="6" t="n"/>
      <c r="B37" s="6" t="n"/>
      <c r="C37" s="6" t="inlineStr">
        <is>
          <t>м17</t>
        </is>
      </c>
      <c r="D37" s="6" t="inlineStr">
        <is>
          <t>Стол рабочий прямой; 1400х700х750(h) мм</t>
        </is>
      </c>
      <c r="E37" s="6" t="inlineStr">
        <is>
          <t>Серия «Эдем-1», арт.Э-22.0</t>
        </is>
      </c>
      <c r="F37" s="6" t="n">
        <v>1</v>
      </c>
      <c r="G37" s="20" t="inlineStr">
        <is>
          <t>ЦЕНЫ НЕТ</t>
        </is>
      </c>
      <c r="H37" s="16">
        <f>IF(ISNUMBER(G37),F37*G37,0)</f>
        <v/>
      </c>
    </row>
    <row r="38">
      <c r="A38" s="6" t="n"/>
      <c r="B38" s="6" t="n"/>
      <c r="C38" s="6" t="inlineStr">
        <is>
          <t>м28</t>
        </is>
      </c>
      <c r="D38" s="6" t="inlineStr">
        <is>
          <t>Стул для посетителей (материал обивки – к/з); 540х440х820(h) мм</t>
        </is>
      </c>
      <c r="E38" s="6" t="inlineStr">
        <is>
          <t>Gigant GCH-01 (BL)</t>
        </is>
      </c>
      <c r="F38" s="6" t="n">
        <v>1</v>
      </c>
      <c r="G38" s="16" t="n">
        <v>1950</v>
      </c>
      <c r="H38" s="16">
        <f>IF(ISNUMBER(G38),F38*G38,0)</f>
        <v/>
      </c>
    </row>
    <row r="39">
      <c r="A39" s="18" t="inlineStr">
        <is>
          <t>162.2 Помещение распечатки результатов</t>
        </is>
      </c>
      <c r="B39" s="19" t="inlineStr">
        <is>
          <t>ТХ.2. ОБОРУДОВАНИЕ, МЕБЕЛЬ И ИНВЕНТАРЬ ПО ПОМЕЩЕНИЯМ (03-01/07.21П-ТХ.2.СО)</t>
        </is>
      </c>
      <c r="C39" s="6" t="n"/>
      <c r="D39" s="6" t="n"/>
      <c r="E39" s="6" t="n"/>
      <c r="F39" s="6" t="n"/>
      <c r="G39" s="16" t="n"/>
      <c r="H39" s="16" t="n"/>
    </row>
    <row r="40">
      <c r="A40" s="6" t="n"/>
      <c r="B40" s="6" t="n"/>
      <c r="C40" s="6" t="inlineStr">
        <is>
          <t>м17</t>
        </is>
      </c>
      <c r="D40" s="6" t="inlineStr">
        <is>
          <t>Стол рабочий прямой; 1400х700х750(h) мм</t>
        </is>
      </c>
      <c r="E40" s="6" t="inlineStr">
        <is>
          <t>Серия «Эдем-1», арт.Э-22.0</t>
        </is>
      </c>
      <c r="F40" s="6" t="n">
        <v>1</v>
      </c>
      <c r="G40" s="20" t="inlineStr">
        <is>
          <t>ЦЕНЫ НЕТ</t>
        </is>
      </c>
      <c r="H40" s="16">
        <f>IF(ISNUMBER(G40),F40*G40,0)</f>
        <v/>
      </c>
    </row>
    <row r="41">
      <c r="A41" s="6" t="n"/>
      <c r="B41" s="6" t="n"/>
      <c r="C41" s="6" t="inlineStr">
        <is>
          <t>м38</t>
        </is>
      </c>
      <c r="D41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41" s="6" t="inlineStr">
        <is>
          <t>Серия «Эдем-1», арт.Э-44.0 + 47.0*2 + 80.0*2 + ЭВ*2</t>
        </is>
      </c>
      <c r="F41" s="6" t="n">
        <v>2</v>
      </c>
      <c r="G41" s="20" t="inlineStr">
        <is>
          <t>ЦЕНЫ НЕТ</t>
        </is>
      </c>
      <c r="H41" s="16">
        <f>IF(ISNUMBER(G41),F41*G41,0)</f>
        <v/>
      </c>
    </row>
    <row r="42">
      <c r="A42" s="6" t="n"/>
      <c r="B42" s="6" t="n"/>
      <c r="C42" s="6" t="inlineStr">
        <is>
          <t>м33</t>
        </is>
      </c>
      <c r="D42" s="6" t="inlineStr">
        <is>
          <t>Тумба для оргтехники двухстворчатая (2 распашные двери, ниша); 800х550х610(h) мм</t>
        </is>
      </c>
      <c r="E42" s="6" t="inlineStr">
        <is>
          <t>Серия «Эдем-1», арт.Э-26.7</t>
        </is>
      </c>
      <c r="F42" s="6" t="n">
        <v>1</v>
      </c>
      <c r="G42" s="20" t="inlineStr">
        <is>
          <t>ЦЕНЫ НЕТ</t>
        </is>
      </c>
      <c r="H42" s="16">
        <f>IF(ISNUMBER(G42),F42*G42,0)</f>
        <v/>
      </c>
    </row>
    <row r="43">
      <c r="A43" s="18" t="inlineStr">
        <is>
          <t>163 Зал универсальный, гимнастики, аэробики ОФП</t>
        </is>
      </c>
      <c r="B43" s="19" t="inlineStr">
        <is>
          <t>ТХ.2. ОБОРУДОВАНИЕ, МЕБЕЛЬ И ИНВЕНТАРЬ ПО ПОМЕЩЕНИЯМ (03-01/07.21П-ТХ.2.СО)</t>
        </is>
      </c>
      <c r="C43" s="6" t="n"/>
      <c r="D43" s="6" t="n"/>
      <c r="E43" s="6" t="n"/>
      <c r="F43" s="6" t="n"/>
      <c r="G43" s="16" t="n"/>
      <c r="H43" s="16" t="n"/>
    </row>
    <row r="44">
      <c r="A44" s="6" t="n"/>
      <c r="B44" s="6" t="n"/>
      <c r="C44" s="6" t="inlineStr">
        <is>
          <t>2</t>
        </is>
      </c>
      <c r="D44" s="6" t="inlineStr">
        <is>
          <t>Стол рабочий прямой; 1200х700х750(h) мм</t>
        </is>
      </c>
      <c r="E44" s="6" t="inlineStr">
        <is>
          <t>Серия «Эдем-1», арт.Э-21.0</t>
        </is>
      </c>
      <c r="F44" s="6" t="n">
        <v>1</v>
      </c>
      <c r="G44" s="20" t="inlineStr">
        <is>
          <t>ЦЕНЫ НЕТ</t>
        </is>
      </c>
      <c r="H44" s="16">
        <f>IF(ISNUMBER(G44),F44*G44,0)</f>
        <v/>
      </c>
    </row>
    <row r="45">
      <c r="A45" s="18" t="inlineStr">
        <is>
          <t>165 Хореографический зал</t>
        </is>
      </c>
      <c r="B45" s="19" t="inlineStr">
        <is>
          <t>ТХ.2. ОБОРУДОВАНИЕ, МЕБЕЛЬ И ИНВЕНТАРЬ ПО ПОМЕЩЕНИЯМ (03-01/07.21П-ТХ.2.СО)</t>
        </is>
      </c>
      <c r="C45" s="6" t="n"/>
      <c r="D45" s="6" t="n"/>
      <c r="E45" s="6" t="n"/>
      <c r="F45" s="6" t="n"/>
      <c r="G45" s="16" t="n"/>
      <c r="H45" s="16" t="n"/>
    </row>
    <row r="46">
      <c r="A46" s="6" t="n"/>
      <c r="B46" s="6" t="n"/>
      <c r="C46" s="6" t="inlineStr">
        <is>
          <t>м17</t>
        </is>
      </c>
      <c r="D46" s="6" t="inlineStr">
        <is>
          <t>Стол рабочий прямой; 1400х700х750(h) мм</t>
        </is>
      </c>
      <c r="E46" s="6" t="inlineStr">
        <is>
          <t>Серия «Эдем-1», арт.Э-22.0</t>
        </is>
      </c>
      <c r="F46" s="6" t="n">
        <v>1</v>
      </c>
      <c r="G46" s="20" t="inlineStr">
        <is>
          <t>ЦЕНЫ НЕТ</t>
        </is>
      </c>
      <c r="H46" s="16">
        <f>IF(ISNUMBER(G46),F46*G46,0)</f>
        <v/>
      </c>
    </row>
    <row r="47">
      <c r="A47" s="6" t="n"/>
      <c r="B47" s="6" t="n"/>
      <c r="C47" s="6" t="inlineStr">
        <is>
          <t>м28</t>
        </is>
      </c>
      <c r="D47" s="6" t="inlineStr">
        <is>
          <t>Стул для посетителей (материал обивки – к/з); 540х440х820(h) мм</t>
        </is>
      </c>
      <c r="E47" s="6" t="inlineStr">
        <is>
          <t>Gigant GCH-01 (BL)</t>
        </is>
      </c>
      <c r="F47" s="6" t="n">
        <v>1</v>
      </c>
      <c r="G47" s="16" t="n">
        <v>1950</v>
      </c>
      <c r="H47" s="16">
        <f>IF(ISNUMBER(G47),F47*G47,0)</f>
        <v/>
      </c>
    </row>
    <row r="48">
      <c r="A48" s="18" t="inlineStr">
        <is>
          <t>178 Кабинет главного инженера</t>
        </is>
      </c>
      <c r="B48" s="19" t="inlineStr">
        <is>
          <t>ТХ.2. ОБОРУДОВАНИЕ, МЕБЕЛЬ И ИНВЕНТАРЬ ПО ПОМЕЩЕНИЯМ (03-01/07.21П-ТХ.2.СО)</t>
        </is>
      </c>
      <c r="C48" s="6" t="n"/>
      <c r="D48" s="6" t="n"/>
      <c r="E48" s="6" t="n"/>
      <c r="F48" s="6" t="n"/>
      <c r="G48" s="16" t="n"/>
      <c r="H48" s="16" t="n"/>
    </row>
    <row r="49">
      <c r="A49" s="6" t="n"/>
      <c r="B49" s="6" t="n"/>
      <c r="C49" s="6" t="inlineStr">
        <is>
          <t>3</t>
        </is>
      </c>
      <c r="D49" s="6" t="inlineStr">
        <is>
          <t>Кресло компьютерное (с подлокотниками, колеса, газлифт, материал обивки – к/з); 620х620х955-1135(h) мм</t>
        </is>
      </c>
      <c r="E49" s="6" t="inlineStr">
        <is>
          <t>Prestige GTP New</t>
        </is>
      </c>
      <c r="F49" s="6" t="n">
        <v>1</v>
      </c>
      <c r="G49" s="16" t="n">
        <v>12000</v>
      </c>
      <c r="H49" s="16">
        <f>IF(ISNUMBER(G49),F49*G49,0)</f>
        <v/>
      </c>
    </row>
    <row r="50">
      <c r="A50" s="6" t="n"/>
      <c r="B50" s="6" t="n"/>
      <c r="C50" s="6" t="inlineStr">
        <is>
          <t>м17</t>
        </is>
      </c>
      <c r="D50" s="6" t="inlineStr">
        <is>
          <t>Стол рабочий прямой; 1400х700х750(h) мм</t>
        </is>
      </c>
      <c r="E50" s="6" t="inlineStr">
        <is>
          <t>Серия «Эдем-1», арт.Э-22.0</t>
        </is>
      </c>
      <c r="F50" s="6" t="n">
        <v>1</v>
      </c>
      <c r="G50" s="20" t="inlineStr">
        <is>
          <t>ЦЕНЫ НЕТ</t>
        </is>
      </c>
      <c r="H50" s="16">
        <f>IF(ISNUMBER(G50),F50*G50,0)</f>
        <v/>
      </c>
    </row>
    <row r="51">
      <c r="A51" s="6" t="n"/>
      <c r="B51" s="6" t="n"/>
      <c r="C51" s="6" t="inlineStr">
        <is>
          <t>м28</t>
        </is>
      </c>
      <c r="D51" s="6" t="inlineStr">
        <is>
          <t>Стул для посетителей (материал обивки – к/з); 540х440х820(h) мм</t>
        </is>
      </c>
      <c r="E51" s="6" t="inlineStr">
        <is>
          <t>Gigant GCH-01 (BL)</t>
        </is>
      </c>
      <c r="F51" s="6" t="n">
        <v>4</v>
      </c>
      <c r="G51" s="16" t="n">
        <v>1950</v>
      </c>
      <c r="H51" s="16">
        <f>IF(ISNUMBER(G51),F51*G51,0)</f>
        <v/>
      </c>
    </row>
    <row r="52">
      <c r="A52" s="6" t="n"/>
      <c r="B52" s="6" t="n"/>
      <c r="C52" s="6" t="inlineStr">
        <is>
          <t>м33</t>
        </is>
      </c>
      <c r="D52" s="6" t="inlineStr">
        <is>
          <t>Тумба для оргтехники двухстворчатая (2 распашные двери, ниша); 800х550х610(h) мм</t>
        </is>
      </c>
      <c r="E52" s="6" t="inlineStr">
        <is>
          <t>Серия «Эдем-1», арт.Э-26.7</t>
        </is>
      </c>
      <c r="F52" s="6" t="n">
        <v>1</v>
      </c>
      <c r="G52" s="20" t="inlineStr">
        <is>
          <t>ЦЕНЫ НЕТ</t>
        </is>
      </c>
      <c r="H52" s="16">
        <f>IF(ISNUMBER(G52),F52*G52,0)</f>
        <v/>
      </c>
    </row>
    <row r="53">
      <c r="A53" s="6" t="n"/>
      <c r="B53" s="6" t="n"/>
      <c r="C53" s="6" t="inlineStr">
        <is>
          <t>м38</t>
        </is>
      </c>
      <c r="D53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53" s="6" t="inlineStr">
        <is>
          <t>Серия «Эдем-1», арт.Э-44.0 + 47.0*2 + 80.0*2 + ЭВ*2</t>
        </is>
      </c>
      <c r="F53" s="6" t="n">
        <v>1</v>
      </c>
      <c r="G53" s="20" t="inlineStr">
        <is>
          <t>ЦЕНЫ НЕТ</t>
        </is>
      </c>
      <c r="H53" s="16">
        <f>IF(ISNUMBER(G53),F53*G53,0)</f>
        <v/>
      </c>
    </row>
    <row r="54">
      <c r="A54" s="6" t="n"/>
      <c r="B54" s="6" t="n"/>
      <c r="C54" s="6" t="inlineStr">
        <is>
          <t>м39</t>
        </is>
      </c>
      <c r="D54" s="6" t="inlineStr">
        <is>
          <t>Шкаф двухстворчатый для одежды (2 распашные двери, перекладина); 768х403х1945(h) мм</t>
        </is>
      </c>
      <c r="E54" s="6" t="inlineStr">
        <is>
          <t>Серия «Эдем-1», арт.Э-46.0</t>
        </is>
      </c>
      <c r="F54" s="6" t="n">
        <v>1</v>
      </c>
      <c r="G54" s="20" t="inlineStr">
        <is>
          <t>ЦЕНЫ НЕТ</t>
        </is>
      </c>
      <c r="H54" s="16">
        <f>IF(ISNUMBER(G54),F54*G54,0)</f>
        <v/>
      </c>
    </row>
    <row r="55">
      <c r="A55" s="6" t="n"/>
      <c r="B55" s="6" t="n"/>
      <c r="C55" s="6" t="inlineStr">
        <is>
          <t>м83</t>
        </is>
      </c>
      <c r="D55" s="6" t="inlineStr">
        <is>
          <t>Тумба выкатная с центральным замком (3 выдвижных ящика, колеса); 397х500х610(h) мм</t>
        </is>
      </c>
      <c r="E55" s="6" t="inlineStr">
        <is>
          <t>Серия «Эдем-1», арт.Э-37.0 ц/з</t>
        </is>
      </c>
      <c r="F55" s="6" t="n">
        <v>1</v>
      </c>
      <c r="G55" s="20" t="inlineStr">
        <is>
          <t>ЦЕНЫ НЕТ</t>
        </is>
      </c>
      <c r="H55" s="16">
        <f>IF(ISNUMBER(G55),F55*G55,0)</f>
        <v/>
      </c>
    </row>
    <row r="56">
      <c r="A56" s="18" t="inlineStr">
        <is>
          <t>179 Приемная</t>
        </is>
      </c>
      <c r="B56" s="19" t="inlineStr">
        <is>
          <t>ТХ.2. ОБОРУДОВАНИЕ, МЕБЕЛЬ И ИНВЕНТАРЬ ПО ПОМЕЩЕНИЯМ (03-01/07.21П-ТХ.2.СО)</t>
        </is>
      </c>
      <c r="C56" s="6" t="n"/>
      <c r="D56" s="6" t="n"/>
      <c r="E56" s="6" t="n"/>
      <c r="F56" s="6" t="n"/>
      <c r="G56" s="16" t="n"/>
      <c r="H56" s="16" t="n"/>
    </row>
    <row r="57">
      <c r="A57" s="6" t="n"/>
      <c r="B57" s="6" t="n"/>
      <c r="C57" s="6" t="inlineStr">
        <is>
          <t>м17</t>
        </is>
      </c>
      <c r="D57" s="6" t="inlineStr">
        <is>
          <t>Стол рабочий прямой; 1400х700х750(h) мм</t>
        </is>
      </c>
      <c r="E57" s="6" t="inlineStr">
        <is>
          <t>Серия «Эдем-1», арт.Э-22.0</t>
        </is>
      </c>
      <c r="F57" s="6" t="n">
        <v>1</v>
      </c>
      <c r="G57" s="20" t="inlineStr">
        <is>
          <t>ЦЕНЫ НЕТ</t>
        </is>
      </c>
      <c r="H57" s="16">
        <f>IF(ISNUMBER(G57),F57*G57,0)</f>
        <v/>
      </c>
    </row>
    <row r="58">
      <c r="A58" s="6" t="n"/>
      <c r="B58" s="6" t="n"/>
      <c r="C58" s="6" t="inlineStr">
        <is>
          <t>м33</t>
        </is>
      </c>
      <c r="D58" s="6" t="inlineStr">
        <is>
          <t>Тумба для оргтехники двухстворчатая (2 распашные двери, ниша); 800х550х610(h) мм</t>
        </is>
      </c>
      <c r="E58" s="6" t="inlineStr">
        <is>
          <t>Серия «Эдем-1», арт.Э-26.7</t>
        </is>
      </c>
      <c r="F58" s="6" t="n">
        <v>1</v>
      </c>
      <c r="G58" s="20" t="inlineStr">
        <is>
          <t>ЦЕНЫ НЕТ</t>
        </is>
      </c>
      <c r="H58" s="16">
        <f>IF(ISNUMBER(G58),F58*G58,0)</f>
        <v/>
      </c>
    </row>
    <row r="59">
      <c r="A59" s="6" t="n"/>
      <c r="B59" s="6" t="n"/>
      <c r="C59" s="6" t="inlineStr">
        <is>
          <t>м38</t>
        </is>
      </c>
      <c r="D59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59" s="6" t="inlineStr">
        <is>
          <t>Серия «Эдем-1», арт.Э-44.0 + 47.0*2 + 80.0*2 + ЭВ*2</t>
        </is>
      </c>
      <c r="F59" s="6" t="n">
        <v>1</v>
      </c>
      <c r="G59" s="20" t="inlineStr">
        <is>
          <t>ЦЕНЫ НЕТ</t>
        </is>
      </c>
      <c r="H59" s="16">
        <f>IF(ISNUMBER(G59),F59*G59,0)</f>
        <v/>
      </c>
    </row>
    <row r="60">
      <c r="A60" s="6" t="n"/>
      <c r="B60" s="6" t="n"/>
      <c r="C60" s="6" t="inlineStr">
        <is>
          <t>м39</t>
        </is>
      </c>
      <c r="D60" s="6" t="inlineStr">
        <is>
          <t>Шкаф двухстворчатый для одежды (2 распашные двери, перекладина); 768х403х1945(h) мм</t>
        </is>
      </c>
      <c r="E60" s="6" t="inlineStr">
        <is>
          <t>Серия «Эдем-1», арт.Э-46.0</t>
        </is>
      </c>
      <c r="F60" s="6" t="n">
        <v>1</v>
      </c>
      <c r="G60" s="20" t="inlineStr">
        <is>
          <t>ЦЕНЫ НЕТ</t>
        </is>
      </c>
      <c r="H60" s="16">
        <f>IF(ISNUMBER(G60),F60*G60,0)</f>
        <v/>
      </c>
    </row>
    <row r="61">
      <c r="A61" s="6" t="n"/>
      <c r="B61" s="6" t="n"/>
      <c r="C61" s="6" t="inlineStr">
        <is>
          <t>м83</t>
        </is>
      </c>
      <c r="D61" s="6" t="inlineStr">
        <is>
          <t>Тумба выкатная с центральным замком (3 выдвижных ящика, колеса); 397х500х610(h) мм</t>
        </is>
      </c>
      <c r="E61" s="6" t="inlineStr">
        <is>
          <t>Серия «Эдем-1», арт.Э-37.0 ц/з</t>
        </is>
      </c>
      <c r="F61" s="6" t="n">
        <v>1</v>
      </c>
      <c r="G61" s="20" t="inlineStr">
        <is>
          <t>ЦЕНЫ НЕТ</t>
        </is>
      </c>
      <c r="H61" s="16">
        <f>IF(ISNUMBER(G61),F61*G61,0)</f>
        <v/>
      </c>
    </row>
    <row r="62">
      <c r="A62" s="18" t="inlineStr">
        <is>
          <t>180 Кабинет директора с переговорной</t>
        </is>
      </c>
      <c r="B62" s="19" t="inlineStr">
        <is>
          <t>ТХ.2. ОБОРУДОВАНИЕ, МЕБЕЛЬ И ИНВЕНТАРЬ ПО ПОМЕЩЕНИЯМ (03-01/07.21П-ТХ.2.СО)</t>
        </is>
      </c>
      <c r="C62" s="6" t="n"/>
      <c r="D62" s="6" t="n"/>
      <c r="E62" s="6" t="n"/>
      <c r="F62" s="6" t="n"/>
      <c r="G62" s="16" t="n"/>
      <c r="H62" s="16" t="n"/>
    </row>
    <row r="63">
      <c r="A63" s="6" t="n"/>
      <c r="B63" s="6" t="n"/>
      <c r="C63" s="6" t="inlineStr">
        <is>
          <t>м17</t>
        </is>
      </c>
      <c r="D63" s="6" t="inlineStr">
        <is>
          <t>Стол рабочий прямой; 1400х700х750(h) мм</t>
        </is>
      </c>
      <c r="E63" s="6" t="inlineStr">
        <is>
          <t>Серия «Эдем-1», арт.Э-22.0</t>
        </is>
      </c>
      <c r="F63" s="6" t="n">
        <v>1</v>
      </c>
      <c r="G63" s="20" t="inlineStr">
        <is>
          <t>ЦЕНЫ НЕТ</t>
        </is>
      </c>
      <c r="H63" s="16">
        <f>IF(ISNUMBER(G63),F63*G63,0)</f>
        <v/>
      </c>
    </row>
    <row r="64">
      <c r="A64" s="6" t="n"/>
      <c r="B64" s="6" t="n"/>
      <c r="C64" s="6" t="inlineStr">
        <is>
          <t>м33</t>
        </is>
      </c>
      <c r="D64" s="6" t="inlineStr">
        <is>
          <t>Тумба для оргтехники двухстворчатая (2 распашные двери, ниша); 800х550х610(h) мм</t>
        </is>
      </c>
      <c r="E64" s="6" t="inlineStr">
        <is>
          <t>Серия «Эдем-1», арт.Э-26.7</t>
        </is>
      </c>
      <c r="F64" s="6" t="n">
        <v>1</v>
      </c>
      <c r="G64" s="20" t="inlineStr">
        <is>
          <t>ЦЕНЫ НЕТ</t>
        </is>
      </c>
      <c r="H64" s="16">
        <f>IF(ISNUMBER(G64),F64*G64,0)</f>
        <v/>
      </c>
    </row>
    <row r="65">
      <c r="A65" s="6" t="n"/>
      <c r="B65" s="6" t="n"/>
      <c r="C65" s="6" t="inlineStr">
        <is>
          <t>м38</t>
        </is>
      </c>
      <c r="D65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65" s="6" t="inlineStr">
        <is>
          <t>Серия «Эдем-1», арт.Э-44.0 + 47.0*2 + 80.0*2 + ЭВ*2</t>
        </is>
      </c>
      <c r="F65" s="6" t="n">
        <v>3</v>
      </c>
      <c r="G65" s="20" t="inlineStr">
        <is>
          <t>ЦЕНЫ НЕТ</t>
        </is>
      </c>
      <c r="H65" s="16">
        <f>IF(ISNUMBER(G65),F65*G65,0)</f>
        <v/>
      </c>
    </row>
    <row r="66">
      <c r="A66" s="6" t="n"/>
      <c r="B66" s="6" t="n"/>
      <c r="C66" s="6" t="inlineStr">
        <is>
          <t>м39</t>
        </is>
      </c>
      <c r="D66" s="6" t="inlineStr">
        <is>
          <t>Шкаф двухстворчатый для одежды (2 распашные двери, перекладина); 768х403х1945(h) мм</t>
        </is>
      </c>
      <c r="E66" s="6" t="inlineStr">
        <is>
          <t>Серия «Эдем-1», арт.Э-46.0</t>
        </is>
      </c>
      <c r="F66" s="6" t="n">
        <v>1</v>
      </c>
      <c r="G66" s="20" t="inlineStr">
        <is>
          <t>ЦЕНЫ НЕТ</t>
        </is>
      </c>
      <c r="H66" s="16">
        <f>IF(ISNUMBER(G66),F66*G66,0)</f>
        <v/>
      </c>
    </row>
    <row r="67">
      <c r="A67" s="6" t="n"/>
      <c r="B67" s="6" t="n"/>
      <c r="C67" s="6" t="inlineStr">
        <is>
          <t>м83</t>
        </is>
      </c>
      <c r="D67" s="6" t="inlineStr">
        <is>
          <t>Тумба выкатная с центральным замком (3 выдвижных ящика, колеса); 397х500х610(h) мм</t>
        </is>
      </c>
      <c r="E67" s="6" t="inlineStr">
        <is>
          <t>Серия «Эдем-1», арт.Э-37.0 ц/з</t>
        </is>
      </c>
      <c r="F67" s="6" t="n">
        <v>1</v>
      </c>
      <c r="G67" s="20" t="inlineStr">
        <is>
          <t>ЦЕНЫ НЕТ</t>
        </is>
      </c>
      <c r="H67" s="16">
        <f>IF(ISNUMBER(G67),F67*G67,0)</f>
        <v/>
      </c>
    </row>
    <row r="68">
      <c r="A68" s="6" t="n"/>
      <c r="B68" s="6" t="n"/>
      <c r="C68" s="6" t="inlineStr">
        <is>
          <t>М84</t>
        </is>
      </c>
      <c r="D68" s="6" t="inlineStr">
        <is>
          <t>Стол для переговоров прямой; 1800х800х750(h) мм</t>
        </is>
      </c>
      <c r="E68" s="6" t="inlineStr">
        <is>
          <t>Серия «Эдем-1», арт.Э-24.0</t>
        </is>
      </c>
      <c r="F68" s="6" t="n">
        <v>1</v>
      </c>
      <c r="G68" s="20" t="inlineStr">
        <is>
          <t>ЦЕНЫ НЕТ</t>
        </is>
      </c>
      <c r="H68" s="16">
        <f>IF(ISNUMBER(G68),F68*G68,0)</f>
        <v/>
      </c>
    </row>
    <row r="69">
      <c r="A69" s="18" t="inlineStr">
        <is>
          <t>181 Кабинет главного бухгалтера</t>
        </is>
      </c>
      <c r="B69" s="19" t="inlineStr">
        <is>
          <t>ТХ.2. ОБОРУДОВАНИЕ, МЕБЕЛЬ И ИНВЕНТАРЬ ПО ПОМЕЩЕНИЯМ (03-01/07.21П-ТХ.2.СО)</t>
        </is>
      </c>
      <c r="C69" s="6" t="n"/>
      <c r="D69" s="6" t="n"/>
      <c r="E69" s="6" t="n"/>
      <c r="F69" s="6" t="n"/>
      <c r="G69" s="16" t="n"/>
      <c r="H69" s="16" t="n"/>
    </row>
    <row r="70">
      <c r="A70" s="6" t="n"/>
      <c r="B70" s="6" t="n"/>
      <c r="C70" s="6" t="inlineStr">
        <is>
          <t>м17</t>
        </is>
      </c>
      <c r="D70" s="6" t="inlineStr">
        <is>
          <t>Стол рабочий прямой; 1400х700х750(h) мм</t>
        </is>
      </c>
      <c r="E70" s="6" t="inlineStr">
        <is>
          <t>Серия «Эдем-1», арт.Э-22.0</t>
        </is>
      </c>
      <c r="F70" s="6" t="n">
        <v>1</v>
      </c>
      <c r="G70" s="20" t="inlineStr">
        <is>
          <t>ЦЕНЫ НЕТ</t>
        </is>
      </c>
      <c r="H70" s="16">
        <f>IF(ISNUMBER(G70),F70*G70,0)</f>
        <v/>
      </c>
    </row>
    <row r="71">
      <c r="A71" s="6" t="n"/>
      <c r="B71" s="6" t="n"/>
      <c r="C71" s="6" t="inlineStr">
        <is>
          <t>м33</t>
        </is>
      </c>
      <c r="D71" s="6" t="inlineStr">
        <is>
          <t>Тумба для оргтехники двухстворчатая (2 распашные двери, ниша); 800х550х610(h) мм</t>
        </is>
      </c>
      <c r="E71" s="6" t="inlineStr">
        <is>
          <t>Серия «Эдем-1», арт.Э-26.7</t>
        </is>
      </c>
      <c r="F71" s="6" t="n">
        <v>1</v>
      </c>
      <c r="G71" s="20" t="inlineStr">
        <is>
          <t>ЦЕНЫ НЕТ</t>
        </is>
      </c>
      <c r="H71" s="16">
        <f>IF(ISNUMBER(G71),F71*G71,0)</f>
        <v/>
      </c>
    </row>
    <row r="72">
      <c r="A72" s="6" t="n"/>
      <c r="B72" s="6" t="n"/>
      <c r="C72" s="6" t="inlineStr">
        <is>
          <t>м38</t>
        </is>
      </c>
      <c r="D72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72" s="6" t="inlineStr">
        <is>
          <t>Серия «Эдем-1», арт.Э-44.0 + 47.0*2 + 80.0*2 + ЭВ*2</t>
        </is>
      </c>
      <c r="F72" s="6" t="n">
        <v>3</v>
      </c>
      <c r="G72" s="20" t="inlineStr">
        <is>
          <t>ЦЕНЫ НЕТ</t>
        </is>
      </c>
      <c r="H72" s="16">
        <f>IF(ISNUMBER(G72),F72*G72,0)</f>
        <v/>
      </c>
    </row>
    <row r="73">
      <c r="A73" s="6" t="n"/>
      <c r="B73" s="6" t="n"/>
      <c r="C73" s="6" t="inlineStr">
        <is>
          <t>м39</t>
        </is>
      </c>
      <c r="D73" s="6" t="inlineStr">
        <is>
          <t>Шкаф двухстворчатый для одежды (2 распашные двери, перекладина); 768х403х1945(h) мм</t>
        </is>
      </c>
      <c r="E73" s="6" t="inlineStr">
        <is>
          <t>Серия «Эдем-1», арт.Э-46.0</t>
        </is>
      </c>
      <c r="F73" s="6" t="n">
        <v>1</v>
      </c>
      <c r="G73" s="20" t="inlineStr">
        <is>
          <t>ЦЕНЫ НЕТ</t>
        </is>
      </c>
      <c r="H73" s="16">
        <f>IF(ISNUMBER(G73),F73*G73,0)</f>
        <v/>
      </c>
    </row>
    <row r="74">
      <c r="A74" s="6" t="n"/>
      <c r="B74" s="6" t="n"/>
      <c r="C74" s="6" t="inlineStr">
        <is>
          <t>м83</t>
        </is>
      </c>
      <c r="D74" s="6" t="inlineStr">
        <is>
          <t>Тумба выкатная с центральным замком (3 выдвижных ящика, колеса); 397х500х610(h) мм</t>
        </is>
      </c>
      <c r="E74" s="6" t="inlineStr">
        <is>
          <t>Серия «Эдем-1», арт.Э-37.0 ц/з</t>
        </is>
      </c>
      <c r="F74" s="6" t="n">
        <v>1</v>
      </c>
      <c r="G74" s="20" t="inlineStr">
        <is>
          <t>ЦЕНЫ НЕТ</t>
        </is>
      </c>
      <c r="H74" s="16">
        <f>IF(ISNUMBER(G74),F74*G74,0)</f>
        <v/>
      </c>
    </row>
    <row r="75">
      <c r="A75" s="18" t="inlineStr">
        <is>
          <t>182 Помещение главного администратора</t>
        </is>
      </c>
      <c r="B75" s="19" t="inlineStr">
        <is>
          <t>ТХ.2. ОБОРУДОВАНИЕ, МЕБЕЛЬ И ИНВЕНТАРЬ ПО ПОМЕЩЕНИЯМ (03-01/07.21П-ТХ.2.СО)</t>
        </is>
      </c>
      <c r="C75" s="6" t="n"/>
      <c r="D75" s="6" t="n"/>
      <c r="E75" s="6" t="n"/>
      <c r="F75" s="6" t="n"/>
      <c r="G75" s="16" t="n"/>
      <c r="H75" s="16" t="n"/>
    </row>
    <row r="76">
      <c r="A76" s="6" t="n"/>
      <c r="B76" s="6" t="n"/>
      <c r="C76" s="6" t="inlineStr">
        <is>
          <t>м17</t>
        </is>
      </c>
      <c r="D76" s="6" t="inlineStr">
        <is>
          <t>Стол рабочий прямой; 1400х700х750(h) мм</t>
        </is>
      </c>
      <c r="E76" s="6" t="inlineStr">
        <is>
          <t>Серия «Эдем-1», арт.Э-22.0</t>
        </is>
      </c>
      <c r="F76" s="6" t="n">
        <v>1</v>
      </c>
      <c r="G76" s="20" t="inlineStr">
        <is>
          <t>ЦЕНЫ НЕТ</t>
        </is>
      </c>
      <c r="H76" s="16">
        <f>IF(ISNUMBER(G76),F76*G76,0)</f>
        <v/>
      </c>
    </row>
    <row r="77">
      <c r="A77" s="6" t="n"/>
      <c r="B77" s="6" t="n"/>
      <c r="C77" s="6" t="inlineStr">
        <is>
          <t>м33</t>
        </is>
      </c>
      <c r="D77" s="6" t="inlineStr">
        <is>
          <t>Тумба для оргтехники двухстворчатая (2 распашные двери, ниша); 800х550х610(h) мм</t>
        </is>
      </c>
      <c r="E77" s="6" t="inlineStr">
        <is>
          <t>Серия «Эдем-1», арт.Э-26.7</t>
        </is>
      </c>
      <c r="F77" s="6" t="n">
        <v>1</v>
      </c>
      <c r="G77" s="20" t="inlineStr">
        <is>
          <t>ЦЕНЫ НЕТ</t>
        </is>
      </c>
      <c r="H77" s="16">
        <f>IF(ISNUMBER(G77),F77*G77,0)</f>
        <v/>
      </c>
    </row>
    <row r="78">
      <c r="A78" s="6" t="n"/>
      <c r="B78" s="6" t="n"/>
      <c r="C78" s="6" t="inlineStr">
        <is>
          <t>м38</t>
        </is>
      </c>
      <c r="D78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78" s="6" t="inlineStr">
        <is>
          <t>Серия «Эдем-1», арт.Э-44.0 + 47.0*2 + 80.0*2 + ЭВ*2</t>
        </is>
      </c>
      <c r="F78" s="6" t="n">
        <v>3</v>
      </c>
      <c r="G78" s="20" t="inlineStr">
        <is>
          <t>ЦЕНЫ НЕТ</t>
        </is>
      </c>
      <c r="H78" s="16">
        <f>IF(ISNUMBER(G78),F78*G78,0)</f>
        <v/>
      </c>
    </row>
    <row r="79">
      <c r="A79" s="6" t="n"/>
      <c r="B79" s="6" t="n"/>
      <c r="C79" s="6" t="inlineStr">
        <is>
          <t>м39</t>
        </is>
      </c>
      <c r="D79" s="6" t="inlineStr">
        <is>
          <t>Шкаф двухстворчатый для одежды (2 распашные двери, перекладина); 768х403х1945(h) мм</t>
        </is>
      </c>
      <c r="E79" s="6" t="inlineStr">
        <is>
          <t>Серия «Эдем-1», арт.Э-46.0</t>
        </is>
      </c>
      <c r="F79" s="6" t="n">
        <v>1</v>
      </c>
      <c r="G79" s="20" t="inlineStr">
        <is>
          <t>ЦЕНЫ НЕТ</t>
        </is>
      </c>
      <c r="H79" s="16">
        <f>IF(ISNUMBER(G79),F79*G79,0)</f>
        <v/>
      </c>
    </row>
    <row r="80">
      <c r="A80" s="6" t="n"/>
      <c r="B80" s="6" t="n"/>
      <c r="C80" s="6" t="inlineStr">
        <is>
          <t>м83</t>
        </is>
      </c>
      <c r="D80" s="6" t="inlineStr">
        <is>
          <t>Тумба выкатная с центральным замком (3 выдвижных ящика, колеса); 397х500х610(h) мм</t>
        </is>
      </c>
      <c r="E80" s="6" t="inlineStr">
        <is>
          <t>Серия «Эдем-1», арт.Э-37.0 ц/з</t>
        </is>
      </c>
      <c r="F80" s="6" t="n">
        <v>1</v>
      </c>
      <c r="G80" s="20" t="inlineStr">
        <is>
          <t>ЦЕНЫ НЕТ</t>
        </is>
      </c>
      <c r="H80" s="16">
        <f>IF(ISNUMBER(G80),F80*G80,0)</f>
        <v/>
      </c>
    </row>
    <row r="81">
      <c r="A81" s="18" t="inlineStr">
        <is>
          <t>183 Комната технического персонала</t>
        </is>
      </c>
      <c r="B81" s="19" t="inlineStr">
        <is>
          <t>ТХ.2. ОБОРУДОВАНИЕ, МЕБЕЛЬ И ИНВЕНТАРЬ ПО ПОМЕЩЕНИЯМ (03-01/07.21П-ТХ.2.СО)</t>
        </is>
      </c>
      <c r="C81" s="6" t="n"/>
      <c r="D81" s="6" t="n"/>
      <c r="E81" s="6" t="n"/>
      <c r="F81" s="6" t="n"/>
      <c r="G81" s="16" t="n"/>
      <c r="H81" s="16" t="n"/>
    </row>
    <row r="82">
      <c r="A82" s="6" t="n"/>
      <c r="B82" s="6" t="n"/>
      <c r="C82" s="6" t="inlineStr">
        <is>
          <t>м17</t>
        </is>
      </c>
      <c r="D82" s="6" t="inlineStr">
        <is>
          <t>Стол рабочий прямой; 1400х700х750(h) мм</t>
        </is>
      </c>
      <c r="E82" s="6" t="inlineStr">
        <is>
          <t>Серия «Эдем-1», арт.Э-22.0</t>
        </is>
      </c>
      <c r="F82" s="6" t="n">
        <v>3</v>
      </c>
      <c r="G82" s="20" t="inlineStr">
        <is>
          <t>ЦЕНЫ НЕТ</t>
        </is>
      </c>
      <c r="H82" s="16">
        <f>IF(ISNUMBER(G82),F82*G82,0)</f>
        <v/>
      </c>
    </row>
    <row r="83">
      <c r="A83" s="6" t="n"/>
      <c r="B83" s="6" t="n"/>
      <c r="C83" s="6" t="inlineStr">
        <is>
          <t>м33</t>
        </is>
      </c>
      <c r="D83" s="6" t="inlineStr">
        <is>
          <t>Тумба для оргтехники двухстворчатая (2 распашные двери, ниша); 800х550х610(h) мм</t>
        </is>
      </c>
      <c r="E83" s="6" t="inlineStr">
        <is>
          <t>Серия «Эдем-1», арт.Э-26.7</t>
        </is>
      </c>
      <c r="F83" s="6" t="n">
        <v>1</v>
      </c>
      <c r="G83" s="20" t="inlineStr">
        <is>
          <t>ЦЕНЫ НЕТ</t>
        </is>
      </c>
      <c r="H83" s="16">
        <f>IF(ISNUMBER(G83),F83*G83,0)</f>
        <v/>
      </c>
    </row>
    <row r="84">
      <c r="A84" s="6" t="n"/>
      <c r="B84" s="6" t="n"/>
      <c r="C84" s="6" t="inlineStr">
        <is>
          <t>м38</t>
        </is>
      </c>
      <c r="D84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84" s="6" t="inlineStr">
        <is>
          <t>Серия «Эдем-1», арт.Э-44.0 + 47.0*2 + 80.0*2 + ЭВ*2</t>
        </is>
      </c>
      <c r="F84" s="6" t="n">
        <v>3</v>
      </c>
      <c r="G84" s="20" t="inlineStr">
        <is>
          <t>ЦЕНЫ НЕТ</t>
        </is>
      </c>
      <c r="H84" s="16">
        <f>IF(ISNUMBER(G84),F84*G84,0)</f>
        <v/>
      </c>
    </row>
    <row r="85">
      <c r="A85" s="6" t="n"/>
      <c r="B85" s="6" t="n"/>
      <c r="C85" s="6" t="inlineStr">
        <is>
          <t>м39</t>
        </is>
      </c>
      <c r="D85" s="6" t="inlineStr">
        <is>
          <t>Шкаф двухстворчатый для одежды (2 распашные двери, перекладина); 768х403х1945(h) мм</t>
        </is>
      </c>
      <c r="E85" s="6" t="inlineStr">
        <is>
          <t>Серия «Эдем-1», арт.Э-46.0</t>
        </is>
      </c>
      <c r="F85" s="6" t="n">
        <v>1</v>
      </c>
      <c r="G85" s="20" t="inlineStr">
        <is>
          <t>ЦЕНЫ НЕТ</t>
        </is>
      </c>
      <c r="H85" s="16">
        <f>IF(ISNUMBER(G85),F85*G85,0)</f>
        <v/>
      </c>
    </row>
    <row r="86">
      <c r="A86" s="6" t="n"/>
      <c r="B86" s="6" t="n"/>
      <c r="C86" s="6" t="inlineStr">
        <is>
          <t>м83</t>
        </is>
      </c>
      <c r="D86" s="6" t="inlineStr">
        <is>
          <t>Тумба выкатная с центральным замком (3 выдвижных ящика, колеса); 397х500х610(h) мм</t>
        </is>
      </c>
      <c r="E86" s="6" t="inlineStr">
        <is>
          <t>Серия «Эдем-1», арт.Э-37.0 ц/з</t>
        </is>
      </c>
      <c r="F86" s="6" t="n">
        <v>3</v>
      </c>
      <c r="G86" s="20" t="inlineStr">
        <is>
          <t>ЦЕНЫ НЕТ</t>
        </is>
      </c>
      <c r="H86" s="16">
        <f>IF(ISNUMBER(G86),F86*G86,0)</f>
        <v/>
      </c>
    </row>
    <row r="87">
      <c r="A87" s="18" t="inlineStr">
        <is>
          <t>184 Помещение для трениров</t>
        </is>
      </c>
      <c r="B87" s="19" t="inlineStr">
        <is>
          <t>ТХ.2. ОБОРУДОВАНИЕ, МЕБЕЛЬ И ИНВЕНТАРЬ ПО ПОМЕЩЕНИЯМ (03-01/07.21П-ТХ.2.СО)</t>
        </is>
      </c>
      <c r="C87" s="6" t="n"/>
      <c r="D87" s="6" t="n"/>
      <c r="E87" s="6" t="n"/>
      <c r="F87" s="6" t="n"/>
      <c r="G87" s="16" t="n"/>
      <c r="H87" s="16" t="n"/>
    </row>
    <row r="88">
      <c r="A88" s="6" t="n"/>
      <c r="B88" s="6" t="n"/>
      <c r="C88" s="6" t="inlineStr">
        <is>
          <t>м17</t>
        </is>
      </c>
      <c r="D88" s="6" t="inlineStr">
        <is>
          <t>Стол рабочий прямой; 1400х700х750(h) мм</t>
        </is>
      </c>
      <c r="E88" s="6" t="inlineStr">
        <is>
          <t>Серия «Эдем-1», арт.Э-22.0</t>
        </is>
      </c>
      <c r="F88" s="6" t="n">
        <v>4</v>
      </c>
      <c r="G88" s="20" t="inlineStr">
        <is>
          <t>ЦЕНЫ НЕТ</t>
        </is>
      </c>
      <c r="H88" s="16">
        <f>IF(ISNUMBER(G88),F88*G88,0)</f>
        <v/>
      </c>
    </row>
    <row r="89">
      <c r="A89" s="6" t="n"/>
      <c r="B89" s="6" t="n"/>
      <c r="C89" s="6" t="inlineStr">
        <is>
          <t>м28</t>
        </is>
      </c>
      <c r="D89" s="6" t="inlineStr">
        <is>
          <t>Стул для посетителей (материал обивки – к/з); 540х440х820(h) мм</t>
        </is>
      </c>
      <c r="E89" s="6" t="inlineStr">
        <is>
          <t>Gigant GCH-01 (BL)</t>
        </is>
      </c>
      <c r="F89" s="6" t="n">
        <v>2</v>
      </c>
      <c r="G89" s="16" t="n">
        <v>1950</v>
      </c>
      <c r="H89" s="16">
        <f>IF(ISNUMBER(G89),F89*G89,0)</f>
        <v/>
      </c>
    </row>
    <row r="90">
      <c r="A90" s="6" t="n"/>
      <c r="B90" s="6" t="n"/>
      <c r="C90" s="6" t="inlineStr">
        <is>
          <t>м83</t>
        </is>
      </c>
      <c r="D90" s="6" t="inlineStr">
        <is>
          <t>Тумба выкатная с центральным замком (3 выдвижных ящика, колеса); 397х500х610(h) мм</t>
        </is>
      </c>
      <c r="E90" s="6" t="inlineStr">
        <is>
          <t>Серия «Эдем-1», арт.Э-37.0 ц/з</t>
        </is>
      </c>
      <c r="F90" s="6" t="n">
        <v>4</v>
      </c>
      <c r="G90" s="20" t="inlineStr">
        <is>
          <t>ЦЕНЫ НЕТ</t>
        </is>
      </c>
      <c r="H90" s="16">
        <f>IF(ISNUMBER(G90),F90*G90,0)</f>
        <v/>
      </c>
    </row>
    <row r="91">
      <c r="A91" s="6" t="n"/>
      <c r="B91" s="6" t="n"/>
      <c r="C91" s="6" t="inlineStr">
        <is>
          <t>м38</t>
        </is>
      </c>
      <c r="D91" s="6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E91" s="6" t="inlineStr">
        <is>
          <t>Серия «Эдем-1», арт.Э-44.0 + 47.0*2 + 80.0*2 + ЭВ*2</t>
        </is>
      </c>
      <c r="F91" s="6" t="n">
        <v>4</v>
      </c>
      <c r="G91" s="20" t="inlineStr">
        <is>
          <t>ЦЕНЫ НЕТ</t>
        </is>
      </c>
      <c r="H91" s="16">
        <f>IF(ISNUMBER(G91),F91*G91,0)</f>
        <v/>
      </c>
    </row>
    <row r="92">
      <c r="A92" s="18" t="inlineStr">
        <is>
          <t>187.2 Операторская</t>
        </is>
      </c>
      <c r="B92" s="19" t="inlineStr">
        <is>
          <t>ТХ.2. ОБОРУДОВАНИЕ, МЕБЕЛЬ И ИНВЕНТАРЬ ПО ПОМЕЩЕНИЯМ (03-01/07.21П-ТХ.2.СО)</t>
        </is>
      </c>
      <c r="C92" s="6" t="n"/>
      <c r="D92" s="6" t="n"/>
      <c r="E92" s="6" t="n"/>
      <c r="F92" s="6" t="n"/>
      <c r="G92" s="16" t="n"/>
      <c r="H92" s="16" t="n"/>
    </row>
    <row r="93">
      <c r="A93" s="6" t="n"/>
      <c r="B93" s="6" t="n"/>
      <c r="C93" s="6" t="inlineStr">
        <is>
          <t>м17</t>
        </is>
      </c>
      <c r="D93" s="6" t="inlineStr">
        <is>
          <t>Стол рабочий прямой; 1400х700х750(h) мм</t>
        </is>
      </c>
      <c r="E93" s="6" t="inlineStr">
        <is>
          <t>Серия «Эдем-1», арт.Э-22.0</t>
        </is>
      </c>
      <c r="F93" s="6" t="n">
        <v>1</v>
      </c>
      <c r="G93" s="20" t="inlineStr">
        <is>
          <t>ЦЕНЫ НЕТ</t>
        </is>
      </c>
      <c r="H93" s="16">
        <f>IF(ISNUMBER(G93),F93*G93,0)</f>
        <v/>
      </c>
    </row>
    <row r="94">
      <c r="A94" s="6" t="n"/>
      <c r="B94" s="6" t="n"/>
      <c r="C94" s="6" t="inlineStr">
        <is>
          <t>м28</t>
        </is>
      </c>
      <c r="D94" s="6" t="inlineStr">
        <is>
          <t>Стул для посетителей (материал обивки – к/з); 540х440х820(h) мм</t>
        </is>
      </c>
      <c r="E94" s="6" t="inlineStr">
        <is>
          <t>Gigant GCH-01 (BL)</t>
        </is>
      </c>
      <c r="F94" s="6" t="n">
        <v>1</v>
      </c>
      <c r="G94" s="16" t="n">
        <v>1950</v>
      </c>
      <c r="H94" s="16">
        <f>IF(ISNUMBER(G94),F94*G94,0)</f>
        <v/>
      </c>
    </row>
    <row r="95">
      <c r="A95" s="18" t="inlineStr">
        <is>
          <t>193 Телевизионная комментаторская студия</t>
        </is>
      </c>
      <c r="B95" s="19" t="inlineStr">
        <is>
          <t>ТХ.2. ОБОРУДОВАНИЕ, МЕБЕЛЬ И ИНВЕНТАРЬ ПО ПОМЕЩЕНИЯМ (03-01/07.21П-ТХ.2.СО)</t>
        </is>
      </c>
      <c r="C95" s="6" t="n"/>
      <c r="D95" s="6" t="n"/>
      <c r="E95" s="6" t="n"/>
      <c r="F95" s="6" t="n"/>
      <c r="G95" s="16" t="n"/>
      <c r="H95" s="16" t="n"/>
    </row>
    <row r="96">
      <c r="A96" s="6" t="n"/>
      <c r="B96" s="6" t="n"/>
      <c r="C96" s="6" t="inlineStr">
        <is>
          <t>2</t>
        </is>
      </c>
      <c r="D96" s="6" t="inlineStr">
        <is>
          <t>Стол рабочий прямой; 1200х700х750(h) мм</t>
        </is>
      </c>
      <c r="E96" s="6" t="inlineStr">
        <is>
          <t>Серия «Эдем-1», арт.Э-21.0</t>
        </is>
      </c>
      <c r="F96" s="6" t="n">
        <v>2</v>
      </c>
      <c r="G96" s="20" t="inlineStr">
        <is>
          <t>ЦЕНЫ НЕТ</t>
        </is>
      </c>
      <c r="H96" s="16">
        <f>IF(ISNUMBER(G96),F96*G96,0)</f>
        <v/>
      </c>
    </row>
    <row r="97">
      <c r="A97" s="6" t="n"/>
      <c r="B97" s="6" t="n"/>
      <c r="C97" s="6" t="inlineStr">
        <is>
          <t>м33</t>
        </is>
      </c>
      <c r="D97" s="6" t="inlineStr">
        <is>
          <t>Тумба для оргтехники двухстворчатая (2 распашные двери, ниша); 800х550х610(h) мм</t>
        </is>
      </c>
      <c r="E97" s="6" t="inlineStr">
        <is>
          <t>Серия «Эдем-1», арт.Э-26.7</t>
        </is>
      </c>
      <c r="F97" s="6" t="n">
        <v>1</v>
      </c>
      <c r="G97" s="20" t="inlineStr">
        <is>
          <t>ЦЕНЫ НЕТ</t>
        </is>
      </c>
      <c r="H97" s="16">
        <f>IF(ISNUMBER(G97),F97*G97,0)</f>
        <v/>
      </c>
    </row>
    <row r="98">
      <c r="A98" s="18" t="inlineStr">
        <is>
          <t>199.2 Помещение для фотографа</t>
        </is>
      </c>
      <c r="B98" s="19" t="inlineStr">
        <is>
          <t>ТХ.2. ОБОРУДОВАНИЕ, МЕБЕЛЬ И ИНВЕНТАРЬ ПО ПОМЕЩЕНИЯМ (03-01/07.21П-ТХ.2.СО)</t>
        </is>
      </c>
      <c r="C98" s="6" t="n"/>
      <c r="D98" s="6" t="n"/>
      <c r="E98" s="6" t="n"/>
      <c r="F98" s="6" t="n"/>
      <c r="G98" s="16" t="n"/>
      <c r="H98" s="16" t="n"/>
    </row>
    <row r="99">
      <c r="A99" s="6" t="n"/>
      <c r="B99" s="6" t="n"/>
      <c r="C99" s="6" t="inlineStr">
        <is>
          <t>2</t>
        </is>
      </c>
      <c r="D99" s="6" t="inlineStr">
        <is>
          <t>Стол рабочий прямой; 1200х700х750(h) мм</t>
        </is>
      </c>
      <c r="E99" s="6" t="inlineStr">
        <is>
          <t>Серия «Эдем-1», арт.Э-21.0</t>
        </is>
      </c>
      <c r="F99" s="6" t="n">
        <v>2</v>
      </c>
      <c r="G99" s="20" t="inlineStr">
        <is>
          <t>ЦЕНЫ НЕТ</t>
        </is>
      </c>
      <c r="H99" s="16">
        <f>IF(ISNUMBER(G99),F99*G99,0)</f>
        <v/>
      </c>
    </row>
    <row r="100">
      <c r="A100" s="6" t="n"/>
      <c r="B100" s="6" t="n"/>
      <c r="C100" s="6" t="inlineStr">
        <is>
          <t>м33</t>
        </is>
      </c>
      <c r="D100" s="6" t="inlineStr">
        <is>
          <t>Тумба для оргтехники двухстворчатая (2 распашные двери, ниша); 800х550х610(h) мм</t>
        </is>
      </c>
      <c r="E100" s="6" t="inlineStr">
        <is>
          <t>Серия «Эдем-1», арт.Э-26.7</t>
        </is>
      </c>
      <c r="F100" s="6" t="n">
        <v>1</v>
      </c>
      <c r="G100" s="20" t="inlineStr">
        <is>
          <t>ЦЕНЫ НЕТ</t>
        </is>
      </c>
      <c r="H100" s="16">
        <f>IF(ISNUMBER(G100),F100*G100,0)</f>
        <v/>
      </c>
    </row>
    <row r="101">
      <c r="A101" s="18" t="inlineStr">
        <is>
          <t>199.3 Помещение для фотографа</t>
        </is>
      </c>
      <c r="B101" s="19" t="inlineStr">
        <is>
          <t>ТХ.2. ОБОРУДОВАНИЕ, МЕБЕЛЬ И ИНВЕНТАРЬ ПО ПОМЕЩЕНИЯМ (03-01/07.21П-ТХ.2.СО)</t>
        </is>
      </c>
      <c r="C101" s="6" t="n"/>
      <c r="D101" s="6" t="n"/>
      <c r="E101" s="6" t="n"/>
      <c r="F101" s="6" t="n"/>
      <c r="G101" s="16" t="n"/>
      <c r="H101" s="16" t="n"/>
    </row>
    <row r="102">
      <c r="A102" s="6" t="n"/>
      <c r="B102" s="6" t="n"/>
      <c r="C102" s="6" t="inlineStr">
        <is>
          <t>2</t>
        </is>
      </c>
      <c r="D102" s="6" t="inlineStr">
        <is>
          <t>Стол рабочий прямой; 1200х700х750(h) мм</t>
        </is>
      </c>
      <c r="E102" s="6" t="inlineStr">
        <is>
          <t>Серия «Эдем-1», арт.Э-21.0</t>
        </is>
      </c>
      <c r="F102" s="6" t="n">
        <v>2</v>
      </c>
      <c r="G102" s="20" t="inlineStr">
        <is>
          <t>ЦЕНЫ НЕТ</t>
        </is>
      </c>
      <c r="H102" s="16">
        <f>IF(ISNUMBER(G102),F102*G102,0)</f>
        <v/>
      </c>
    </row>
    <row r="103">
      <c r="A103" s="6" t="n"/>
      <c r="B103" s="6" t="n"/>
      <c r="C103" s="6" t="inlineStr">
        <is>
          <t>м33</t>
        </is>
      </c>
      <c r="D103" s="6" t="inlineStr">
        <is>
          <t>Тумба для оргтехники двухстворчатая (2 распашные двери, ниша); 800х550х610(h) мм</t>
        </is>
      </c>
      <c r="E103" s="6" t="inlineStr">
        <is>
          <t>Серия «Эдем-1», арт.Э-26.7</t>
        </is>
      </c>
      <c r="F103" s="6" t="n">
        <v>1</v>
      </c>
      <c r="G103" s="20" t="inlineStr">
        <is>
          <t>ЦЕНЫ НЕТ</t>
        </is>
      </c>
      <c r="H103" s="16">
        <f>IF(ISNUMBER(G103),F103*G103,0)</f>
        <v/>
      </c>
    </row>
    <row r="104">
      <c r="A104" s="6" t="n"/>
      <c r="B104" s="6" t="n"/>
      <c r="C104" s="6" t="n"/>
      <c r="D104" s="9" t="inlineStr">
        <is>
          <t>ИТОГО</t>
        </is>
      </c>
      <c r="E104" s="6" t="n"/>
      <c r="F104" s="9">
        <f>SUM(F2:F103)</f>
        <v/>
      </c>
      <c r="G104" s="16" t="n"/>
      <c r="H104" s="17">
        <f>SUM(H2:H103)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3" customWidth="1" min="3" max="3"/>
    <col width="14" customWidth="1" min="4" max="4"/>
    <col width="16" customWidth="1" min="5" max="5"/>
    <col width="13" customWidth="1" min="6" max="6"/>
    <col width="60" customWidth="1" min="7" max="7"/>
  </cols>
  <sheetData>
    <row r="1">
      <c r="A1" s="21" t="inlineStr">
        <is>
          <t>Позиции мебели «Эдем-1» на листе «Сверка ТХ.2» (сверка СО ↔ ВОР 02-01-11)</t>
        </is>
      </c>
    </row>
    <row r="3" ht="30" customHeight="1">
      <c r="A3" s="4" t="inlineStr">
        <is>
          <t>Наименование по ТХ.2.СО</t>
        </is>
      </c>
      <c r="B3" s="4" t="inlineStr">
        <is>
          <t>Ед. изм.</t>
        </is>
      </c>
      <c r="C3" s="4" t="inlineStr">
        <is>
          <t>Кол-во по СО</t>
        </is>
      </c>
      <c r="D3" s="4" t="inlineStr">
        <is>
          <t>Кол-во по ВОР</t>
        </is>
      </c>
      <c r="E3" s="4" t="inlineStr">
        <is>
          <t>Разница (ВОР−СО)</t>
        </is>
      </c>
      <c r="F3" s="4" t="inlineStr">
        <is>
          <t>Строк в ВОРе</t>
        </is>
      </c>
      <c r="G3" s="4" t="inlineStr">
        <is>
          <t>Статус</t>
        </is>
      </c>
    </row>
    <row r="4">
      <c r="A4" s="22" t="inlineStr">
        <is>
          <t>Стул для посетителей (материал обивки – к/з); 540х440х820(h) мм</t>
        </is>
      </c>
      <c r="B4" s="22" t="inlineStr">
        <is>
          <t>шт</t>
        </is>
      </c>
      <c r="C4" s="22" t="n">
        <v>75</v>
      </c>
      <c r="D4" s="22" t="n">
        <v>88</v>
      </c>
      <c r="E4" s="22" t="n">
        <v>13</v>
      </c>
      <c r="F4" s="22" t="n">
        <v>2</v>
      </c>
      <c r="G4" s="22" t="inlineStr">
        <is>
          <t>ВОР больше СО на 13</t>
        </is>
      </c>
    </row>
    <row r="5">
      <c r="A5" s="19" t="inlineStr">
        <is>
          <t>Стол рабочий прямой; 1200х700х750(h) мм</t>
        </is>
      </c>
      <c r="B5" s="19" t="inlineStr">
        <is>
          <t>шт</t>
        </is>
      </c>
      <c r="C5" s="19" t="n">
        <v>10</v>
      </c>
      <c r="D5" s="19" t="n">
        <v>10</v>
      </c>
      <c r="E5" s="19" t="n">
        <v>0</v>
      </c>
      <c r="F5" s="19" t="n">
        <v>2</v>
      </c>
      <c r="G5" s="19" t="inlineStr">
        <is>
          <t>сходится (объединены два написания одного наименования)</t>
        </is>
      </c>
    </row>
    <row r="6">
      <c r="A6" s="19" t="inlineStr">
        <is>
          <t>Стул для посетителей (материал обивки – к/з); 540х440х820 (h) мм</t>
        </is>
      </c>
      <c r="B6" s="19" t="inlineStr">
        <is>
          <t>шт</t>
        </is>
      </c>
      <c r="C6" s="19" t="n">
        <v>13</v>
      </c>
      <c r="D6" s="19" t="n"/>
      <c r="E6" s="19" t="n"/>
      <c r="F6" s="19" t="n">
        <v>0</v>
      </c>
      <c r="G6" s="19" t="inlineStr">
        <is>
          <t>нет прямой пары в ВОРе; близкая строка ВОРа отнесена к «Стул для посетителей (материал обивки – к/з);» — проверить</t>
        </is>
      </c>
    </row>
    <row r="7">
      <c r="A7" s="19" t="inlineStr">
        <is>
          <t>(объединено) Стол рабочий прямой; 1200х700х750(h) мм</t>
        </is>
      </c>
      <c r="B7" s="19" t="inlineStr">
        <is>
          <t>шт</t>
        </is>
      </c>
      <c r="C7" s="19" t="n">
        <v>0</v>
      </c>
      <c r="D7" s="19" t="n">
        <v>0</v>
      </c>
      <c r="E7" s="19" t="n">
        <v>0</v>
      </c>
      <c r="F7" s="19" t="n">
        <v>0</v>
      </c>
      <c r="G7" s="19" t="inlineStr">
        <is>
          <t>объединено со строкой выше — два написания одного наименования</t>
        </is>
      </c>
    </row>
    <row r="8">
      <c r="A8" s="19" t="inlineStr">
        <is>
          <t>Шкаф двухстворчатый высокий со стеклом комбинированный (4 распашные двери, 2 верхние двери – стекло, 3 полки); 768х403х1945(h) мм</t>
        </is>
      </c>
      <c r="B8" s="19" t="inlineStr">
        <is>
          <t>шт</t>
        </is>
      </c>
      <c r="C8" s="19" t="n">
        <v>28</v>
      </c>
      <c r="D8" s="19" t="n">
        <v>28</v>
      </c>
      <c r="E8" s="19" t="n">
        <v>0</v>
      </c>
      <c r="F8" s="19" t="n">
        <v>6</v>
      </c>
      <c r="G8" s="19" t="inlineStr">
        <is>
          <t>сходится</t>
        </is>
      </c>
    </row>
    <row r="9">
      <c r="A9" s="19" t="inlineStr">
        <is>
          <t>Кресло компьютерное (с подлокотниками, колеса, газлифт, материал обивки – к/з); 620х620х955-1135(h) мм</t>
        </is>
      </c>
      <c r="B9" s="19" t="inlineStr">
        <is>
          <t>шт</t>
        </is>
      </c>
      <c r="C9" s="19" t="n">
        <v>27</v>
      </c>
      <c r="D9" s="19" t="n">
        <v>27</v>
      </c>
      <c r="E9" s="19" t="n">
        <v>0</v>
      </c>
      <c r="F9" s="19" t="n">
        <v>5</v>
      </c>
      <c r="G9" s="19" t="inlineStr">
        <is>
          <t>сходится</t>
        </is>
      </c>
    </row>
    <row r="10">
      <c r="A10" s="19" t="inlineStr">
        <is>
          <t>Стол рабочий прямой; 1400х700х750(h) мм</t>
        </is>
      </c>
      <c r="B10" s="19" t="inlineStr">
        <is>
          <t>шт</t>
        </is>
      </c>
      <c r="C10" s="19" t="n">
        <v>23</v>
      </c>
      <c r="D10" s="19" t="n">
        <v>23</v>
      </c>
      <c r="E10" s="19" t="n">
        <v>0</v>
      </c>
      <c r="F10" s="19" t="n">
        <v>9</v>
      </c>
      <c r="G10" s="19" t="inlineStr">
        <is>
          <t>сходится</t>
        </is>
      </c>
    </row>
    <row r="11">
      <c r="A11" s="19" t="inlineStr">
        <is>
          <t>Тумба для оргтехники двухстворчатая (2 распашные двери, ниша); 800х550х610(h) мм</t>
        </is>
      </c>
      <c r="B11" s="19" t="inlineStr">
        <is>
          <t>шт</t>
        </is>
      </c>
      <c r="C11" s="19" t="n">
        <v>16</v>
      </c>
      <c r="D11" s="19" t="n">
        <v>16</v>
      </c>
      <c r="E11" s="19" t="n">
        <v>0</v>
      </c>
      <c r="F11" s="19" t="n">
        <v>5</v>
      </c>
      <c r="G11" s="19" t="inlineStr">
        <is>
          <t>сходится</t>
        </is>
      </c>
    </row>
    <row r="12">
      <c r="A12" s="19" t="inlineStr">
        <is>
          <t>Тумба выкатная с центральным замком (3 выдвижных ящика, колеса); 397х500х610(h) мм</t>
        </is>
      </c>
      <c r="B12" s="19" t="inlineStr">
        <is>
          <t>шт</t>
        </is>
      </c>
      <c r="C12" s="19" t="n">
        <v>12</v>
      </c>
      <c r="D12" s="19" t="n">
        <v>12</v>
      </c>
      <c r="E12" s="19" t="n">
        <v>0</v>
      </c>
      <c r="F12" s="19" t="n">
        <v>5</v>
      </c>
      <c r="G12" s="19" t="inlineStr">
        <is>
          <t>сходится</t>
        </is>
      </c>
    </row>
    <row r="13">
      <c r="A13" s="19" t="inlineStr">
        <is>
          <t>Стол рабочий прямой; 1600х700х750(h) мм</t>
        </is>
      </c>
      <c r="B13" s="19" t="inlineStr">
        <is>
          <t>шт</t>
        </is>
      </c>
      <c r="C13" s="19" t="n">
        <v>7</v>
      </c>
      <c r="D13" s="19" t="n">
        <v>7</v>
      </c>
      <c r="E13" s="19" t="n">
        <v>0</v>
      </c>
      <c r="F13" s="19" t="n">
        <v>3</v>
      </c>
      <c r="G13" s="19" t="inlineStr">
        <is>
          <t>сходится</t>
        </is>
      </c>
    </row>
    <row r="14">
      <c r="A14" s="19" t="inlineStr">
        <is>
          <t>Шкаф двухстворчатый для одежды (2 распашные двери, перекладина); 768х403х1945(h) мм</t>
        </is>
      </c>
      <c r="B14" s="19" t="inlineStr">
        <is>
          <t>шт</t>
        </is>
      </c>
      <c r="C14" s="19" t="n">
        <v>6</v>
      </c>
      <c r="D14" s="19" t="n">
        <v>6</v>
      </c>
      <c r="E14" s="19" t="n">
        <v>0</v>
      </c>
      <c r="F14" s="19" t="n">
        <v>3</v>
      </c>
      <c r="G14" s="19" t="inlineStr">
        <is>
          <t>сходится</t>
        </is>
      </c>
    </row>
    <row r="15">
      <c r="A15" s="19" t="inlineStr">
        <is>
          <t>Стол для переговоров прямой; 1800х800х750(h) мм</t>
        </is>
      </c>
      <c r="B15" s="19" t="inlineStr">
        <is>
          <t>шт</t>
        </is>
      </c>
      <c r="C15" s="19" t="n">
        <v>1</v>
      </c>
      <c r="D15" s="19" t="n">
        <v>1</v>
      </c>
      <c r="E15" s="19" t="n">
        <v>0</v>
      </c>
      <c r="F15" s="19" t="n">
        <v>1</v>
      </c>
      <c r="G15" s="19" t="inlineStr">
        <is>
          <t>сходится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2" customWidth="1" min="2" max="2"/>
    <col width="44" customWidth="1" min="3" max="3"/>
    <col width="40" customWidth="1" min="4" max="4"/>
  </cols>
  <sheetData>
    <row r="1">
      <c r="A1" s="1" t="inlineStr">
        <is>
          <t>ЭДЕМ-МЕБЕЛЬ — ЧТО ИСПРАВЛЕНО И ЧТО ОСТАЛОСЬ</t>
        </is>
      </c>
    </row>
    <row r="3" ht="30" customHeight="1">
      <c r="A3" s="4" t="inlineStr">
        <is>
          <t>№</t>
        </is>
      </c>
      <c r="B3" s="4" t="inlineStr">
        <is>
          <t>Что сделано / что осталось</t>
        </is>
      </c>
      <c r="C3" s="4" t="inlineStr">
        <is>
          <t>Где смотреть</t>
        </is>
      </c>
      <c r="D3" s="4" t="inlineStr">
        <is>
          <t>Результат</t>
        </is>
      </c>
    </row>
    <row r="4" ht="46" customHeight="1">
      <c r="A4" s="19" t="inlineStr">
        <is>
          <t>1</t>
        </is>
      </c>
      <c r="B4" s="19" t="inlineStr">
        <is>
          <t>ИСПРАВЛЕНО. Файл был сохранён с включённым фильтром по колонке B «Наименование» (3 значения) — скрыто 4311 строк из 4705. Именно поэтому поиск по «Эдем» отдавал не всё. Фильтр снят, все строки показаны.</t>
        </is>
      </c>
      <c r="C4" s="19" t="inlineStr">
        <is>
          <t>Спецификация, автофильтр A1:K4339</t>
        </is>
      </c>
      <c r="D4" s="19" t="inlineStr">
        <is>
          <t>Фильтр по «Эдем» теперь видит весь лист</t>
        </is>
      </c>
    </row>
    <row r="5" ht="46" customHeight="1">
      <c r="A5" s="19" t="inlineStr">
        <is>
          <t>2</t>
        </is>
      </c>
      <c r="B5" s="19" t="inlineStr">
        <is>
          <t>ИСПРАВЛЕНО. Пять строк стола 1200х700х750 (стр. 2514, 2608, 3773, 3851, 3859) шли с пустой колонкой C и с лишним пробелом в наименовании — фильтр по «Эдем» их не находил. Наименование приведено к единому виду, проставлен арт.Э-21.0.</t>
        </is>
      </c>
      <c r="C5" s="19" t="inlineStr">
        <is>
          <t>Спецификация, колонка B и C</t>
        </is>
      </c>
      <c r="D5" s="19" t="inlineStr">
        <is>
          <t>В фильтр вернулись 9 шт</t>
        </is>
      </c>
    </row>
    <row r="6" ht="46" customHeight="1">
      <c r="A6" s="19" t="inlineStr">
        <is>
          <t>3</t>
        </is>
      </c>
      <c r="B6" s="19" t="inlineStr">
        <is>
          <t>ИСПРАВЛЕНО. Стр.3252: из артикула убран мусорный префикс «+ ЭВ*2», приклеившийся от соседней строки 3251.</t>
        </is>
      </c>
      <c r="C6" s="19" t="inlineStr">
        <is>
          <t>Спецификация, стр.3252, колонка C</t>
        </is>
      </c>
      <c r="D6" s="19" t="inlineStr">
        <is>
          <t>Артикул стал единообразным</t>
        </is>
      </c>
    </row>
    <row r="7" ht="46" customHeight="1">
      <c r="A7" s="19" t="inlineStr">
        <is>
          <t>4</t>
        </is>
      </c>
      <c r="B7" s="19" t="inlineStr">
        <is>
          <t>ИСПРАВЛЕНО. Поставщик приведён к единому написанию «ООО «Эдем-Мебель»» в 17 строках — было «ООО «Эдем- мебель»» ×2 и «ООО «Эдем- Мебель»» ×15, в обоих лишний пробел после дефиса.</t>
        </is>
      </c>
      <c r="C7" s="19" t="inlineStr">
        <is>
          <t>Спецификация, колонка E</t>
        </is>
      </c>
      <c r="D7" s="19" t="inlineStr">
        <is>
          <t>Группировка по поставщику работает</t>
        </is>
      </c>
    </row>
    <row r="8" ht="46" customHeight="1">
      <c r="A8" s="19" t="inlineStr">
        <is>
          <t>5</t>
        </is>
      </c>
      <c r="B8" s="19" t="inlineStr">
        <is>
          <t>ИСПРАВЛЕНО. Разрыв внутри слова: «Торгов ая сеть Россия» → «Торговая сеть Россия», 13 строк.</t>
        </is>
      </c>
      <c r="C8" s="19" t="inlineStr">
        <is>
          <t>Спецификация, колонка E</t>
        </is>
      </c>
      <c r="D8" s="19" t="inlineStr">
        <is>
          <t>Фильтр по поставщику не двоится</t>
        </is>
      </c>
    </row>
    <row r="9" ht="46" customHeight="1">
      <c r="A9" s="19" t="inlineStr">
        <is>
          <t>6</t>
        </is>
      </c>
      <c r="B9" s="19" t="inlineStr">
        <is>
          <t>СВЕРКА СОШЛАСЬ. После объединения двух написаний стола 1200 количество по СО = 10 шт = количество по ВОР = 10 шт. Расхождение «ВОР больше СО на 1» было артефактом орфографии. По всем 7 позициям «Эдем-1»: 28/28, 23/23, 16/16, 12/12, 10/10, 6/6, 1/1 — расхождений нет.</t>
        </is>
      </c>
      <c r="C9" s="19" t="inlineStr">
        <is>
          <t>Лист «Сверка с ВОР»</t>
        </is>
      </c>
      <c r="D9" s="19" t="inlineStr">
        <is>
          <t>Объёмы подтверждены, править не нужно</t>
        </is>
      </c>
    </row>
    <row r="10" ht="46" customHeight="1">
      <c r="A10" s="22" t="inlineStr">
        <is>
          <t>7</t>
        </is>
      </c>
      <c r="B10" s="22" t="inlineStr">
        <is>
          <t>ОСТАЛОСЬ. Мебель «Эдем-1» по-прежнему без цены: 68 строк, 96 шт, колонка H пустая, сумма 0 руб. Проценены только не-эдемовские позиции у этого поставщика — стул Gigant (1950 руб.) и кресло Prestige (12 000 руб.), итого 29 550 руб.</t>
        </is>
      </c>
      <c r="C10" s="22" t="inlineStr">
        <is>
          <t>Спецификация, колонка H</t>
        </is>
      </c>
      <c r="D10" s="22" t="inlineStr">
        <is>
          <t>Стоимость раздела ТХ.2 занижена на всю мебель</t>
        </is>
      </c>
    </row>
    <row r="11" ht="46" customHeight="1">
      <c r="A11" s="22" t="inlineStr">
        <is>
          <t>8</t>
        </is>
      </c>
      <c r="B11" s="22" t="inlineStr">
        <is>
          <t>ОСТАЛОСЬ, НУЖНО РЕШЕНИЕ. В 52 строках из 68 поставщиком указано обезличенное «Торговая сеть Россия», а не «ООО «Эдем-Мебель»» — при том, что позиции те же. Это не орфография, а вопрос к договору: менять не стал.</t>
        </is>
      </c>
      <c r="C11" s="22" t="inlineStr">
        <is>
          <t>Спецификация, колонка E</t>
        </is>
      </c>
      <c r="D11" s="22" t="inlineStr">
        <is>
          <t>Непонятно, кто реально поставляет</t>
        </is>
      </c>
    </row>
    <row r="12" ht="46" customHeight="1">
      <c r="A12" s="22" t="inlineStr">
        <is>
          <t>9</t>
        </is>
      </c>
      <c r="B12" s="22" t="inlineStr">
        <is>
          <t>ПОД ВОПРОСОМ. «Стол рабочий прямой; 1600х700х750(h) мм» (поз. м221, 5 строк, 7 шт) — та же офисная линейка, но артикул не проставлен нигде в файле. Признаков «Эдема» нет, поэтому не трогал. Если это тоже Эдем — нужен артикул.</t>
        </is>
      </c>
      <c r="C12" s="22" t="inlineStr">
        <is>
          <t>Спецификация, стр. 2535, 2556, 2568, 2620 и др.</t>
        </is>
      </c>
      <c r="D12" s="22" t="inlineStr">
        <is>
          <t>7 шт вне фильтра по «Эдем»</t>
        </is>
      </c>
    </row>
    <row r="13" ht="46" customHeight="1">
      <c r="A13" s="22" t="inlineStr">
        <is>
          <t>10</t>
        </is>
      </c>
      <c r="B13" s="22" t="inlineStr">
        <is>
          <t>ПОД ВОПРОСОМ, вне Эдема. Поставщик «Электротехника и Авто- матика» (5 строк) — разрыв внутри слова, но канонического написания в файле нет, поэтому не исправлял.</t>
        </is>
      </c>
      <c r="C13" s="22" t="inlineStr">
        <is>
          <t>Спецификация, колонка E</t>
        </is>
      </c>
      <c r="D13" s="22" t="inlineStr">
        <is>
          <t>Мелкий мусор в справочнике поставщиков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2026-08-05T09:08:24Z</dcterms:created>
  <dcterms:modified xsi:type="dcterms:W3CDTF">2026-08-05T09:08:24Z</dcterms:modified>
</cp:coreProperties>
</file>