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 ревью" sheetId="1" state="visible" r:id="rId1"/>
    <sheet name="Документы и пути" sheetId="2" state="visible" r:id="rId2"/>
    <sheet name="Разделы и деньги" sheetId="3" state="visible" r:id="rId3"/>
    <sheet name="Расхождения с ВОР" sheetId="4" state="visible" r:id="rId4"/>
    <sheet name="Опечатки" sheetId="5" state="visible" r:id="rId5"/>
    <sheet name="Формул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[Red](#,##0);-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1F3864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2"/>
    </font>
    <font>
      <name val="Arial"/>
      <b val="1"/>
      <sz val="13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165" fontId="0" fillId="3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165" fontId="4" fillId="0" borderId="1" applyAlignment="1" pivotButton="0" quotePrefix="0" xfId="0">
      <alignment vertical="top"/>
    </xf>
    <xf numFmtId="0" fontId="7" fillId="0" borderId="0" pivotButton="0" quotePrefix="0" xfId="0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6" fillId="2" borderId="1" applyAlignment="1" pivotButton="0" quotePrefix="0" xfId="0">
      <alignment vertical="top"/>
    </xf>
    <xf numFmtId="0" fontId="6" fillId="2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wrapText="1"/>
    </xf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6" fillId="2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8" customWidth="1" min="1" max="1"/>
    <col width="112" customWidth="1" min="2" max="2"/>
  </cols>
  <sheetData>
    <row r="1">
      <c r="A1" s="1" t="inlineStr">
        <is>
          <t>РЕВЬЮ ИТОГОВОГО ФАЙЛА — SPEC_IOS_TH_ITOGOVIY_FILE2.xlsx</t>
        </is>
      </c>
    </row>
    <row r="2">
      <c r="A2" s="2" t="inlineStr">
        <is>
          <t>Проверка без правок. Исходные файлы не изменялись.</t>
        </is>
      </c>
    </row>
    <row r="4">
      <c r="A4" s="3" t="inlineStr">
        <is>
          <t>ЧТО ЗА ФАЙЛ</t>
        </is>
      </c>
      <c r="B4" s="4" t="inlineStr"/>
    </row>
    <row r="5">
      <c r="A5" s="5" t="inlineStr">
        <is>
          <t>Лист «Спецификация»</t>
        </is>
      </c>
      <c r="B5" s="6" t="inlineStr">
        <is>
          <t>3875 позиций в 21 разделе; итог 1 448 528 218 руб. (формула I4339 = SUM(I2:I4337), диапазон корректный)</t>
        </is>
      </c>
    </row>
    <row r="6">
      <c r="A6" s="5" t="inlineStr">
        <is>
          <t>Лист «НЕТ В СО (из ВОРов)»</t>
        </is>
      </c>
      <c r="B6" s="6" t="inlineStr">
        <is>
          <t>306 позиций, которых нет в СО; 295 формул тянут кол-во/цену/сумму с «Спецификации». Все 295 ссылок ведут в правильные строки. Итог 1 158 383 836 руб.</t>
        </is>
      </c>
    </row>
    <row r="7">
      <c r="A7" s="5" t="inlineStr">
        <is>
          <t>Лист «Сверка ТХ.2»</t>
        </is>
      </c>
      <c r="B7" s="6" t="inlineStr">
        <is>
          <t>287 строк сверки СО ↔ ВОР 02-01-11, только по разделу ТХ.2</t>
        </is>
      </c>
    </row>
    <row r="8">
      <c r="A8" s="5" t="inlineStr">
        <is>
          <t>Лист «Правки»</t>
        </is>
      </c>
      <c r="B8" s="6" t="inlineStr">
        <is>
          <t>2300 записей журнала изменений</t>
        </is>
      </c>
    </row>
    <row r="9">
      <c r="A9" s="5" t="inlineStr"/>
      <c r="B9" s="6" t="inlineStr"/>
    </row>
    <row r="10">
      <c r="A10" s="3" t="inlineStr">
        <is>
          <t>СВЕРКА С ИСХОДНЫМ ВОРом</t>
        </is>
      </c>
      <c r="B10" s="4" t="inlineStr"/>
    </row>
    <row r="11">
      <c r="A11" s="5" t="inlineStr">
        <is>
          <t>Сопоставлено позиций</t>
        </is>
      </c>
      <c r="B11" s="6" t="inlineStr">
        <is>
          <t>256 (по паре «№ ВОР» + «№ п/п» из примечания)</t>
        </is>
      </c>
    </row>
    <row r="12">
      <c r="A12" s="5" t="inlineStr">
        <is>
          <t xml:space="preserve">  кол-во = строке ВОРа</t>
        </is>
      </c>
      <c r="B12" s="6" t="inlineStr">
        <is>
          <t>174</t>
        </is>
      </c>
    </row>
    <row r="13">
      <c r="A13" s="5" t="inlineStr">
        <is>
          <t xml:space="preserve">  кол-во = сумме одноимённых строк</t>
        </is>
      </c>
      <c r="B13" s="6" t="inlineStr">
        <is>
          <t>81 — итоговый агрегирует несколько строк ВОРа в одну, это нормально</t>
        </is>
      </c>
    </row>
    <row r="14">
      <c r="A14" s="5" t="inlineStr">
        <is>
          <t xml:space="preserve">  РАСХОЖДЕНИЙ ПО КОЛИЧЕСТВУ</t>
        </is>
      </c>
      <c r="B14" s="6" t="inlineStr">
        <is>
          <t>1</t>
        </is>
      </c>
    </row>
    <row r="15">
      <c r="A15" s="5" t="inlineStr">
        <is>
          <t xml:space="preserve">  РАСХОЖДЕНИЙ ПО ЦЕНЕ</t>
        </is>
      </c>
      <c r="B15" s="6" t="inlineStr">
        <is>
          <t>1</t>
        </is>
      </c>
    </row>
    <row r="16">
      <c r="A16" s="5" t="inlineStr">
        <is>
          <t xml:space="preserve">  битых ссылок на ВОР</t>
        </is>
      </c>
      <c r="B16" s="6" t="inlineStr">
        <is>
          <t>0</t>
        </is>
      </c>
    </row>
    <row r="17">
      <c r="A17" s="5" t="inlineStr"/>
      <c r="B17" s="6" t="inlineStr"/>
    </row>
    <row r="18">
      <c r="A18" s="3" t="inlineStr">
        <is>
          <t>ГЛАВНОЕ</t>
        </is>
      </c>
      <c r="B18" s="4" t="inlineStr"/>
    </row>
    <row r="19">
      <c r="A19" s="5" t="inlineStr">
        <is>
          <t>1. Не проценено 58% строк</t>
        </is>
      </c>
      <c r="B19" s="6" t="inlineStr">
        <is>
          <t>2256 позиций из 3875 без цены. Худшие разделы: ТХ.4 (154 из 157), ИОС.5.3 автоматизация (234 из 241), ИОС.4.4 наружные теплосети (134 из 142), ИОС.5.1 связь (240 из 363).</t>
        </is>
      </c>
    </row>
    <row r="20">
      <c r="A20" s="5" t="inlineStr">
        <is>
          <t>2. 77% денег — в одном блоке</t>
        </is>
      </c>
      <c r="B20" s="6" t="inlineStr">
        <is>
          <t>«МАТЕРИАЛЫ ИЗ ВОРов ПО ДИСЦИПЛИНАМ» = 1 116 623 755 руб. из 191 строки. Это 77% всей суммы файла. Блок собран из ВОРов, а не из СО — проверять его надо в первую очередь.</t>
        </is>
      </c>
    </row>
    <row r="21">
      <c r="A21" s="5" t="inlineStr">
        <is>
          <t>3. Латиница внутри русских слов</t>
        </is>
      </c>
      <c r="B21" s="6" t="inlineStr">
        <is>
          <t>120 ячеек, 20 разных слов. Ломает поиск и фильтр — та же болезнь, что была с «Эдемом».</t>
        </is>
      </c>
    </row>
    <row r="22">
      <c r="A22" s="5" t="inlineStr">
        <is>
          <t>4. Поставщик «Торговая сеть Россия»</t>
        </is>
      </c>
      <c r="B22" s="6" t="inlineStr">
        <is>
          <t>979 строк размазаны по 8 написаниям. В фильтре это 8 разных поставщиков.</t>
        </is>
      </c>
    </row>
    <row r="23">
      <c r="A23" s="5" t="inlineStr">
        <is>
          <t>5. Хрупкие формулы в колонке ЦЕНА</t>
        </is>
      </c>
      <c r="B23" s="6" t="inlineStr">
        <is>
          <t>61 ячейка с ручной арифметикой вместо числа. Строка 87 — единственная в файле, где сумма ≠ кол-во × цена.</t>
        </is>
      </c>
    </row>
    <row r="24">
      <c r="A24" s="5" t="inlineStr"/>
      <c r="B24" s="6" t="inlineStr"/>
    </row>
    <row r="25">
      <c r="A25" s="3" t="inlineStr">
        <is>
          <t>ЧЕГО НЕ ХВАТИЛО</t>
        </is>
      </c>
      <c r="B25" s="4" t="inlineStr"/>
    </row>
    <row r="26">
      <c r="A26" s="5" t="inlineStr">
        <is>
          <t>PDF-спецификации ИОС</t>
        </is>
      </c>
      <c r="B26" s="6" t="inlineStr">
        <is>
          <t>18 файлов лежат на сетевом диске \\fs\share\... — у меня доступа туда нет. Сверку «итоговый ↔ ИОС» сделать не смог. Нужно прислать файлы.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2" customWidth="1" min="3" max="3"/>
    <col width="12" customWidth="1" min="4" max="4"/>
    <col width="17" customWidth="1" min="5" max="5"/>
    <col width="66" customWidth="1" min="6" max="6"/>
  </cols>
  <sheetData>
    <row r="1">
      <c r="A1" s="26" t="inlineStr">
        <is>
          <t>НА КАКИЕ ИСХОДНЫЕ ДОКУМЕНТЫ ССЫЛАЕТСЯ ИТОГОВЫЙ И ЧТО ИЗ ЭТОГО ПРИСЛАНО</t>
        </is>
      </c>
    </row>
    <row r="2">
      <c r="A2" s="27" t="inlineStr">
        <is>
          <t>Проверено по колонке «Примечание» листа «Спецификация»: 306 позиций содержат ссылку «(Файл: …)». Пути \\fs\share\… технически недоступны — сетевых монтирований нет, хост fs не резолвится, smb-клиента в системе нет.</t>
        </is>
      </c>
    </row>
    <row r="4" ht="32" customHeight="1">
      <c r="A4" s="7" t="inlineStr">
        <is>
          <t>Документ</t>
        </is>
      </c>
      <c r="B4" s="7" t="inlineStr">
        <is>
          <t>Что это</t>
        </is>
      </c>
      <c r="C4" s="7" t="inlineStr">
        <is>
          <t>Позиций ссылается</t>
        </is>
      </c>
      <c r="D4" s="7" t="inlineStr">
        <is>
          <t>Написаний имени файла</t>
        </is>
      </c>
      <c r="E4" s="7" t="inlineStr">
        <is>
          <t>Прислан?</t>
        </is>
      </c>
      <c r="F4" s="7" t="inlineStr">
        <is>
          <t>Строки в «Спецификации»</t>
        </is>
      </c>
    </row>
    <row r="5">
      <c r="A5" s="28" t="inlineStr">
        <is>
          <t>АР.1</t>
        </is>
      </c>
      <c r="B5" s="29" t="inlineStr">
        <is>
          <t>Архитектурные решения</t>
        </is>
      </c>
      <c r="C5" s="28" t="n">
        <v>99</v>
      </c>
      <c r="D5" s="28" t="n">
        <v>9</v>
      </c>
      <c r="E5" s="28" t="inlineStr">
        <is>
          <t>НЕТ — нужен</t>
        </is>
      </c>
      <c r="F5" s="29" t="inlineStr">
        <is>
          <t>4126, 4127, 4128, 4129, 4130, 4131, 4132, 4133, 4134, 4135, 4136, 4137, 4138, 4139, 4140, 4141, 4142, 4146, 4147, 4148, 4149, 4150, 4151, 4152, 4153, 4154 …</t>
        </is>
      </c>
    </row>
    <row r="6">
      <c r="A6" s="28" t="inlineStr">
        <is>
          <t>ПЗУ</t>
        </is>
      </c>
      <c r="B6" s="29" t="inlineStr">
        <is>
          <t>Планировка земельного участка</t>
        </is>
      </c>
      <c r="C6" s="28" t="n">
        <v>56</v>
      </c>
      <c r="D6" s="28" t="n">
        <v>6</v>
      </c>
      <c r="E6" s="28" t="inlineStr">
        <is>
          <t>НЕТ — нужен</t>
        </is>
      </c>
      <c r="F6" s="29" t="inlineStr">
        <is>
          <t>3, 16, 4238, 4239, 4240, 4241, 4242, 4243, 4244, 4245, 4246, 4247, 4248, 4249, 4250, 4251, 4252, 4253, 4254, 4255, 4256, 4257, 4258, 4259, 4261, 4262 …</t>
        </is>
      </c>
    </row>
    <row r="7">
      <c r="A7" s="28" t="inlineStr">
        <is>
          <t>ПОС</t>
        </is>
      </c>
      <c r="B7" s="29" t="inlineStr">
        <is>
          <t>Проект организации строительства</t>
        </is>
      </c>
      <c r="C7" s="28" t="n">
        <v>36</v>
      </c>
      <c r="D7" s="28" t="n">
        <v>2</v>
      </c>
      <c r="E7" s="28" t="inlineStr">
        <is>
          <t>НЕТ — нужен</t>
        </is>
      </c>
      <c r="F7" s="29" t="inlineStr">
        <is>
          <t>6, 7, 8, 9, 10, 11, 12, 13, 14, 4295, 4296, 4297, 4298, 4299, 4300, 4301, 4302, 4303, 4304, 4305, 4306, 4307, 4308, 4309, 4310, 4311 …</t>
        </is>
      </c>
    </row>
    <row r="8">
      <c r="A8" s="30" t="inlineStr">
        <is>
          <t>КР</t>
        </is>
      </c>
      <c r="B8" s="31" t="inlineStr">
        <is>
          <t>Конструктивные решения</t>
        </is>
      </c>
      <c r="C8" s="30" t="n">
        <v>29</v>
      </c>
      <c r="D8" s="30" t="n">
        <v>4</v>
      </c>
      <c r="E8" s="30" t="inlineStr">
        <is>
          <t>да</t>
        </is>
      </c>
      <c r="F8" s="31" t="inlineStr">
        <is>
          <t>4, 4096, 4097, 4098, 4099, 4100, 4101, 4102, 4103, 4104, 4105, 4106, 4107, 4108, 4109, 4110, 4111, 4112, 4113, 4114, 4116, 4117, 4118, 4119, 4120, 4121 …</t>
        </is>
      </c>
    </row>
    <row r="9">
      <c r="A9" s="30" t="inlineStr">
        <is>
          <t>ИОС.2.1</t>
        </is>
      </c>
      <c r="B9" s="31" t="inlineStr">
        <is>
          <t>Водоснабжение</t>
        </is>
      </c>
      <c r="C9" s="30" t="n">
        <v>25</v>
      </c>
      <c r="D9" s="30" t="n">
        <v>2</v>
      </c>
      <c r="E9" s="30" t="inlineStr">
        <is>
          <t>да</t>
        </is>
      </c>
      <c r="F9" s="31" t="inlineStr">
        <is>
          <t>384, 385, 386, 387, 388, 389, 390, 391, 392, 393, 394, 395, 396, 397, 398, 399, 400, 401, 402, 403, 404, 405, 406, 407, 408</t>
        </is>
      </c>
    </row>
    <row r="10">
      <c r="A10" s="30" t="inlineStr">
        <is>
          <t>ИОС.4.4</t>
        </is>
      </c>
      <c r="B10" s="31" t="inlineStr">
        <is>
          <t>Наружные сети теплоснабжения</t>
        </is>
      </c>
      <c r="C10" s="30" t="n">
        <v>15</v>
      </c>
      <c r="D10" s="30" t="n">
        <v>6</v>
      </c>
      <c r="E10" s="30" t="inlineStr">
        <is>
          <t>да</t>
        </is>
      </c>
      <c r="F10" s="31" t="inlineStr">
        <is>
          <t>15, 1515, 1516, 4322, 4323, 4324, 4325, 4326, 4327, 4328, 4329, 4330, 4331, 4332, 4333</t>
        </is>
      </c>
    </row>
    <row r="11">
      <c r="A11" s="28" t="inlineStr">
        <is>
          <t>ТХ.2</t>
        </is>
      </c>
      <c r="B11" s="29" t="inlineStr">
        <is>
          <t>Оборудование, мебель и инвентарь</t>
        </is>
      </c>
      <c r="C11" s="28" t="n">
        <v>11</v>
      </c>
      <c r="D11" s="28" t="n">
        <v>3</v>
      </c>
      <c r="E11" s="28" t="inlineStr">
        <is>
          <t>НЕТ — нужен</t>
        </is>
      </c>
      <c r="F11" s="29" t="inlineStr">
        <is>
          <t>4229, 4230, 4231, 4233, 4234, 4235, 4236, 4334, 4335, 4336, 4337</t>
        </is>
      </c>
    </row>
    <row r="12">
      <c r="A12" s="30" t="inlineStr">
        <is>
          <t>ИОС.3.1</t>
        </is>
      </c>
      <c r="B12" s="31" t="inlineStr">
        <is>
          <t>Канализация</t>
        </is>
      </c>
      <c r="C12" s="30" t="n">
        <v>9</v>
      </c>
      <c r="D12" s="30" t="n">
        <v>2</v>
      </c>
      <c r="E12" s="30" t="inlineStr">
        <is>
          <t>да</t>
        </is>
      </c>
      <c r="F12" s="31" t="inlineStr">
        <is>
          <t>423, 424, 425, 426, 427, 428, 429, 430, 431</t>
        </is>
      </c>
    </row>
    <row r="13">
      <c r="A13" s="30" t="inlineStr">
        <is>
          <t>ИОС.4.2</t>
        </is>
      </c>
      <c r="B13" s="31" t="inlineStr">
        <is>
          <t>Вентиляция и кондиционирование</t>
        </is>
      </c>
      <c r="C13" s="30" t="n">
        <v>6</v>
      </c>
      <c r="D13" s="30" t="n">
        <v>1</v>
      </c>
      <c r="E13" s="30" t="inlineStr">
        <is>
          <t>да</t>
        </is>
      </c>
      <c r="F13" s="31" t="inlineStr">
        <is>
          <t>1226, 1227, 1228, 1229, 1230, 1231</t>
        </is>
      </c>
    </row>
    <row r="14">
      <c r="A14" s="30" t="inlineStr">
        <is>
          <t>ИОС.5.1</t>
        </is>
      </c>
      <c r="B14" s="31" t="inlineStr">
        <is>
          <t>Сети связи</t>
        </is>
      </c>
      <c r="C14" s="30" t="n">
        <v>6</v>
      </c>
      <c r="D14" s="30" t="n">
        <v>1</v>
      </c>
      <c r="E14" s="30" t="inlineStr">
        <is>
          <t>да</t>
        </is>
      </c>
      <c r="F14" s="31" t="inlineStr">
        <is>
          <t>1894, 1895, 1896, 1897, 1898, 1899</t>
        </is>
      </c>
    </row>
    <row r="15">
      <c r="A15" s="30" t="inlineStr">
        <is>
          <t>ПБ2</t>
        </is>
      </c>
      <c r="B15" s="31" t="inlineStr">
        <is>
          <t>Пожарная сигнализация</t>
        </is>
      </c>
      <c r="C15" s="30" t="n">
        <v>3</v>
      </c>
      <c r="D15" s="30" t="n">
        <v>2</v>
      </c>
      <c r="E15" s="30" t="inlineStr">
        <is>
          <t>да</t>
        </is>
      </c>
      <c r="F15" s="31" t="inlineStr">
        <is>
          <t>2487, 2488, 2489</t>
        </is>
      </c>
    </row>
    <row r="16">
      <c r="A16" s="28" t="inlineStr">
        <is>
          <t>ТХ.3</t>
        </is>
      </c>
      <c r="B16" s="29" t="inlineStr">
        <is>
          <t>Технология (часть 3)</t>
        </is>
      </c>
      <c r="C16" s="28" t="n">
        <v>3</v>
      </c>
      <c r="D16" s="28" t="n">
        <v>1</v>
      </c>
      <c r="E16" s="28" t="inlineStr">
        <is>
          <t>НЕТ — нужен</t>
        </is>
      </c>
      <c r="F16" s="29" t="inlineStr">
        <is>
          <t>4090, 4091, 4092</t>
        </is>
      </c>
    </row>
    <row r="17">
      <c r="A17" s="28" t="inlineStr">
        <is>
          <t>АК.1</t>
        </is>
      </c>
      <c r="B17" s="29" t="inlineStr">
        <is>
          <t>Архитектурные конструкции</t>
        </is>
      </c>
      <c r="C17" s="28" t="n">
        <v>3</v>
      </c>
      <c r="D17" s="28" t="n">
        <v>1</v>
      </c>
      <c r="E17" s="28" t="inlineStr">
        <is>
          <t>НЕТ — нужен</t>
        </is>
      </c>
      <c r="F17" s="29" t="inlineStr">
        <is>
          <t>4143, 4144, 4145</t>
        </is>
      </c>
    </row>
    <row r="18">
      <c r="A18" s="30" t="inlineStr">
        <is>
          <t>ИОС.1.5</t>
        </is>
      </c>
      <c r="B18" s="31" t="inlineStr">
        <is>
          <t>Внешние сети электроснабжения</t>
        </is>
      </c>
      <c r="C18" s="30" t="n">
        <v>1</v>
      </c>
      <c r="D18" s="30" t="n">
        <v>1</v>
      </c>
      <c r="E18" s="30" t="inlineStr">
        <is>
          <t>да</t>
        </is>
      </c>
      <c r="F18" s="31" t="inlineStr">
        <is>
          <t>5</t>
        </is>
      </c>
    </row>
    <row r="19">
      <c r="A19" s="30" t="inlineStr">
        <is>
          <t>ИОС.1.4</t>
        </is>
      </c>
      <c r="B19" s="31" t="inlineStr">
        <is>
          <t>Наружное электроосвещение</t>
        </is>
      </c>
      <c r="C19" s="30" t="n">
        <v>1</v>
      </c>
      <c r="D19" s="30" t="n">
        <v>1</v>
      </c>
      <c r="E19" s="30" t="inlineStr">
        <is>
          <t>да</t>
        </is>
      </c>
      <c r="F19" s="31" t="inlineStr">
        <is>
          <t>17</t>
        </is>
      </c>
    </row>
    <row r="20">
      <c r="A20" s="30" t="inlineStr">
        <is>
          <t>ИОС.3.2</t>
        </is>
      </c>
      <c r="B20" s="31" t="inlineStr">
        <is>
          <t>Дренаж</t>
        </is>
      </c>
      <c r="C20" s="30" t="n">
        <v>1</v>
      </c>
      <c r="D20" s="30" t="n">
        <v>1</v>
      </c>
      <c r="E20" s="30" t="inlineStr">
        <is>
          <t>да</t>
        </is>
      </c>
      <c r="F20" s="31" t="inlineStr">
        <is>
          <t>439</t>
        </is>
      </c>
    </row>
    <row r="21">
      <c r="A21" s="30" t="inlineStr">
        <is>
          <t>ИОС.4.3</t>
        </is>
      </c>
      <c r="B21" s="31" t="inlineStr">
        <is>
          <t>ИТП</t>
        </is>
      </c>
      <c r="C21" s="30" t="n">
        <v>1</v>
      </c>
      <c r="D21" s="30" t="n">
        <v>1</v>
      </c>
      <c r="E21" s="30" t="inlineStr">
        <is>
          <t>да</t>
        </is>
      </c>
      <c r="F21" s="31" t="inlineStr">
        <is>
          <t>558</t>
        </is>
      </c>
    </row>
    <row r="22">
      <c r="A22" s="28" t="inlineStr">
        <is>
          <t>HCOM</t>
        </is>
      </c>
      <c r="B22" s="29" t="inlineStr">
        <is>
          <t>не расшифровывается — код битый</t>
        </is>
      </c>
      <c r="C22" s="28" t="n">
        <v>1</v>
      </c>
      <c r="D22" s="28" t="n">
        <v>1</v>
      </c>
      <c r="E22" s="28" t="inlineStr">
        <is>
          <t>НЕТ — нужен</t>
        </is>
      </c>
      <c r="F22" s="29" t="inlineStr">
        <is>
          <t>1514</t>
        </is>
      </c>
    </row>
    <row r="23">
      <c r="A23" s="32" t="n"/>
      <c r="B23" s="16" t="inlineStr">
        <is>
          <t>ИТОГО позиций со ссылкой на файл</t>
        </is>
      </c>
      <c r="C23" s="33">
        <f>SUM(C5:C22)</f>
        <v/>
      </c>
      <c r="D23" s="32" t="n"/>
      <c r="E23" s="32" t="n"/>
      <c r="F23" s="34" t="n"/>
    </row>
    <row r="24">
      <c r="A24" s="32" t="n"/>
      <c r="B24" s="34" t="n"/>
      <c r="C24" s="32" t="n"/>
      <c r="D24" s="32" t="n"/>
      <c r="E24" s="32" t="n"/>
      <c r="F24" s="34" t="n"/>
    </row>
    <row r="25">
      <c r="A25" s="35" t="inlineStr">
        <is>
          <t>ОДИН ДОКУМЕНТ — РАЗНЫЕ ИМЕНА ФАЙЛА В ПРИМЕЧАНИЯХ</t>
        </is>
      </c>
      <c r="B25" s="34" t="n"/>
      <c r="C25" s="32" t="n"/>
      <c r="D25" s="32" t="n"/>
      <c r="E25" s="32" t="n"/>
      <c r="F25" s="34" t="n"/>
    </row>
    <row r="26">
      <c r="A26" s="36" t="inlineStr">
        <is>
          <t>Документ</t>
        </is>
      </c>
      <c r="B26" s="24" t="inlineStr">
        <is>
          <t>Как записано имя файла</t>
        </is>
      </c>
      <c r="C26" s="36" t="inlineStr">
        <is>
          <t>Позиций</t>
        </is>
      </c>
      <c r="D26" s="32" t="n"/>
      <c r="E26" s="32" t="n"/>
      <c r="F26" s="34" t="n"/>
    </row>
    <row r="27">
      <c r="A27" s="32" t="inlineStr">
        <is>
          <t>ПЗУ</t>
        </is>
      </c>
      <c r="B27" s="37" t="inlineStr">
        <is>
          <t>03- 01 07.21П-ПЗУ .pdf</t>
        </is>
      </c>
      <c r="C27" s="32" t="n">
        <v>2</v>
      </c>
      <c r="D27" s="32" t="n"/>
      <c r="E27" s="32" t="n"/>
      <c r="F27" s="34" t="n"/>
    </row>
    <row r="28">
      <c r="A28" s="32" t="inlineStr">
        <is>
          <t>ПЗУ</t>
        </is>
      </c>
      <c r="B28" s="37" t="inlineStr">
        <is>
          <t>03- 01_07.21П-ПЗУ .pdf</t>
        </is>
      </c>
      <c r="C28" s="32" t="n">
        <v>19</v>
      </c>
      <c r="D28" s="32" t="n"/>
      <c r="E28" s="32" t="n"/>
      <c r="F28" s="34" t="n"/>
    </row>
    <row r="29">
      <c r="A29" s="32" t="inlineStr">
        <is>
          <t>ПЗУ</t>
        </is>
      </c>
      <c r="B29" s="37" t="inlineStr">
        <is>
          <t>03-01/07.21П-ПЗУ .pdf</t>
        </is>
      </c>
      <c r="C29" s="32" t="n">
        <v>7</v>
      </c>
      <c r="D29" s="32" t="n"/>
      <c r="E29" s="32" t="n"/>
      <c r="F29" s="34" t="n"/>
    </row>
    <row r="30">
      <c r="A30" s="32" t="inlineStr">
        <is>
          <t>ПЗУ</t>
        </is>
      </c>
      <c r="B30" s="37" t="inlineStr">
        <is>
          <t>03-01_07.21П- ПЗУ.pdf</t>
        </is>
      </c>
      <c r="C30" s="32" t="n">
        <v>2</v>
      </c>
      <c r="D30" s="32" t="n"/>
      <c r="E30" s="32" t="n"/>
      <c r="F30" s="34" t="n"/>
    </row>
    <row r="31">
      <c r="A31" s="32" t="inlineStr">
        <is>
          <t>ПЗУ</t>
        </is>
      </c>
      <c r="B31" s="37" t="inlineStr">
        <is>
          <t>03-01_07.21П-ПЗУ .pdf</t>
        </is>
      </c>
      <c r="C31" s="32" t="n">
        <v>25</v>
      </c>
      <c r="D31" s="32" t="n"/>
      <c r="E31" s="32" t="n"/>
      <c r="F31" s="34" t="n"/>
    </row>
    <row r="32">
      <c r="A32" s="32" t="inlineStr">
        <is>
          <t>ПЗУ</t>
        </is>
      </c>
      <c r="B32" s="37" t="inlineStr">
        <is>
          <t>03-01_07.21П-ПЗУ.pdf</t>
        </is>
      </c>
      <c r="C32" s="32" t="n">
        <v>1</v>
      </c>
      <c r="D32" s="32" t="n"/>
      <c r="E32" s="32" t="n"/>
      <c r="F32" s="34" t="n"/>
    </row>
    <row r="33">
      <c r="A33" s="32" t="inlineStr">
        <is>
          <t>КР</t>
        </is>
      </c>
      <c r="B33" s="37" t="inlineStr">
        <is>
          <t>03- 01_07.21П-КР.pdf</t>
        </is>
      </c>
      <c r="C33" s="32" t="n">
        <v>11</v>
      </c>
      <c r="D33" s="32" t="n"/>
      <c r="E33" s="32" t="n"/>
      <c r="F33" s="34" t="n"/>
    </row>
    <row r="34">
      <c r="A34" s="32" t="inlineStr">
        <is>
          <t>КР</t>
        </is>
      </c>
      <c r="B34" s="37" t="inlineStr">
        <is>
          <t>03-01/07.21П-КР.pdf</t>
        </is>
      </c>
      <c r="C34" s="32" t="n">
        <v>1</v>
      </c>
      <c r="D34" s="32" t="n"/>
      <c r="E34" s="32" t="n"/>
      <c r="F34" s="34" t="n"/>
    </row>
    <row r="35">
      <c r="A35" s="32" t="inlineStr">
        <is>
          <t>КР</t>
        </is>
      </c>
      <c r="B35" s="37" t="inlineStr">
        <is>
          <t>03-01_07.21П-КР.pdf</t>
        </is>
      </c>
      <c r="C35" s="32" t="n">
        <v>8</v>
      </c>
      <c r="D35" s="32" t="n"/>
      <c r="E35" s="32" t="n"/>
      <c r="F35" s="34" t="n"/>
    </row>
    <row r="36">
      <c r="A36" s="32" t="inlineStr">
        <is>
          <t>КР</t>
        </is>
      </c>
      <c r="B36" s="29" t="inlineStr">
        <is>
          <t>Раздел_03- 0107.21П-КР!.pdf</t>
        </is>
      </c>
      <c r="C36" s="32" t="n">
        <v>9</v>
      </c>
      <c r="D36" s="32" t="n"/>
      <c r="E36" s="32" t="n"/>
      <c r="F36" s="34" t="n"/>
    </row>
    <row r="37">
      <c r="A37" s="32" t="inlineStr">
        <is>
          <t>ПОС</t>
        </is>
      </c>
      <c r="B37" s="37" t="inlineStr">
        <is>
          <t>03-01/07.21П-ПОС.pdf</t>
        </is>
      </c>
      <c r="C37" s="32" t="n">
        <v>15</v>
      </c>
      <c r="D37" s="32" t="n"/>
      <c r="E37" s="32" t="n"/>
      <c r="F37" s="34" t="n"/>
    </row>
    <row r="38">
      <c r="A38" s="32" t="inlineStr">
        <is>
          <t>ПОС</t>
        </is>
      </c>
      <c r="B38" s="37" t="inlineStr">
        <is>
          <t>03-01_07.21П-ПОС.pdf</t>
        </is>
      </c>
      <c r="C38" s="32" t="n">
        <v>21</v>
      </c>
      <c r="D38" s="32" t="n"/>
      <c r="E38" s="32" t="n"/>
      <c r="F38" s="34" t="n"/>
    </row>
    <row r="39">
      <c r="A39" s="32" t="inlineStr">
        <is>
          <t>ИОС.4.4</t>
        </is>
      </c>
      <c r="B39" s="37" t="inlineStr">
        <is>
          <t>03- 01 07.21П-ИОС4.4.pdf</t>
        </is>
      </c>
      <c r="C39" s="32" t="n">
        <v>2</v>
      </c>
      <c r="D39" s="32" t="n"/>
      <c r="E39" s="32" t="n"/>
      <c r="F39" s="34" t="n"/>
    </row>
    <row r="40">
      <c r="A40" s="32" t="inlineStr">
        <is>
          <t>ИОС.4.4</t>
        </is>
      </c>
      <c r="B40" s="37" t="inlineStr">
        <is>
          <t>03- 01_07.21П-ИОС4.4.pdf</t>
        </is>
      </c>
      <c r="C40" s="32" t="n">
        <v>8</v>
      </c>
      <c r="D40" s="32" t="n"/>
      <c r="E40" s="32" t="n"/>
      <c r="F40" s="34" t="n"/>
    </row>
    <row r="41">
      <c r="A41" s="32" t="inlineStr">
        <is>
          <t>ИОС.4.4</t>
        </is>
      </c>
      <c r="B41" s="37" t="inlineStr">
        <is>
          <t>03-01/07.21П-ИОС4.4.pdf</t>
        </is>
      </c>
      <c r="C41" s="32" t="n">
        <v>2</v>
      </c>
      <c r="D41" s="32" t="n"/>
      <c r="E41" s="32" t="n"/>
      <c r="F41" s="34" t="n"/>
    </row>
    <row r="42">
      <c r="A42" s="32" t="inlineStr">
        <is>
          <t>ИОС.4.4</t>
        </is>
      </c>
      <c r="B42" s="37" t="inlineStr">
        <is>
          <t>03-01_07.21П- ИОС4.4.pdf</t>
        </is>
      </c>
      <c r="C42" s="32" t="n">
        <v>1</v>
      </c>
      <c r="D42" s="32" t="n"/>
      <c r="E42" s="32" t="n"/>
      <c r="F42" s="34" t="n"/>
    </row>
    <row r="43">
      <c r="A43" s="32" t="inlineStr">
        <is>
          <t>ИОС.4.4</t>
        </is>
      </c>
      <c r="B43" s="37" t="inlineStr">
        <is>
          <t>03-01_07.21П-ИОС4.4.pdf</t>
        </is>
      </c>
      <c r="C43" s="32" t="n">
        <v>1</v>
      </c>
      <c r="D43" s="32" t="n"/>
      <c r="E43" s="32" t="n"/>
      <c r="F43" s="34" t="n"/>
    </row>
    <row r="44">
      <c r="A44" s="32" t="inlineStr">
        <is>
          <t>ИОС.4.4</t>
        </is>
      </c>
      <c r="B44" s="29" t="inlineStr">
        <is>
          <t>03-01_07.21П-ИОС4.4.р#</t>
        </is>
      </c>
      <c r="C44" s="32" t="n">
        <v>1</v>
      </c>
      <c r="D44" s="32" t="n"/>
      <c r="E44" s="32" t="n"/>
      <c r="F44" s="34" t="n"/>
    </row>
    <row r="45">
      <c r="A45" s="32" t="inlineStr">
        <is>
          <t>ИОС.2.1</t>
        </is>
      </c>
      <c r="B45" s="37" t="inlineStr">
        <is>
          <t>03- 01 07.21П-ИОС.2.pdf стр.: 1 2 3 4 5 6</t>
        </is>
      </c>
      <c r="C45" s="32" t="n">
        <v>14</v>
      </c>
      <c r="D45" s="32" t="n"/>
      <c r="E45" s="32" t="n"/>
      <c r="F45" s="34" t="n"/>
    </row>
    <row r="46">
      <c r="A46" s="32" t="inlineStr">
        <is>
          <t>ИОС.2.1</t>
        </is>
      </c>
      <c r="B46" s="37" t="inlineStr">
        <is>
          <t>03- 01_07.21П-ИОС.2.pdf стр.: 1 2 3 4 5 6</t>
        </is>
      </c>
      <c r="C46" s="32" t="n">
        <v>11</v>
      </c>
      <c r="D46" s="32" t="n"/>
      <c r="E46" s="32" t="n"/>
      <c r="F46" s="34" t="n"/>
    </row>
    <row r="47">
      <c r="A47" s="32" t="inlineStr">
        <is>
          <t>ИОС.3.1</t>
        </is>
      </c>
      <c r="B47" s="37" t="inlineStr">
        <is>
          <t>03-01/07.21П-ИОС3.1.pdf</t>
        </is>
      </c>
      <c r="C47" s="32" t="n">
        <v>3</v>
      </c>
      <c r="D47" s="32" t="n"/>
      <c r="E47" s="32" t="n"/>
      <c r="F47" s="34" t="n"/>
    </row>
    <row r="48">
      <c r="A48" s="32" t="inlineStr">
        <is>
          <t>ИОС.3.1</t>
        </is>
      </c>
      <c r="B48" s="37" t="inlineStr">
        <is>
          <t>03-01_07.21П-ИОС3.1.pdf</t>
        </is>
      </c>
      <c r="C48" s="32" t="n">
        <v>6</v>
      </c>
      <c r="D48" s="32" t="n"/>
      <c r="E48" s="32" t="n"/>
      <c r="F48" s="34" t="n"/>
    </row>
    <row r="49">
      <c r="A49" s="32" t="inlineStr">
        <is>
          <t>ПБ2</t>
        </is>
      </c>
      <c r="B49" s="29" t="inlineStr">
        <is>
          <t>03-01_07.21П-nb2.pdf</t>
        </is>
      </c>
      <c r="C49" s="32" t="n">
        <v>1</v>
      </c>
      <c r="D49" s="32" t="n"/>
      <c r="E49" s="32" t="n"/>
      <c r="F49" s="34" t="n"/>
    </row>
    <row r="50">
      <c r="A50" s="32" t="inlineStr">
        <is>
          <t>ПБ2</t>
        </is>
      </c>
      <c r="B50" s="37" t="inlineStr">
        <is>
          <t>03-01_07.21П-ПБ2.pdf</t>
        </is>
      </c>
      <c r="C50" s="32" t="n">
        <v>2</v>
      </c>
      <c r="D50" s="32" t="n"/>
      <c r="E50" s="32" t="n"/>
      <c r="F50" s="34" t="n"/>
    </row>
    <row r="51">
      <c r="A51" s="32" t="inlineStr">
        <is>
          <t>АР.1</t>
        </is>
      </c>
      <c r="B51" s="37" t="inlineStr">
        <is>
          <t>03- 01 07.21П-АР.1.pdf</t>
        </is>
      </c>
      <c r="C51" s="32" t="n">
        <v>5</v>
      </c>
      <c r="D51" s="32" t="n"/>
      <c r="E51" s="32" t="n"/>
      <c r="F51" s="34" t="n"/>
    </row>
    <row r="52">
      <c r="A52" s="32" t="inlineStr">
        <is>
          <t>АР.1</t>
        </is>
      </c>
      <c r="B52" s="37" t="inlineStr">
        <is>
          <t>03- 01_07.21П-АР.1.pdf</t>
        </is>
      </c>
      <c r="C52" s="32" t="n">
        <v>23</v>
      </c>
      <c r="D52" s="32" t="n"/>
      <c r="E52" s="32" t="n"/>
      <c r="F52" s="34" t="n"/>
    </row>
    <row r="53">
      <c r="A53" s="32" t="inlineStr">
        <is>
          <t>АР.1</t>
        </is>
      </c>
      <c r="B53" s="37" t="inlineStr">
        <is>
          <t>03-01_07.21П- АР.1.pdf</t>
        </is>
      </c>
      <c r="C53" s="32" t="n">
        <v>26</v>
      </c>
      <c r="D53" s="32" t="n"/>
      <c r="E53" s="32" t="n"/>
      <c r="F53" s="34" t="n"/>
    </row>
    <row r="54">
      <c r="A54" s="32" t="inlineStr">
        <is>
          <t>АР.1</t>
        </is>
      </c>
      <c r="B54" s="37" t="inlineStr">
        <is>
          <t>03-01_07.21П- АР.1.pdf стр.: 14</t>
        </is>
      </c>
      <c r="C54" s="32" t="n">
        <v>16</v>
      </c>
      <c r="D54" s="32" t="n"/>
      <c r="E54" s="32" t="n"/>
      <c r="F54" s="34" t="n"/>
    </row>
    <row r="55">
      <c r="A55" s="32" t="inlineStr">
        <is>
          <t>АР.1</t>
        </is>
      </c>
      <c r="B55" s="37" t="inlineStr">
        <is>
          <t>03-01_07.21П- АР.1.pdf стр.: 30</t>
        </is>
      </c>
      <c r="C55" s="32" t="n">
        <v>5</v>
      </c>
      <c r="D55" s="32" t="n"/>
      <c r="E55" s="32" t="n"/>
      <c r="F55" s="34" t="n"/>
    </row>
    <row r="56">
      <c r="A56" s="32" t="inlineStr">
        <is>
          <t>АР.1</t>
        </is>
      </c>
      <c r="B56" s="37" t="inlineStr">
        <is>
          <t>03-01_07.21П- АР.1.pdf стр.: 31</t>
        </is>
      </c>
      <c r="C56" s="32" t="n">
        <v>10</v>
      </c>
      <c r="D56" s="32" t="n"/>
      <c r="E56" s="32" t="n"/>
      <c r="F56" s="34" t="n"/>
    </row>
    <row r="57">
      <c r="A57" s="32" t="inlineStr">
        <is>
          <t>АР.1</t>
        </is>
      </c>
      <c r="B57" s="37" t="inlineStr">
        <is>
          <t>03-01_07.21П- АР.1.pdf стр.: 36</t>
        </is>
      </c>
      <c r="C57" s="32" t="n">
        <v>4</v>
      </c>
      <c r="D57" s="32" t="n"/>
      <c r="E57" s="32" t="n"/>
      <c r="F57" s="34" t="n"/>
    </row>
    <row r="58">
      <c r="A58" s="32" t="inlineStr">
        <is>
          <t>АР.1</t>
        </is>
      </c>
      <c r="B58" s="37" t="inlineStr">
        <is>
          <t>03-01_07.21П- АР.1.pdf стр.: 41</t>
        </is>
      </c>
      <c r="C58" s="32" t="n">
        <v>9</v>
      </c>
      <c r="D58" s="32" t="n"/>
      <c r="E58" s="32" t="n"/>
      <c r="F58" s="34" t="n"/>
    </row>
    <row r="59">
      <c r="A59" s="32" t="inlineStr">
        <is>
          <t>АР.1</t>
        </is>
      </c>
      <c r="B59" s="37" t="inlineStr">
        <is>
          <t>03-01_07.21П-АР.1.pdf</t>
        </is>
      </c>
      <c r="C59" s="32" t="n">
        <v>1</v>
      </c>
      <c r="D59" s="32" t="n"/>
      <c r="E59" s="32" t="n"/>
      <c r="F59" s="34" t="n"/>
    </row>
    <row r="60">
      <c r="A60" s="32" t="inlineStr">
        <is>
          <t>ТХ.2</t>
        </is>
      </c>
      <c r="B60" s="37" t="inlineStr">
        <is>
          <t>03-01_07.21П-ТХ.2.pdf</t>
        </is>
      </c>
      <c r="C60" s="32" t="n">
        <v>2</v>
      </c>
      <c r="D60" s="32" t="n"/>
      <c r="E60" s="32" t="n"/>
      <c r="F60" s="34" t="n"/>
    </row>
    <row r="61">
      <c r="A61" s="32" t="inlineStr">
        <is>
          <t>ТХ.2</t>
        </is>
      </c>
      <c r="B61" s="37" t="inlineStr">
        <is>
          <t>03-01_07.21П—ТХ.2.pdf</t>
        </is>
      </c>
      <c r="C61" s="32" t="n">
        <v>1</v>
      </c>
      <c r="D61" s="32" t="n"/>
      <c r="E61" s="32" t="n"/>
      <c r="F61" s="34" t="n"/>
    </row>
    <row r="62">
      <c r="A62" s="32" t="inlineStr">
        <is>
          <t>ТХ.2</t>
        </is>
      </c>
      <c r="B62" s="29" t="inlineStr">
        <is>
          <t>Раздел_03-0107.21П ТХ.2!.pdf</t>
        </is>
      </c>
      <c r="C62" s="32" t="n">
        <v>8</v>
      </c>
      <c r="D62" s="32" t="n"/>
      <c r="E62" s="32" t="n"/>
      <c r="F62" s="3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4" customWidth="1" min="1" max="1"/>
    <col width="10" customWidth="1" min="2" max="2"/>
    <col width="10" customWidth="1" min="3" max="3"/>
    <col width="11" customWidth="1" min="4" max="4"/>
    <col width="12" customWidth="1" min="5" max="5"/>
    <col width="20" customWidth="1" min="6" max="6"/>
    <col width="11" customWidth="1" min="7" max="7"/>
  </cols>
  <sheetData>
    <row r="1" ht="30" customHeight="1">
      <c r="A1" s="7" t="inlineStr">
        <is>
          <t>Раздел</t>
        </is>
      </c>
      <c r="B1" s="7" t="inlineStr">
        <is>
          <t>Позиций</t>
        </is>
      </c>
      <c r="C1" s="7" t="inlineStr">
        <is>
          <t>С ценой</t>
        </is>
      </c>
      <c r="D1" s="7" t="inlineStr">
        <is>
          <t>БЕЗ цены</t>
        </is>
      </c>
      <c r="E1" s="7" t="inlineStr">
        <is>
          <t>% без цены</t>
        </is>
      </c>
      <c r="F1" s="7" t="inlineStr">
        <is>
          <t>Сумма, руб. с НДС</t>
        </is>
      </c>
      <c r="G1" s="7" t="inlineStr">
        <is>
          <t>Доля суммы</t>
        </is>
      </c>
    </row>
    <row r="2">
      <c r="A2" s="8" t="inlineStr">
        <is>
          <t>ЛОГИСТИКА — ПЕРЕВОЗКА ГРУЗОВ (наша, точка А → точка Б; из ВОРов)</t>
        </is>
      </c>
      <c r="B2" s="9" t="n">
        <v>15</v>
      </c>
      <c r="C2" s="9" t="n">
        <v>15</v>
      </c>
      <c r="D2" s="9" t="n">
        <v>0</v>
      </c>
      <c r="E2" s="10">
        <f>IF(B2=0,0,D2/B2)</f>
        <v/>
      </c>
      <c r="F2" s="11" t="n">
        <v>35451480.6</v>
      </c>
      <c r="G2" s="10">
        <f>IF($F$23=0,0,F2/$F$23)</f>
        <v/>
      </c>
    </row>
    <row r="3">
      <c r="A3" s="8" t="inlineStr">
        <is>
          <t>Электрооборудование 03-01/07.21П-ИОС-1.1.СО</t>
        </is>
      </c>
      <c r="B3" s="9" t="n">
        <v>80</v>
      </c>
      <c r="C3" s="9" t="n">
        <v>80</v>
      </c>
      <c r="D3" s="9" t="n">
        <v>0</v>
      </c>
      <c r="E3" s="10">
        <f>IF(B3=0,0,D3/B3)</f>
        <v/>
      </c>
      <c r="F3" s="11" t="n">
        <v>27700704.4314</v>
      </c>
      <c r="G3" s="10">
        <f>IF($F$23=0,0,F3/$F$23)</f>
        <v/>
      </c>
    </row>
    <row r="4">
      <c r="A4" s="8" t="inlineStr">
        <is>
          <t>Электрическое освещение 03-01/07.21П-ИОС-1.2.СО</t>
        </is>
      </c>
      <c r="B4" s="9" t="n">
        <v>47</v>
      </c>
      <c r="C4" s="9" t="n">
        <v>40</v>
      </c>
      <c r="D4" s="9" t="n">
        <v>7</v>
      </c>
      <c r="E4" s="10">
        <f>IF(B4=0,0,D4/B4)</f>
        <v/>
      </c>
      <c r="F4" s="11" t="n">
        <v>20598599.1544</v>
      </c>
      <c r="G4" s="10">
        <f>IF($F$23=0,0,F4/$F$23)</f>
        <v/>
      </c>
    </row>
    <row r="5">
      <c r="A5" s="12" t="inlineStr">
        <is>
          <t>Молниезащита и заземление 03-01/07.21П-ИОС-1.3.СО</t>
        </is>
      </c>
      <c r="B5" s="13" t="n">
        <v>7</v>
      </c>
      <c r="C5" s="13" t="n">
        <v>0</v>
      </c>
      <c r="D5" s="13" t="n">
        <v>7</v>
      </c>
      <c r="E5" s="14">
        <f>IF(B5=0,0,D5/B5)</f>
        <v/>
      </c>
      <c r="F5" s="15" t="n">
        <v>0</v>
      </c>
      <c r="G5" s="14">
        <f>IF($F$23=0,0,F5/$F$23)</f>
        <v/>
      </c>
    </row>
    <row r="6">
      <c r="A6" s="8" t="inlineStr">
        <is>
          <t>Наружное электроосвещение 03-01/07.21П-ИОС-1.4.СО</t>
        </is>
      </c>
      <c r="B6" s="9" t="n">
        <v>43</v>
      </c>
      <c r="C6" s="9" t="n">
        <v>25</v>
      </c>
      <c r="D6" s="9" t="n">
        <v>18</v>
      </c>
      <c r="E6" s="10">
        <f>IF(B6=0,0,D6/B6)</f>
        <v/>
      </c>
      <c r="F6" s="11" t="n">
        <v>16871182.15</v>
      </c>
      <c r="G6" s="10">
        <f>IF($F$23=0,0,F6/$F$23)</f>
        <v/>
      </c>
    </row>
    <row r="7">
      <c r="A7" s="12" t="inlineStr">
        <is>
          <t>Внешние сети электроснабжения от БКТП-10/0,4 кВ до ВРУ 0,4 кВ 03-01/07.21П-ИОС-1.5.СО</t>
        </is>
      </c>
      <c r="B7" s="13" t="n">
        <v>8</v>
      </c>
      <c r="C7" s="13" t="n">
        <v>2</v>
      </c>
      <c r="D7" s="13" t="n">
        <v>6</v>
      </c>
      <c r="E7" s="14">
        <f>IF(B7=0,0,D7/B7)</f>
        <v/>
      </c>
      <c r="F7" s="15" t="n">
        <v>6463400</v>
      </c>
      <c r="G7" s="14">
        <f>IF($F$23=0,0,F7/$F$23)</f>
        <v/>
      </c>
    </row>
    <row r="8">
      <c r="A8" s="8" t="inlineStr">
        <is>
          <t>Водоснабжение 03-01/07.21П-ИОС-2.1.СО</t>
        </is>
      </c>
      <c r="B8" s="9" t="n">
        <v>161</v>
      </c>
      <c r="C8" s="9" t="n">
        <v>58</v>
      </c>
      <c r="D8" s="9" t="n">
        <v>103</v>
      </c>
      <c r="E8" s="10">
        <f>IF(B8=0,0,D8/B8)</f>
        <v/>
      </c>
      <c r="F8" s="11" t="n">
        <v>7911469.289999999</v>
      </c>
      <c r="G8" s="10">
        <f>IF($F$23=0,0,F8/$F$23)</f>
        <v/>
      </c>
    </row>
    <row r="9">
      <c r="A9" s="8" t="inlineStr">
        <is>
          <t>Часть 1. Канализация К1 (наружная) 03-01/07.21П-ИОС3.1.ГЧ.СО</t>
        </is>
      </c>
      <c r="B9" s="9" t="n">
        <v>21</v>
      </c>
      <c r="C9" s="9" t="n">
        <v>9</v>
      </c>
      <c r="D9" s="9" t="n">
        <v>12</v>
      </c>
      <c r="E9" s="10">
        <f>IF(B9=0,0,D9/B9)</f>
        <v/>
      </c>
      <c r="F9" s="11" t="n">
        <v>3371139</v>
      </c>
      <c r="G9" s="10">
        <f>IF($F$23=0,0,F9/$F$23)</f>
        <v/>
      </c>
    </row>
    <row r="10">
      <c r="A10" s="12" t="inlineStr">
        <is>
          <t>Часть 2. Дренаж 03-01/07.21П-ИОС3.2.СО</t>
        </is>
      </c>
      <c r="B10" s="13" t="n">
        <v>5</v>
      </c>
      <c r="C10" s="13" t="n">
        <v>1</v>
      </c>
      <c r="D10" s="13" t="n">
        <v>4</v>
      </c>
      <c r="E10" s="14">
        <f>IF(B10=0,0,D10/B10)</f>
        <v/>
      </c>
      <c r="F10" s="15" t="n">
        <v>157572</v>
      </c>
      <c r="G10" s="14">
        <f>IF($F$23=0,0,F10/$F$23)</f>
        <v/>
      </c>
    </row>
    <row r="11">
      <c r="A11" s="8" t="inlineStr">
        <is>
          <t>Часть 1. Отопление 03-01/07.21П-ИОС4.1.СО</t>
        </is>
      </c>
      <c r="B11" s="9" t="n">
        <v>112</v>
      </c>
      <c r="C11" s="9" t="n">
        <v>67</v>
      </c>
      <c r="D11" s="9" t="n">
        <v>45</v>
      </c>
      <c r="E11" s="10">
        <f>IF(B11=0,0,D11/B11)</f>
        <v/>
      </c>
      <c r="F11" s="11" t="n">
        <v>6546649</v>
      </c>
      <c r="G11" s="10">
        <f>IF($F$23=0,0,F11/$F$23)</f>
        <v/>
      </c>
    </row>
    <row r="12">
      <c r="A12" s="8" t="inlineStr">
        <is>
          <t>Часть 2. Вентиляция и кондиционирование 03-01/07.21П-ИОС.4.2.СО</t>
        </is>
      </c>
      <c r="B12" s="9" t="n">
        <v>664</v>
      </c>
      <c r="C12" s="9" t="n">
        <v>248</v>
      </c>
      <c r="D12" s="9" t="n">
        <v>416</v>
      </c>
      <c r="E12" s="10">
        <f>IF(B12=0,0,D12/B12)</f>
        <v/>
      </c>
      <c r="F12" s="11" t="n">
        <v>91124822.19500004</v>
      </c>
      <c r="G12" s="10">
        <f>IF($F$23=0,0,F12/$F$23)</f>
        <v/>
      </c>
    </row>
    <row r="13">
      <c r="A13" s="8" t="inlineStr">
        <is>
          <t>Часть 3. Индивидуальный тепловой пункт (ИТП) 03-01/07.21П-ИОС.4.3.СО</t>
        </is>
      </c>
      <c r="B13" s="9" t="n">
        <v>117</v>
      </c>
      <c r="C13" s="9" t="n">
        <v>63</v>
      </c>
      <c r="D13" s="9" t="n">
        <v>54</v>
      </c>
      <c r="E13" s="10">
        <f>IF(B13=0,0,D13/B13)</f>
        <v/>
      </c>
      <c r="F13" s="11" t="n">
        <v>18062395.34</v>
      </c>
      <c r="G13" s="10">
        <f>IF($F$23=0,0,F13/$F$23)</f>
        <v/>
      </c>
    </row>
    <row r="14">
      <c r="A14" s="12" t="inlineStr">
        <is>
          <t>Часть 4. Наружные сети теплоснабжения 03-01/07.21П-ИОС.4.4.СО</t>
        </is>
      </c>
      <c r="B14" s="13" t="n">
        <v>142</v>
      </c>
      <c r="C14" s="13" t="n">
        <v>8</v>
      </c>
      <c r="D14" s="13" t="n">
        <v>134</v>
      </c>
      <c r="E14" s="14">
        <f>IF(B14=0,0,D14/B14)</f>
        <v/>
      </c>
      <c r="F14" s="15" t="n">
        <v>68309.8</v>
      </c>
      <c r="G14" s="14">
        <f>IF($F$23=0,0,F14/$F$23)</f>
        <v/>
      </c>
    </row>
    <row r="15">
      <c r="A15" s="8" t="inlineStr">
        <is>
          <t>Часть 1. Сети связи (СКС, ЛВС, ТФ) 03-01/07.21П-ИОС.5.1.СО</t>
        </is>
      </c>
      <c r="B15" s="9" t="n">
        <v>363</v>
      </c>
      <c r="C15" s="9" t="n">
        <v>123</v>
      </c>
      <c r="D15" s="9" t="n">
        <v>240</v>
      </c>
      <c r="E15" s="10">
        <f>IF(B15=0,0,D15/B15)</f>
        <v/>
      </c>
      <c r="F15" s="11" t="n">
        <v>8744651.274</v>
      </c>
      <c r="G15" s="10">
        <f>IF($F$23=0,0,F15/$F$23)</f>
        <v/>
      </c>
    </row>
    <row r="16">
      <c r="A16" s="8" t="inlineStr">
        <is>
          <t>Часть 2. Комплексные системы безопасности 03-01/07.21П-ИОС.5.2.СО</t>
        </is>
      </c>
      <c r="B16" s="9" t="n">
        <v>240</v>
      </c>
      <c r="C16" s="9" t="n">
        <v>116</v>
      </c>
      <c r="D16" s="9" t="n">
        <v>124</v>
      </c>
      <c r="E16" s="10">
        <f>IF(B16=0,0,D16/B16)</f>
        <v/>
      </c>
      <c r="F16" s="11" t="n">
        <v>10234252.81000001</v>
      </c>
      <c r="G16" s="10">
        <f>IF($F$23=0,0,F16/$F$23)</f>
        <v/>
      </c>
    </row>
    <row r="17">
      <c r="A17" s="12" t="inlineStr">
        <is>
          <t>Часть 3. Автоматизация и диспетчеризация 03-01/07.21П-ИОС.5.3.СО</t>
        </is>
      </c>
      <c r="B17" s="13" t="n">
        <v>241</v>
      </c>
      <c r="C17" s="13" t="n">
        <v>7</v>
      </c>
      <c r="D17" s="13" t="n">
        <v>234</v>
      </c>
      <c r="E17" s="14">
        <f>IF(B17=0,0,D17/B17)</f>
        <v/>
      </c>
      <c r="F17" s="15" t="n">
        <v>2219910.4</v>
      </c>
      <c r="G17" s="14">
        <f>IF($F$23=0,0,F17/$F$23)</f>
        <v/>
      </c>
    </row>
    <row r="18">
      <c r="A18" s="8" t="inlineStr">
        <is>
          <t>ПБ2. ПОЖАРНАЯ СИГНАЛИЗАЦИЯ И ОПОВЕЩЕНИЕ (03-01/07.21П-ПБ2.СО)</t>
        </is>
      </c>
      <c r="B18" s="9" t="n">
        <v>66</v>
      </c>
      <c r="C18" s="9" t="n">
        <v>27</v>
      </c>
      <c r="D18" s="9" t="n">
        <v>39</v>
      </c>
      <c r="E18" s="10">
        <f>IF(B18=0,0,D18/B18)</f>
        <v/>
      </c>
      <c r="F18" s="11" t="n">
        <v>2657505.46</v>
      </c>
      <c r="G18" s="10">
        <f>IF($F$23=0,0,F18/$F$23)</f>
        <v/>
      </c>
    </row>
    <row r="19">
      <c r="A19" s="8" t="inlineStr">
        <is>
          <t>ТХ.2. ОБОРУДОВАНИЕ, МЕБЕЛЬ И ИНВЕНТАРЬ ПО ПОМЕЩЕНИЯМ (03-01/07.21П-ТХ.2.СО)</t>
        </is>
      </c>
      <c r="B19" s="9" t="n">
        <v>1152</v>
      </c>
      <c r="C19" s="9" t="n">
        <v>552</v>
      </c>
      <c r="D19" s="9" t="n">
        <v>600</v>
      </c>
      <c r="E19" s="10">
        <f>IF(B19=0,0,D19/B19)</f>
        <v/>
      </c>
      <c r="F19" s="11" t="n">
        <v>43492220</v>
      </c>
      <c r="G19" s="10">
        <f>IF($F$23=0,0,F19/$F$23)</f>
        <v/>
      </c>
    </row>
    <row r="20">
      <c r="A20" s="12" t="inlineStr">
        <is>
          <t>ТХ.4. ХОЛОДОСНАБЖЕНИЕ ЛЕДОВЫХ ПОЛЕЙ (03-01/07.21П-ТХ.4.СО)</t>
        </is>
      </c>
      <c r="B20" s="13" t="n">
        <v>157</v>
      </c>
      <c r="C20" s="13" t="n">
        <v>3</v>
      </c>
      <c r="D20" s="13" t="n">
        <v>154</v>
      </c>
      <c r="E20" s="14">
        <f>IF(B20=0,0,D20/B20)</f>
        <v/>
      </c>
      <c r="F20" s="15" t="n">
        <v>24396000</v>
      </c>
      <c r="G20" s="14">
        <f>IF($F$23=0,0,F20/$F$23)</f>
        <v/>
      </c>
    </row>
    <row r="21">
      <c r="A21" s="8" t="inlineStr">
        <is>
          <t>МАТЕРИАЛЫ ИЗ ВОРов ПО ДИСЦИПЛИНАМ, ОТСУТСТВУЮЩИМ В СО (в спецификацию не входят целыми разделами)</t>
        </is>
      </c>
      <c r="B21" s="9" t="n">
        <v>191</v>
      </c>
      <c r="C21" s="9" t="n">
        <v>152</v>
      </c>
      <c r="D21" s="9" t="n">
        <v>39</v>
      </c>
      <c r="E21" s="10">
        <f>IF(B21=0,0,D21/B21)</f>
        <v/>
      </c>
      <c r="F21" s="11" t="n">
        <v>1116623754.75834</v>
      </c>
      <c r="G21" s="10">
        <f>IF($F$23=0,0,F21/$F$23)</f>
        <v/>
      </c>
    </row>
    <row r="22">
      <c r="A22" s="8" t="inlineStr">
        <is>
          <t>ОБЩЕСТРОИТЕЛЬНЫЕ / ВСПОМОГАТЕЛЬНЫЕ МАТЕРИАЛЫ ИЗ ВОРа (земляные работы, ПОС) — в спецификацию обычно не входят</t>
        </is>
      </c>
      <c r="B22" s="9" t="n">
        <v>43</v>
      </c>
      <c r="C22" s="9" t="n">
        <v>23</v>
      </c>
      <c r="D22" s="9" t="n">
        <v>20</v>
      </c>
      <c r="E22" s="10">
        <f>IF(B22=0,0,D22/B22)</f>
        <v/>
      </c>
      <c r="F22" s="11" t="n">
        <v>5832200.689999999</v>
      </c>
      <c r="G22" s="10">
        <f>IF($F$23=0,0,F22/$F$23)</f>
        <v/>
      </c>
    </row>
    <row r="23">
      <c r="A23" s="16" t="inlineStr">
        <is>
          <t>ИТОГО</t>
        </is>
      </c>
      <c r="B23" s="17">
        <f>SUM(B2:B22)</f>
        <v/>
      </c>
      <c r="C23" s="17">
        <f>SUM(C2:C22)</f>
        <v/>
      </c>
      <c r="D23" s="17">
        <f>SUM(D2:D22)</f>
        <v/>
      </c>
      <c r="E23" s="9" t="n"/>
      <c r="F23" s="18">
        <f>SUM(F2:F22)</f>
        <v/>
      </c>
      <c r="G23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9" customWidth="1" min="3" max="3"/>
    <col width="52" customWidth="1" min="4" max="4"/>
    <col width="17" customWidth="1" min="5" max="5"/>
    <col width="14" customWidth="1" min="6" max="6"/>
    <col width="14" customWidth="1" min="7" max="7"/>
    <col width="62" customWidth="1" min="8" max="8"/>
  </cols>
  <sheetData>
    <row r="1">
      <c r="A1" s="19" t="inlineStr">
        <is>
          <t>РАСХОЖДЕНИЯ ИТОГОВОГО С ИСХОДНЫМ СВОДНЫМ ВОРом</t>
        </is>
      </c>
    </row>
    <row r="3" ht="30" customHeight="1">
      <c r="A3" s="7" t="inlineStr">
        <is>
          <t>Строка итогового</t>
        </is>
      </c>
      <c r="B3" s="7" t="inlineStr">
        <is>
          <t>№ ВОР</t>
        </is>
      </c>
      <c r="C3" s="7" t="inlineStr">
        <is>
          <t>№ п/п</t>
        </is>
      </c>
      <c r="D3" s="7" t="inlineStr">
        <is>
          <t>Наименование</t>
        </is>
      </c>
      <c r="E3" s="7" t="inlineStr">
        <is>
          <t>Что не сходится</t>
        </is>
      </c>
      <c r="F3" s="7" t="inlineStr">
        <is>
          <t>В итоговом</t>
        </is>
      </c>
      <c r="G3" s="7" t="inlineStr">
        <is>
          <t>В ВОРе</t>
        </is>
      </c>
      <c r="H3" s="7" t="inlineStr">
        <is>
          <t>Комментарий</t>
        </is>
      </c>
    </row>
    <row r="4">
      <c r="A4" s="20" t="n">
        <v>2490</v>
      </c>
      <c r="B4" s="20" t="inlineStr">
        <is>
          <t>02-01-13</t>
        </is>
      </c>
      <c r="C4" s="20" t="inlineStr">
        <is>
          <t>79</t>
        </is>
      </c>
      <c r="D4" s="21" t="inlineStr">
        <is>
          <t>Звонок</t>
        </is>
      </c>
      <c r="E4" s="20" t="inlineStr">
        <is>
          <t>КОЛИЧЕСТВО</t>
        </is>
      </c>
      <c r="F4" s="20" t="n">
        <v>9</v>
      </c>
      <c r="G4" s="20" t="n">
        <v>50</v>
      </c>
      <c r="H4" s="21" t="inlineStr">
        <is>
          <t>В ВОРе под №79 другая позиция: «Кабель парной скрутки К11Сш (A)-FIR IF 1х2х0,75». Ссылка на номер строки ВОРа неверная.</t>
        </is>
      </c>
    </row>
    <row r="5">
      <c r="A5" s="20" t="n">
        <v>4241</v>
      </c>
      <c r="B5" s="20" t="inlineStr">
        <is>
          <t>07-01-02</t>
        </is>
      </c>
      <c r="C5" s="20" t="inlineStr">
        <is>
          <t>15</t>
        </is>
      </c>
      <c r="D5" s="21" t="inlineStr">
        <is>
          <t>Геополотно нетканое полипропиленовое, иглопробивное, термоскрепленное, поверхностная плотность 600 г/м2</t>
        </is>
      </c>
      <c r="E5" s="20" t="inlineStr">
        <is>
          <t>ЦЕНА</t>
        </is>
      </c>
      <c r="F5" s="20" t="n">
        <v>108</v>
      </c>
      <c r="G5" s="20" t="n">
        <v>300</v>
      </c>
      <c r="H5" s="21" t="inlineStr">
        <is>
          <t>Количество сходится (22346.4). Цена в итоговом ниже ВОРа в 2.8 раза; сумма меняется на 4 290 509 руб.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26" topLeftCell="A27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72" customWidth="1" min="4" max="4"/>
    <col width="54" customWidth="1" min="5" max="5"/>
  </cols>
  <sheetData>
    <row r="1">
      <c r="A1" s="19" t="inlineStr">
        <is>
          <t>ЛАТИНИЦА ВНУТРИ РУССКИХ СЛОВ — ломает поиск и фильтр</t>
        </is>
      </c>
    </row>
    <row r="3" ht="30" customHeight="1">
      <c r="A3" s="7" t="inlineStr">
        <is>
          <t>Колонка</t>
        </is>
      </c>
      <c r="B3" s="7" t="inlineStr">
        <is>
          <t>Как написано</t>
        </is>
      </c>
      <c r="C3" s="7" t="inlineStr">
        <is>
          <t>Ячеек</t>
        </is>
      </c>
      <c r="D3" s="7" t="inlineStr">
        <is>
          <t>Строки</t>
        </is>
      </c>
      <c r="E3" s="7" t="inlineStr">
        <is>
          <t>Чем плохо</t>
        </is>
      </c>
    </row>
    <row r="4">
      <c r="A4" s="13" t="inlineStr">
        <is>
          <t>B</t>
        </is>
      </c>
      <c r="B4" s="13" t="inlineStr">
        <is>
          <t>РN</t>
        </is>
      </c>
      <c r="C4" s="13" t="n">
        <v>59</v>
      </c>
      <c r="D4" s="12" t="inlineStr">
        <is>
          <t>1153, 1236, 1245, 1248, 1250, 1251, 1252, 1253, 1256, 1260, 1264, 1267, 1268, 1269, 1270, 1271, 1272, 1273, 1277, 1280, 1282, 1284, 1285, 1286, 1287, 1288, 1289, 1290 …</t>
        </is>
      </c>
      <c r="E4" s="12" t="inlineStr">
        <is>
          <t>латинские «N» вперемешку с русскими «Р» — поиск по одному алфавиту эти строки не найдёт</t>
        </is>
      </c>
    </row>
    <row r="5">
      <c r="A5" s="13" t="inlineStr">
        <is>
          <t>B</t>
        </is>
      </c>
      <c r="B5" s="13" t="inlineStr">
        <is>
          <t>Lп</t>
        </is>
      </c>
      <c r="C5" s="13" t="n">
        <v>18</v>
      </c>
      <c r="D5" s="12" t="inlineStr">
        <is>
          <t>1237, 1238, 1239, 1240, 1258, 1259, 1275, 1276, 1297, 1298, 1299, 1317, 1318, 1327, 1336, 1337, 2226, 2227</t>
        </is>
      </c>
      <c r="E5" s="12" t="inlineStr">
        <is>
          <t>латинские «L» вперемешку с русскими «п» — поиск по одному алфавиту эти строки не найдёт</t>
        </is>
      </c>
    </row>
    <row r="6">
      <c r="A6" s="13" t="inlineStr">
        <is>
          <t>E</t>
        </is>
      </c>
      <c r="B6" s="13" t="inlineStr">
        <is>
          <t>Rockwoоl</t>
        </is>
      </c>
      <c r="C6" s="13" t="n">
        <v>7</v>
      </c>
      <c r="D6" s="12" t="inlineStr">
        <is>
          <t>532, 533, 534, 535, 536, 537, 538</t>
        </is>
      </c>
      <c r="E6" s="12" t="inlineStr">
        <is>
          <t>латинские «Rockwol» вперемешку с русскими «о» — поиск по одному алфавиту эти строки не найдёт</t>
        </is>
      </c>
    </row>
    <row r="7">
      <c r="A7" s="13" t="inlineStr">
        <is>
          <t>B</t>
        </is>
      </c>
      <c r="B7" s="13" t="inlineStr">
        <is>
          <t>KWпарогенератор</t>
        </is>
      </c>
      <c r="C7" s="13" t="n">
        <v>6</v>
      </c>
      <c r="D7" s="12" t="inlineStr">
        <is>
          <t>2792, 2823, 2854, 2885, 2916, 2947</t>
        </is>
      </c>
      <c r="E7" s="12" t="inlineStr">
        <is>
          <t>латинские «KW» вперемешку с русскими «парогенератор» — поиск по одному алфавиту эти строки не найдёт</t>
        </is>
      </c>
    </row>
    <row r="8">
      <c r="A8" s="13" t="inlineStr">
        <is>
          <t>A</t>
        </is>
      </c>
      <c r="B8" s="13" t="inlineStr">
        <is>
          <t>ТT</t>
        </is>
      </c>
      <c r="C8" s="13" t="n">
        <v>5</v>
      </c>
      <c r="D8" s="12" t="inlineStr">
        <is>
          <t>1237, 1258, 1275, 1297, 1317</t>
        </is>
      </c>
      <c r="E8" s="12" t="inlineStr">
        <is>
          <t>латинские «T» вперемешку с русскими «Т» — поиск по одному алфавиту эти строки не найдёт</t>
        </is>
      </c>
    </row>
    <row r="9">
      <c r="A9" s="13" t="inlineStr">
        <is>
          <t>B</t>
        </is>
      </c>
      <c r="B9" s="13" t="inlineStr">
        <is>
          <t>Gвр</t>
        </is>
      </c>
      <c r="C9" s="13" t="n">
        <v>4</v>
      </c>
      <c r="D9" s="12" t="inlineStr">
        <is>
          <t>1430, 1430, 1484, 1484</t>
        </is>
      </c>
      <c r="E9" s="12" t="inlineStr">
        <is>
          <t>латинские «G» вперемешку с русскими «вр» — поиск по одному алфавиту эти строки не найдёт</t>
        </is>
      </c>
    </row>
    <row r="10">
      <c r="A10" s="13" t="inlineStr">
        <is>
          <t>C</t>
        </is>
      </c>
      <c r="B10" s="13" t="inlineStr">
        <is>
          <t>КA</t>
        </is>
      </c>
      <c r="C10" s="13" t="n">
        <v>3</v>
      </c>
      <c r="D10" s="12" t="inlineStr">
        <is>
          <t>1955, 1968, 1997</t>
        </is>
      </c>
      <c r="E10" s="12" t="inlineStr">
        <is>
          <t>латинские «A» вперемешку с русскими «К» — поиск по одному алфавиту эти строки не найдёт</t>
        </is>
      </c>
    </row>
    <row r="11">
      <c r="A11" s="13" t="inlineStr">
        <is>
          <t>B</t>
        </is>
      </c>
      <c r="B11" s="13" t="inlineStr">
        <is>
          <t>хFXS</t>
        </is>
      </c>
      <c r="C11" s="13" t="n">
        <v>2</v>
      </c>
      <c r="D11" s="12" t="inlineStr">
        <is>
          <t>1557, 1606</t>
        </is>
      </c>
      <c r="E11" s="12" t="inlineStr">
        <is>
          <t>латинские «FXS» вперемешку с русскими «х» — поиск по одному алфавиту эти строки не найдёт</t>
        </is>
      </c>
    </row>
    <row r="12">
      <c r="A12" s="13" t="inlineStr">
        <is>
          <t>B</t>
        </is>
      </c>
      <c r="B12" s="13" t="inlineStr">
        <is>
          <t>хRJ</t>
        </is>
      </c>
      <c r="C12" s="13" t="n">
        <v>2</v>
      </c>
      <c r="D12" s="12" t="inlineStr">
        <is>
          <t>1557, 1606</t>
        </is>
      </c>
      <c r="E12" s="12" t="inlineStr">
        <is>
          <t>латинские «RJ» вперемешку с русскими «х» — поиск по одному алфавиту эти строки не найдёт</t>
        </is>
      </c>
    </row>
    <row r="13">
      <c r="A13" s="13" t="inlineStr">
        <is>
          <t>K</t>
        </is>
      </c>
      <c r="B13" s="13" t="inlineStr">
        <is>
          <t>ТE</t>
        </is>
      </c>
      <c r="C13" s="13" t="n">
        <v>2</v>
      </c>
      <c r="D13" s="12" t="inlineStr">
        <is>
          <t>2226, 2226</t>
        </is>
      </c>
      <c r="E13" s="12" t="inlineStr">
        <is>
          <t>латинские «E» вперемешку с русскими «Т» — поиск по одному алфавиту эти строки не найдёт</t>
        </is>
      </c>
    </row>
    <row r="14">
      <c r="A14" s="13" t="inlineStr">
        <is>
          <t>K</t>
        </is>
      </c>
      <c r="B14" s="13" t="inlineStr">
        <is>
          <t>РE</t>
        </is>
      </c>
      <c r="C14" s="13" t="n">
        <v>2</v>
      </c>
      <c r="D14" s="12" t="inlineStr">
        <is>
          <t>2228, 2228</t>
        </is>
      </c>
      <c r="E14" s="12" t="inlineStr">
        <is>
          <t>латинские «E» вперемешку с русскими «Р» — поиск по одному алфавиту эти строки не найдёт</t>
        </is>
      </c>
    </row>
    <row r="15">
      <c r="A15" s="13" t="inlineStr">
        <is>
          <t>B</t>
        </is>
      </c>
      <c r="B15" s="13" t="inlineStr">
        <is>
          <t>xГб</t>
        </is>
      </c>
      <c r="C15" s="13" t="n">
        <v>2</v>
      </c>
      <c r="D15" s="12" t="inlineStr">
        <is>
          <t>2317, 2320</t>
        </is>
      </c>
      <c r="E15" s="12" t="inlineStr">
        <is>
          <t>латинские «x» вперемешку с русскими «Гб» — поиск по одному алфавиту эти строки не найдёт</t>
        </is>
      </c>
    </row>
    <row r="16">
      <c r="A16" s="13" t="inlineStr">
        <is>
          <t>C</t>
        </is>
      </c>
      <c r="B16" s="13" t="inlineStr">
        <is>
          <t>ВСХНd</t>
        </is>
      </c>
      <c r="C16" s="13" t="n">
        <v>1</v>
      </c>
      <c r="D16" s="12" t="inlineStr">
        <is>
          <t>262</t>
        </is>
      </c>
      <c r="E16" s="12" t="inlineStr">
        <is>
          <t>латинские «d» вперемешку с русскими «ВСХН» — поиск по одному алфавиту эти строки не найдёт</t>
        </is>
      </c>
    </row>
    <row r="17">
      <c r="A17" s="13" t="inlineStr">
        <is>
          <t>B</t>
        </is>
      </c>
      <c r="B17" s="13" t="inlineStr">
        <is>
          <t>хEthernet</t>
        </is>
      </c>
      <c r="C17" s="13" t="n">
        <v>1</v>
      </c>
      <c r="D17" s="12" t="inlineStr">
        <is>
          <t>1571</t>
        </is>
      </c>
      <c r="E17" s="12" t="inlineStr">
        <is>
          <t>латинские «Ethernet» вперемешку с русскими «х» — поиск по одному алфавиту эти строки не найдёт</t>
        </is>
      </c>
    </row>
    <row r="18">
      <c r="A18" s="13" t="inlineStr">
        <is>
          <t>B</t>
        </is>
      </c>
      <c r="B18" s="13" t="inlineStr">
        <is>
          <t>хRS</t>
        </is>
      </c>
      <c r="C18" s="13" t="n">
        <v>1</v>
      </c>
      <c r="D18" s="12" t="inlineStr">
        <is>
          <t>1571</t>
        </is>
      </c>
      <c r="E18" s="12" t="inlineStr">
        <is>
          <t>латинские «RS» вперемешку с русскими «х» — поиск по одному алфавиту эти строки не найдёт</t>
        </is>
      </c>
    </row>
    <row r="19">
      <c r="A19" s="13" t="inlineStr">
        <is>
          <t>B</t>
        </is>
      </c>
      <c r="B19" s="13" t="inlineStr">
        <is>
          <t>Sсhuko</t>
        </is>
      </c>
      <c r="C19" s="13" t="n">
        <v>1</v>
      </c>
      <c r="D19" s="12" t="inlineStr">
        <is>
          <t>1693</t>
        </is>
      </c>
      <c r="E19" s="12" t="inlineStr">
        <is>
          <t>латинские «Shuko» вперемешку с русскими «с» — поиск по одному алфавиту эти строки не найдёт</t>
        </is>
      </c>
    </row>
    <row r="20">
      <c r="A20" s="13" t="inlineStr">
        <is>
          <t>C</t>
        </is>
      </c>
      <c r="B20" s="13" t="inlineStr">
        <is>
          <t>Fт</t>
        </is>
      </c>
      <c r="C20" s="13" t="n">
        <v>1</v>
      </c>
      <c r="D20" s="12" t="inlineStr">
        <is>
          <t>2222</t>
        </is>
      </c>
      <c r="E20" s="12" t="inlineStr">
        <is>
          <t>латинские «F» вперемешку с русскими «т» — поиск по одному алфавиту эти строки не найдёт</t>
        </is>
      </c>
    </row>
    <row r="21">
      <c r="A21" s="13" t="inlineStr">
        <is>
          <t>B</t>
        </is>
      </c>
      <c r="B21" s="13" t="inlineStr">
        <is>
          <t>хGN</t>
        </is>
      </c>
      <c r="C21" s="13" t="n">
        <v>1</v>
      </c>
      <c r="D21" s="12" t="inlineStr">
        <is>
          <t>3547</t>
        </is>
      </c>
      <c r="E21" s="12" t="inlineStr">
        <is>
          <t>латинские «GN» вперемешку с русскими «х» — поиск по одному алфавиту эти строки не найдёт</t>
        </is>
      </c>
    </row>
    <row r="22">
      <c r="A22" s="13" t="inlineStr">
        <is>
          <t>B</t>
        </is>
      </c>
      <c r="B22" s="13" t="inlineStr">
        <is>
          <t>хh</t>
        </is>
      </c>
      <c r="C22" s="13" t="n">
        <v>1</v>
      </c>
      <c r="D22" s="12" t="inlineStr">
        <is>
          <t>3560</t>
        </is>
      </c>
      <c r="E22" s="12" t="inlineStr">
        <is>
          <t>латинские «h» вперемешку с русскими «х» — поиск по одному алфавиту эти строки не найдёт</t>
        </is>
      </c>
    </row>
    <row r="23">
      <c r="A23" s="13" t="inlineStr">
        <is>
          <t>C</t>
        </is>
      </c>
      <c r="B23" s="13" t="inlineStr">
        <is>
          <t>ЕG</t>
        </is>
      </c>
      <c r="C23" s="13" t="n">
        <v>1</v>
      </c>
      <c r="D23" s="12" t="inlineStr">
        <is>
          <t>3922</t>
        </is>
      </c>
      <c r="E23" s="12" t="inlineStr">
        <is>
          <t>латинские «G» вперемешку с русскими «Е» — поиск по одному алфавиту эти строки не найдёт</t>
        </is>
      </c>
    </row>
    <row r="24">
      <c r="A24" s="9" t="n"/>
      <c r="B24" s="9" t="n"/>
      <c r="C24" s="9" t="n"/>
      <c r="D24" s="8" t="n"/>
      <c r="E24" s="8" t="n"/>
    </row>
    <row r="25">
      <c r="A25" s="22" t="inlineStr">
        <is>
          <t>ОДИН ПОСТАВЩИК — РАЗНЫЕ НАПИСАНИЯ</t>
        </is>
      </c>
      <c r="B25" s="9" t="n"/>
      <c r="C25" s="9" t="n"/>
      <c r="D25" s="8" t="n"/>
      <c r="E25" s="8" t="n"/>
    </row>
    <row r="26" ht="30" customHeight="1">
      <c r="A26" s="23" t="inlineStr">
        <is>
          <t>Колонка</t>
        </is>
      </c>
      <c r="B26" s="23" t="inlineStr">
        <is>
          <t>Как написано</t>
        </is>
      </c>
      <c r="C26" s="23" t="inlineStr">
        <is>
          <t>Ячеек</t>
        </is>
      </c>
      <c r="D26" s="24" t="inlineStr">
        <is>
          <t>Строки</t>
        </is>
      </c>
      <c r="E26" s="24" t="inlineStr">
        <is>
          <t>Чем плохо</t>
        </is>
      </c>
    </row>
    <row r="27">
      <c r="A27" s="9" t="inlineStr">
        <is>
          <t>E</t>
        </is>
      </c>
      <c r="B27" s="9" t="inlineStr">
        <is>
          <t>Торговая сеть Россия</t>
        </is>
      </c>
      <c r="C27" s="9" t="n">
        <v>897</v>
      </c>
      <c r="D27" s="8" t="inlineStr">
        <is>
          <t>2497, 2498, 2499, 2500, 2501, 2502, 2503, 2504, 2507, 2509, 2512, 2514, 2515, 2516, 2517, 2518, 2519, 2520, 2521, 2522, 2523, 2524, 2526, 2527, 2528, 2529, 2530, 2531 …</t>
        </is>
      </c>
      <c r="E27" s="8" t="inlineStr">
        <is>
          <t>основное написание — к нему и сводить</t>
        </is>
      </c>
    </row>
    <row r="28">
      <c r="A28" s="13" t="inlineStr">
        <is>
          <t>E</t>
        </is>
      </c>
      <c r="B28" s="13" t="inlineStr">
        <is>
          <t>Торговая сеть</t>
        </is>
      </c>
      <c r="C28" s="13" t="n">
        <v>52</v>
      </c>
      <c r="D28" s="12" t="inlineStr">
        <is>
          <t>75, 76, 77, 78, 79, 85, 86, 92, 93, 94, 95, 96, 97, 98, 99, 100, 101, 103, 104, 105, 107, 159, 2595, 2732, 3292, 3293, 3294, 3295 …</t>
        </is>
      </c>
      <c r="E28" s="12" t="inlineStr">
        <is>
          <t>в фильтре по поставщику это отдельная позиция</t>
        </is>
      </c>
    </row>
    <row r="29">
      <c r="A29" s="13" t="inlineStr">
        <is>
          <t>E</t>
        </is>
      </c>
      <c r="B29" s="13" t="inlineStr">
        <is>
          <t>Торгов ая сеть Россия</t>
        </is>
      </c>
      <c r="C29" s="13" t="n">
        <v>13</v>
      </c>
      <c r="D29" s="12" t="inlineStr">
        <is>
          <t>2506, 2535, 2971, 2987, 3244, 3342, 3345, 3360, 3363, 3755, 3762, 3773, 3794</t>
        </is>
      </c>
      <c r="E29" s="12" t="inlineStr">
        <is>
          <t>в фильтре по поставщику это отдельная позиция</t>
        </is>
      </c>
    </row>
    <row r="30">
      <c r="A30" s="13" t="inlineStr">
        <is>
          <t>E</t>
        </is>
      </c>
      <c r="B30" s="13" t="inlineStr">
        <is>
          <t>Россия Торговая сеть Россия</t>
        </is>
      </c>
      <c r="C30" s="13" t="n">
        <v>12</v>
      </c>
      <c r="D30" s="12" t="inlineStr">
        <is>
          <t>2763, 2961, 2995, 3100, 3112, 3406, 3415, 3429, 3751, 3767, 3799, 3829</t>
        </is>
      </c>
      <c r="E30" s="12" t="inlineStr">
        <is>
          <t>в фильтре по поставщику это отдельная позиция</t>
        </is>
      </c>
    </row>
    <row r="31">
      <c r="A31" s="13" t="inlineStr">
        <is>
          <t>E</t>
        </is>
      </c>
      <c r="B31" s="13" t="inlineStr">
        <is>
          <t>Торговая сеть России</t>
        </is>
      </c>
      <c r="C31" s="13" t="n">
        <v>2</v>
      </c>
      <c r="D31" s="12" t="inlineStr">
        <is>
          <t>2564, 2576</t>
        </is>
      </c>
      <c r="E31" s="12" t="inlineStr">
        <is>
          <t>в фильтре по поставщику это отдельная позиция</t>
        </is>
      </c>
    </row>
    <row r="32">
      <c r="A32" s="13" t="inlineStr">
        <is>
          <t>E</t>
        </is>
      </c>
      <c r="B32" s="13" t="inlineStr">
        <is>
          <t>Торговая сеть РОССИЯ</t>
        </is>
      </c>
      <c r="C32" s="13" t="n">
        <v>1</v>
      </c>
      <c r="D32" s="12" t="inlineStr">
        <is>
          <t>3106</t>
        </is>
      </c>
      <c r="E32" s="12" t="inlineStr">
        <is>
          <t>в фильтре по поставщику это отдельная позиция</t>
        </is>
      </c>
    </row>
    <row r="33">
      <c r="A33" s="13" t="inlineStr">
        <is>
          <t>E</t>
        </is>
      </c>
      <c r="B33" s="13" t="inlineStr">
        <is>
          <t>Россия Торговая сеть</t>
        </is>
      </c>
      <c r="C33" s="13" t="n">
        <v>1</v>
      </c>
      <c r="D33" s="12" t="inlineStr">
        <is>
          <t>3393</t>
        </is>
      </c>
      <c r="E33" s="12" t="inlineStr">
        <is>
          <t>в фильтре по поставщику это отдельная позиция</t>
        </is>
      </c>
    </row>
    <row r="34">
      <c r="A34" s="13" t="inlineStr">
        <is>
          <t>E</t>
        </is>
      </c>
      <c r="B34" s="13" t="inlineStr">
        <is>
          <t>Мебель» Торговая сеть Россия</t>
        </is>
      </c>
      <c r="C34" s="13" t="n">
        <v>1</v>
      </c>
      <c r="D34" s="12" t="inlineStr">
        <is>
          <t>3674</t>
        </is>
      </c>
      <c r="E34" s="12" t="inlineStr">
        <is>
          <t>в фильтре по поставщику это отдельная позиция</t>
        </is>
      </c>
    </row>
    <row r="35">
      <c r="A35" s="9" t="inlineStr">
        <is>
          <t>E</t>
        </is>
      </c>
      <c r="B35" s="9" t="inlineStr">
        <is>
          <t>ATEN / Aten</t>
        </is>
      </c>
      <c r="C35" s="9" t="n">
        <v>7</v>
      </c>
      <c r="D35" s="8" t="n"/>
      <c r="E35" s="8" t="inlineStr">
        <is>
          <t>одно и то же, написано по-разному: «ATEN» ×4, «Aten» ×3</t>
        </is>
      </c>
    </row>
    <row r="36">
      <c r="A36" s="9" t="inlineStr">
        <is>
          <t>E</t>
        </is>
      </c>
      <c r="B36" s="9" t="inlineStr">
        <is>
          <t>“DEKraft” / «DEKraft»</t>
        </is>
      </c>
      <c r="C36" s="9" t="n">
        <v>9</v>
      </c>
      <c r="D36" s="8" t="n"/>
      <c r="E36" s="8" t="inlineStr">
        <is>
          <t>одно и то же, написано по-разному: «“DEKraft”» ×6, ««DEKraft»» ×3</t>
        </is>
      </c>
    </row>
    <row r="37">
      <c r="A37" s="9" t="inlineStr">
        <is>
          <t>E</t>
        </is>
      </c>
      <c r="B37" s="9" t="inlineStr">
        <is>
          <t>DKC / “DKC” / «DKC»</t>
        </is>
      </c>
      <c r="C37" s="9" t="n">
        <v>257</v>
      </c>
      <c r="D37" s="8" t="n"/>
      <c r="E37" s="8" t="inlineStr">
        <is>
          <t>одно и то же, написано по-разному: «DKC» ×253, «“DKC”» ×2, ««DKC»» ×2</t>
        </is>
      </c>
    </row>
    <row r="38">
      <c r="A38" s="9" t="inlineStr">
        <is>
          <t>E</t>
        </is>
      </c>
      <c r="B38" s="9" t="inlineStr">
        <is>
          <t>IEK / “IEK”</t>
        </is>
      </c>
      <c r="C38" s="9" t="n">
        <v>32</v>
      </c>
      <c r="D38" s="8" t="n"/>
      <c r="E38" s="8" t="inlineStr">
        <is>
          <t>одно и то же, написано по-разному: «IEK» ×18, «“IEK”» ×14</t>
        </is>
      </c>
    </row>
    <row r="39">
      <c r="A39" s="9" t="inlineStr">
        <is>
          <t>E</t>
        </is>
      </c>
      <c r="B39" s="9" t="inlineStr">
        <is>
          <t>«K-flex» / K-Flex</t>
        </is>
      </c>
      <c r="C39" s="9" t="n">
        <v>25</v>
      </c>
      <c r="D39" s="8" t="n"/>
      <c r="E39" s="8" t="inlineStr">
        <is>
          <t>одно и то же, написано по-разному: ««K-flex»» ×15, «K-Flex» ×10</t>
        </is>
      </c>
    </row>
    <row r="40">
      <c r="A40" s="9" t="inlineStr">
        <is>
          <t>E</t>
        </is>
      </c>
      <c r="B40" s="9" t="inlineStr">
        <is>
          <t>«VTS» / “VTS”</t>
        </is>
      </c>
      <c r="C40" s="9" t="n">
        <v>4</v>
      </c>
      <c r="D40" s="8" t="n"/>
      <c r="E40" s="8" t="inlineStr">
        <is>
          <t>одно и то же, написано по-разному: ««VTS»» ×3, «“VTS”» ×1</t>
        </is>
      </c>
    </row>
    <row r="41">
      <c r="A41" s="9" t="inlineStr">
        <is>
          <t>E</t>
        </is>
      </c>
      <c r="B41" s="9" t="inlineStr">
        <is>
          <t>ИнСАТ / “ИНСАТ”</t>
        </is>
      </c>
      <c r="C41" s="9" t="n">
        <v>4</v>
      </c>
      <c r="D41" s="8" t="n"/>
      <c r="E41" s="8" t="inlineStr">
        <is>
          <t>одно и то же, написано по-разному: «ИнСАТ» ×3, «“ИНСАТ”» ×1</t>
        </is>
      </c>
    </row>
    <row r="42">
      <c r="A42" s="9" t="inlineStr">
        <is>
          <t>E</t>
        </is>
      </c>
      <c r="B42" s="9" t="inlineStr">
        <is>
          <t>К-FLEX / К-Flex</t>
        </is>
      </c>
      <c r="C42" s="9" t="n">
        <v>5</v>
      </c>
      <c r="D42" s="8" t="n"/>
      <c r="E42" s="8" t="inlineStr">
        <is>
          <t>одно и то же, написано по-разному: «К-FLEX» ×3, «К-Flex» ×2</t>
        </is>
      </c>
    </row>
    <row r="43">
      <c r="A43" s="9" t="inlineStr">
        <is>
          <t>E</t>
        </is>
      </c>
      <c r="B43" s="9" t="inlineStr">
        <is>
          <t>М/К / МК</t>
        </is>
      </c>
      <c r="C43" s="9" t="n">
        <v>10</v>
      </c>
      <c r="D43" s="8" t="n"/>
      <c r="E43" s="8" t="inlineStr">
        <is>
          <t>одно и то же, написано по-разному: «М/К» ×7, «МК» ×3</t>
        </is>
      </c>
    </row>
    <row r="44">
      <c r="A44" s="9" t="inlineStr">
        <is>
          <t>E</t>
        </is>
      </c>
      <c r="B44" s="9" t="inlineStr">
        <is>
          <t>ООО «Эдем- Мебель» / ООО «Эдем- мебель»</t>
        </is>
      </c>
      <c r="C44" s="9" t="n">
        <v>17</v>
      </c>
      <c r="D44" s="8" t="n"/>
      <c r="E44" s="8" t="inlineStr">
        <is>
          <t>одно и то же, написано по-разному: «ООО «Эдем- Мебель»» ×15, «ООО «Эдем- мебель»» ×2</t>
        </is>
      </c>
    </row>
    <row r="45">
      <c r="A45" s="9" t="inlineStr">
        <is>
          <t>E</t>
        </is>
      </c>
      <c r="B45" s="9" t="inlineStr">
        <is>
          <t>Росма / РОСМА / «Росма»</t>
        </is>
      </c>
      <c r="C45" s="9" t="n">
        <v>21</v>
      </c>
      <c r="D45" s="8" t="n"/>
      <c r="E45" s="8" t="inlineStr">
        <is>
          <t>одно и то же, написано по-разному: «Росма» ×15, «РОСМА» ×5, ««Росма»» ×1</t>
        </is>
      </c>
    </row>
    <row r="46">
      <c r="A46" s="9" t="inlineStr">
        <is>
          <t>E</t>
        </is>
      </c>
      <c r="B46" s="9" t="inlineStr">
        <is>
          <t>«Севкабель» / Севкабель</t>
        </is>
      </c>
      <c r="C46" s="9" t="n">
        <v>3</v>
      </c>
      <c r="D46" s="8" t="n"/>
      <c r="E46" s="8" t="inlineStr">
        <is>
          <t>одно и то же, написано по-разному: ««Севкабель»» ×2, «Севкабель» ×1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34" customWidth="1" min="3" max="3"/>
    <col width="16" customWidth="1" min="4" max="4"/>
    <col width="54" customWidth="1" min="5" max="5"/>
    <col width="64" customWidth="1" min="6" max="6"/>
  </cols>
  <sheetData>
    <row r="1">
      <c r="A1" s="19" t="inlineStr">
        <is>
          <t>РУЧНАЯ АРИФМЕТИКА ВМЕСТО ЧИСЕЛ — 61 ячейка (везде, кроме них, стоит нормальная =H*G)</t>
        </is>
      </c>
    </row>
    <row r="3" ht="30" customHeight="1">
      <c r="A3" s="7" t="inlineStr">
        <is>
          <t>Строка</t>
        </is>
      </c>
      <c r="B3" s="7" t="inlineStr">
        <is>
          <t>Колонка</t>
        </is>
      </c>
      <c r="C3" s="7" t="inlineStr">
        <is>
          <t>Формула</t>
        </is>
      </c>
      <c r="D3" s="7" t="inlineStr">
        <is>
          <t>Значение</t>
        </is>
      </c>
      <c r="E3" s="7" t="inlineStr">
        <is>
          <t>Позиция</t>
        </is>
      </c>
      <c r="F3" s="7" t="inlineStr">
        <is>
          <t>Чем рискованно</t>
        </is>
      </c>
    </row>
    <row r="4">
      <c r="A4" s="9" t="n">
        <v>87</v>
      </c>
      <c r="B4" s="9" t="inlineStr">
        <is>
          <t>H</t>
        </is>
      </c>
      <c r="C4" s="9">
        <f>I88+I89</f>
        <v/>
      </c>
      <c r="D4" s="9" t="n">
        <v>1393.2464</v>
      </c>
      <c r="E4" s="8" t="inlineStr">
        <is>
          <t>Шина дополнительного уравнивания потенциалов (ШДУП) в состав</t>
        </is>
      </c>
      <c r="F4" s="12" t="inlineStr">
        <is>
          <t>цена собрана сложением без расшифровки, из чего она состоит (доставка? монтаж?). Проверить и вынести составляющие в примечание.</t>
        </is>
      </c>
    </row>
    <row r="5">
      <c r="A5" s="9" t="n">
        <v>87</v>
      </c>
      <c r="B5" s="9" t="inlineStr">
        <is>
          <t>I</t>
        </is>
      </c>
      <c r="C5" s="9">
        <f>H87*G87-I88-I89</f>
        <v/>
      </c>
      <c r="D5" s="9" t="n">
        <v>45977.1312</v>
      </c>
      <c r="E5" s="8" t="inlineStr">
        <is>
          <t>Шина дополнительного уравнивания потенциалов (ШДУП) в состав</t>
        </is>
      </c>
      <c r="F5" s="21" t="inlineStr">
        <is>
          <t>ЦЕНА ссылается на СУММЫ строк ниже, а сумма этой строки вычитает их обратно. Единственное место в файле, где сумма ≠ кол-во × цена. Разобрать вручную.</t>
        </is>
      </c>
    </row>
    <row r="6">
      <c r="A6" s="9" t="n">
        <v>779</v>
      </c>
      <c r="B6" s="9" t="inlineStr">
        <is>
          <t>H</t>
        </is>
      </c>
      <c r="C6" s="9">
        <f>1521.6/9</f>
        <v/>
      </c>
      <c r="D6" s="9" t="n">
        <v>169.0666666666667</v>
      </c>
      <c r="E6" s="8" t="inlineStr">
        <is>
          <t>Воздуховод гибкий Ø100</t>
        </is>
      </c>
      <c r="F6" s="12" t="inlineStr">
        <is>
          <t>цена получена делением общей суммы на количество. Если количество изменится — цена поедет.</t>
        </is>
      </c>
    </row>
    <row r="7">
      <c r="A7" s="9" t="n">
        <v>780</v>
      </c>
      <c r="B7" s="9" t="inlineStr">
        <is>
          <t>H</t>
        </is>
      </c>
      <c r="C7" s="9">
        <f>10828.8/58.4</f>
        <v/>
      </c>
      <c r="D7" s="9" t="n">
        <v>185.4246575342466</v>
      </c>
      <c r="E7" s="8" t="inlineStr">
        <is>
          <t>Воздуховод гибкий Ø125</t>
        </is>
      </c>
      <c r="F7" s="12" t="inlineStr">
        <is>
          <t>цена получена делением общей суммы на количество. Если количество изменится — цена поедет.</t>
        </is>
      </c>
    </row>
    <row r="8">
      <c r="A8" s="9" t="n">
        <v>781</v>
      </c>
      <c r="B8" s="9" t="inlineStr">
        <is>
          <t>H</t>
        </is>
      </c>
      <c r="C8" s="9">
        <f>19723.2/78.6</f>
        <v/>
      </c>
      <c r="D8" s="9" t="n">
        <v>250.9312977099237</v>
      </c>
      <c r="E8" s="8" t="inlineStr">
        <is>
          <t>Воздуховод гибкий Ø160</t>
        </is>
      </c>
      <c r="F8" s="12" t="inlineStr">
        <is>
          <t>цена получена делением общей суммы на количество. Если количество изменится — цена поедет.</t>
        </is>
      </c>
    </row>
    <row r="9">
      <c r="A9" s="9" t="n">
        <v>782</v>
      </c>
      <c r="B9" s="9" t="inlineStr">
        <is>
          <t>H</t>
        </is>
      </c>
      <c r="C9" s="9">
        <f>25886.4/76.2</f>
        <v/>
      </c>
      <c r="D9" s="9" t="n">
        <v>339.7165354330709</v>
      </c>
      <c r="E9" s="8" t="inlineStr">
        <is>
          <t>Воздуховод гибкий Ø200</t>
        </is>
      </c>
      <c r="F9" s="12" t="inlineStr">
        <is>
          <t>цена получена делением общей суммы на количество. Если количество изменится — цена поедет.</t>
        </is>
      </c>
    </row>
    <row r="10">
      <c r="A10" s="9" t="n">
        <v>783</v>
      </c>
      <c r="B10" s="9" t="inlineStr">
        <is>
          <t>H</t>
        </is>
      </c>
      <c r="C10" s="9">
        <f>4339.8/7.1</f>
        <v/>
      </c>
      <c r="D10" s="9" t="n">
        <v>611.2394366197184</v>
      </c>
      <c r="E10" s="8" t="inlineStr">
        <is>
          <t>Воздуховод гибкий Ø250</t>
        </is>
      </c>
      <c r="F10" s="12" t="inlineStr">
        <is>
          <t>цена получена делением общей суммы на количество. Если количество изменится — цена поедет.</t>
        </is>
      </c>
    </row>
    <row r="11">
      <c r="A11" s="9" t="n">
        <v>1161</v>
      </c>
      <c r="B11" s="9" t="inlineStr">
        <is>
          <t>H</t>
        </is>
      </c>
      <c r="C11" s="9">
        <f>54761.94+4500+5000</f>
        <v/>
      </c>
      <c r="D11" s="9" t="n">
        <v>64261.94</v>
      </c>
      <c r="E11" s="8" t="inlineStr">
        <is>
          <t>Блок наружный SAU24U3-A-WS</t>
        </is>
      </c>
      <c r="F11" s="12" t="inlineStr">
        <is>
          <t>цена собрана сложением без расшифровки, из чего она состоит (доставка? монтаж?). Проверить и вынести составляющие в примечание.</t>
        </is>
      </c>
    </row>
    <row r="12">
      <c r="A12" s="9" t="n">
        <v>1162</v>
      </c>
      <c r="B12" s="9" t="inlineStr">
        <is>
          <t>H</t>
        </is>
      </c>
      <c r="C12" s="9">
        <f>27224.83+4500</f>
        <v/>
      </c>
      <c r="D12" s="9" t="n">
        <v>31724.83</v>
      </c>
      <c r="E12" s="8" t="inlineStr">
        <is>
          <t>Блок внутренний SAC24C3-A с беспроводным пультом</t>
        </is>
      </c>
      <c r="F12" s="12" t="inlineStr">
        <is>
          <t>цена собрана сложением без расшифровки, из чего она состоит (доставка? монтаж?). Проверить и вынести составляющие в примечание.</t>
        </is>
      </c>
    </row>
    <row r="13">
      <c r="A13" s="9" t="n">
        <v>1166</v>
      </c>
      <c r="B13" s="9" t="inlineStr">
        <is>
          <t>H</t>
        </is>
      </c>
      <c r="C13" s="9">
        <f>26527.99+4500+5000</f>
        <v/>
      </c>
      <c r="D13" s="9" t="n">
        <v>36027.99000000001</v>
      </c>
      <c r="E13" s="8" t="inlineStr">
        <is>
          <t>Блок наружный SAU12L4-A-WS</t>
        </is>
      </c>
      <c r="F13" s="12" t="inlineStr">
        <is>
          <t>цена собрана сложением без расшифровки, из чего она состоит (доставка? монтаж?). Проверить и вынести составляющие в примечание.</t>
        </is>
      </c>
    </row>
    <row r="14">
      <c r="A14" s="9" t="n">
        <v>1167</v>
      </c>
      <c r="B14" s="9" t="inlineStr">
        <is>
          <t>H</t>
        </is>
      </c>
      <c r="C14" s="9">
        <f>11369.58+4500</f>
        <v/>
      </c>
      <c r="D14" s="9" t="n">
        <v>15869.58</v>
      </c>
      <c r="E14" s="8" t="inlineStr">
        <is>
          <t>Блок внутренний SAS12L4-A с беспроводным пультом</t>
        </is>
      </c>
      <c r="F14" s="12" t="inlineStr">
        <is>
          <t>цена собрана сложением без расшифровки, из чего она состоит (доставка? монтаж?). Проверить и вынести составляющие в примечание.</t>
        </is>
      </c>
    </row>
    <row r="15">
      <c r="A15" s="9" t="n">
        <v>1171</v>
      </c>
      <c r="B15" s="9" t="inlineStr">
        <is>
          <t>H</t>
        </is>
      </c>
      <c r="C15" s="9">
        <f>142231+53207</f>
        <v/>
      </c>
      <c r="D15" s="9" t="n">
        <v>195438</v>
      </c>
      <c r="E15" s="8" t="inlineStr">
        <is>
          <t>Блок внутренний SMZC24V3AI с беспроводным пультом и декорати</t>
        </is>
      </c>
      <c r="F15" s="12" t="inlineStr">
        <is>
          <t>цена собрана сложением без расшифровки, из чего она состоит (доставка? монтаж?). Проверить и вынести составляющие в примечание.</t>
        </is>
      </c>
    </row>
    <row r="16">
      <c r="A16" s="9" t="n">
        <v>1172</v>
      </c>
      <c r="B16" s="9" t="inlineStr">
        <is>
          <t>H</t>
        </is>
      </c>
      <c r="C16" s="9">
        <f>129380+31301</f>
        <v/>
      </c>
      <c r="D16" s="9" t="n">
        <v>160681</v>
      </c>
      <c r="E16" s="8" t="inlineStr">
        <is>
          <t>Блок внутренний SMZCC18V3AI с беспроводным пультом и декорат</t>
        </is>
      </c>
      <c r="F16" s="12" t="inlineStr">
        <is>
          <t>цена собрана сложением без расшифровки, из чего она состоит (доставка? монтаж?). Проверить и вынести составляющие в примечание.</t>
        </is>
      </c>
    </row>
    <row r="17">
      <c r="A17" s="9" t="n">
        <v>1173</v>
      </c>
      <c r="B17" s="9" t="inlineStr">
        <is>
          <t>H</t>
        </is>
      </c>
      <c r="C17" s="9">
        <f>116311+31301</f>
        <v/>
      </c>
      <c r="D17" s="9" t="n">
        <v>147612</v>
      </c>
      <c r="E17" s="8" t="inlineStr">
        <is>
          <t>Блок внутренний SMZCC16V3AI с беспроводным пультом и декорат</t>
        </is>
      </c>
      <c r="F17" s="12" t="inlineStr">
        <is>
          <t>цена собрана сложением без расшифровки, из чего она состоит (доставка? монтаж?). Проверить и вынести составляющие в примечание.</t>
        </is>
      </c>
    </row>
    <row r="18">
      <c r="A18" s="9" t="n">
        <v>1175</v>
      </c>
      <c r="B18" s="9" t="inlineStr">
        <is>
          <t>H</t>
        </is>
      </c>
      <c r="C18" s="9">
        <f>104076+31301</f>
        <v/>
      </c>
      <c r="D18" s="9" t="n">
        <v>135377</v>
      </c>
      <c r="E18" s="8" t="inlineStr">
        <is>
          <t>Блок внутренний SMZCC07V3AI с беспроводным пультом и декорат</t>
        </is>
      </c>
      <c r="F18" s="12" t="inlineStr">
        <is>
          <t>цена собрана сложением без расшифровки, из чего она состоит (доставка? монтаж?). Проверить и вынести составляющие в примечание.</t>
        </is>
      </c>
    </row>
    <row r="19">
      <c r="A19" s="9" t="n">
        <v>1176</v>
      </c>
      <c r="B19" s="9" t="inlineStr">
        <is>
          <t>H</t>
        </is>
      </c>
      <c r="C19" s="9">
        <f>129380+31301</f>
        <v/>
      </c>
      <c r="D19" s="9" t="n">
        <v>160681</v>
      </c>
      <c r="E19" s="8" t="inlineStr">
        <is>
          <t>Блок внутренний SMZCC18V3AI с беспроводным пультом и декорат</t>
        </is>
      </c>
      <c r="F19" s="12" t="inlineStr">
        <is>
          <t>цена собрана сложением без расшифровки, из чего она состоит (доставка? монтаж?). Проверить и вынести составляющие в примечание.</t>
        </is>
      </c>
    </row>
    <row r="20">
      <c r="A20" s="9" t="n">
        <v>1177</v>
      </c>
      <c r="B20" s="9" t="inlineStr">
        <is>
          <t>H</t>
        </is>
      </c>
      <c r="C20" s="9">
        <f>116311+31301</f>
        <v/>
      </c>
      <c r="D20" s="9" t="n">
        <v>147612</v>
      </c>
      <c r="E20" s="8" t="inlineStr">
        <is>
          <t>Блок внутренний SMZCC16V3AI с беспроводным пультом и декорат</t>
        </is>
      </c>
      <c r="F20" s="12" t="inlineStr">
        <is>
          <t>цена собрана сложением без расшифровки, из чего она состоит (доставка? монтаж?). Проверить и вынести составляющие в примечание.</t>
        </is>
      </c>
    </row>
    <row r="21">
      <c r="A21" s="9" t="n">
        <v>1180</v>
      </c>
      <c r="B21" s="9" t="inlineStr">
        <is>
          <t>H</t>
        </is>
      </c>
      <c r="C21" s="9">
        <f>110605+31301</f>
        <v/>
      </c>
      <c r="D21" s="9" t="n">
        <v>141906</v>
      </c>
      <c r="E21" s="8" t="inlineStr">
        <is>
          <t>Блок внутренний SMZCC12V3AI с беспроводным пультом и декорат</t>
        </is>
      </c>
      <c r="F21" s="12" t="inlineStr">
        <is>
          <t>цена собрана сложением без расшифровки, из чего она состоит (доставка? монтаж?). Проверить и вынести составляющие в примечание.</t>
        </is>
      </c>
    </row>
    <row r="22">
      <c r="A22" s="9" t="n">
        <v>1181</v>
      </c>
      <c r="B22" s="9" t="inlineStr">
        <is>
          <t>H</t>
        </is>
      </c>
      <c r="C22" s="9">
        <f>150324+53207</f>
        <v/>
      </c>
      <c r="D22" s="9" t="n">
        <v>203531</v>
      </c>
      <c r="E22" s="8" t="inlineStr">
        <is>
          <t>Блок внутренний SMZC30V3AI с беспроводным пультом и декорати</t>
        </is>
      </c>
      <c r="F22" s="12" t="inlineStr">
        <is>
          <t>цена собрана сложением без расшифровки, из чего она состоит (доставка? монтаж?). Проверить и вынести составляющие в примечание.</t>
        </is>
      </c>
    </row>
    <row r="23">
      <c r="A23" s="9" t="n">
        <v>1182</v>
      </c>
      <c r="B23" s="9" t="inlineStr">
        <is>
          <t>H</t>
        </is>
      </c>
      <c r="C23" s="9">
        <f>142231+53207</f>
        <v/>
      </c>
      <c r="D23" s="9" t="n">
        <v>195438</v>
      </c>
      <c r="E23" s="8" t="inlineStr">
        <is>
          <t>Блок внутренний SMZC24V3AI с беспроводным пультом и декорати</t>
        </is>
      </c>
      <c r="F23" s="12" t="inlineStr">
        <is>
          <t>цена собрана сложением без расшифровки, из чего она состоит (доставка? монтаж?). Проверить и вынести составляющие в примечание.</t>
        </is>
      </c>
    </row>
    <row r="24">
      <c r="A24" s="9" t="n">
        <v>1183</v>
      </c>
      <c r="B24" s="9" t="inlineStr">
        <is>
          <t>H</t>
        </is>
      </c>
      <c r="C24" s="9">
        <f>129380+31301</f>
        <v/>
      </c>
      <c r="D24" s="9" t="n">
        <v>160681</v>
      </c>
      <c r="E24" s="8" t="inlineStr">
        <is>
          <t>Блок внутренний SMZCC18V3AI с беспроводным пультом и декорат</t>
        </is>
      </c>
      <c r="F24" s="12" t="inlineStr">
        <is>
          <t>цена собрана сложением без расшифровки, из чего она состоит (доставка? монтаж?). Проверить и вынести составляющие в примечание.</t>
        </is>
      </c>
    </row>
    <row r="25">
      <c r="A25" s="9" t="n">
        <v>1184</v>
      </c>
      <c r="B25" s="9" t="inlineStr">
        <is>
          <t>H</t>
        </is>
      </c>
      <c r="C25" s="9">
        <f>116311+31301</f>
        <v/>
      </c>
      <c r="D25" s="9" t="n">
        <v>147612</v>
      </c>
      <c r="E25" s="8" t="inlineStr">
        <is>
          <t>Блок внутренний SMZCC16V3AI с беспроводным пультом и декорат</t>
        </is>
      </c>
      <c r="F25" s="12" t="inlineStr">
        <is>
          <t>цена собрана сложением без расшифровки, из чего она состоит (доставка? монтаж?). Проверить и вынести составляющие в примечание.</t>
        </is>
      </c>
    </row>
    <row r="26">
      <c r="A26" s="9" t="n">
        <v>1545</v>
      </c>
      <c r="B26" s="9" t="inlineStr">
        <is>
          <t>H</t>
        </is>
      </c>
      <c r="C26" s="9">
        <f>339436+33159+33159</f>
        <v/>
      </c>
      <c r="D26" s="9" t="n">
        <v>405754</v>
      </c>
      <c r="E26" s="8" t="inlineStr">
        <is>
          <t>Ethernet-коммутатор MES3316F, 12 портов 1000Base-X(SFP), 4 к</t>
        </is>
      </c>
      <c r="F26" s="12" t="inlineStr">
        <is>
          <t>цена собрана сложением без расшифровки, из чего она состоит (доставка? монтаж?). Проверить и вынести составляющие в примечание.</t>
        </is>
      </c>
    </row>
    <row r="27">
      <c r="A27" s="9" t="n">
        <v>1546</v>
      </c>
      <c r="B27" s="9" t="inlineStr">
        <is>
          <t>H</t>
        </is>
      </c>
      <c r="C27" s="9">
        <f>84859+42430</f>
        <v/>
      </c>
      <c r="D27" s="9" t="n">
        <v>127289</v>
      </c>
      <c r="E27" s="8" t="inlineStr">
        <is>
          <t>Сертификат на консультационные услуги по вопросам эксплуатац</t>
        </is>
      </c>
      <c r="F27" s="12" t="inlineStr">
        <is>
          <t>цена собрана сложением без расшифровки, из чего она состоит (доставка? монтаж?). Проверить и вынести составляющие в примечание.</t>
        </is>
      </c>
    </row>
    <row r="28">
      <c r="A28" s="9" t="n">
        <v>1550</v>
      </c>
      <c r="B28" s="9" t="inlineStr">
        <is>
          <t>H</t>
        </is>
      </c>
      <c r="C28" s="9">
        <f>56291+28145</f>
        <v/>
      </c>
      <c r="D28" s="9" t="n">
        <v>84436</v>
      </c>
      <c r="E28" s="8" t="inlineStr">
        <is>
          <t>Сервисный контракт на коммутационное оборудование Eltex MES,</t>
        </is>
      </c>
      <c r="F28" s="12" t="inlineStr">
        <is>
          <t>цена собрана сложением без расшифровки, из чего она состоит (доставка? монтаж?). Проверить и вынести составляющие в примечание.</t>
        </is>
      </c>
    </row>
    <row r="29">
      <c r="A29" s="9" t="n">
        <v>1551</v>
      </c>
      <c r="B29" s="9" t="inlineStr">
        <is>
          <t>H</t>
        </is>
      </c>
      <c r="C29" s="9">
        <f>168872</f>
        <v/>
      </c>
      <c r="D29" s="9" t="n">
        <v>168872</v>
      </c>
      <c r="E29" s="8" t="inlineStr">
        <is>
          <t>Услуга по отправке оборудования на замену на следующий рабоч</t>
        </is>
      </c>
      <c r="F29" s="8" t="inlineStr">
        <is>
          <t>формула-константа: считается как число, но выглядит как расчёт</t>
        </is>
      </c>
    </row>
    <row r="30">
      <c r="A30" s="9" t="n">
        <v>1553</v>
      </c>
      <c r="B30" s="9" t="inlineStr">
        <is>
          <t>H</t>
        </is>
      </c>
      <c r="C30" s="9">
        <f>284574+33159</f>
        <v/>
      </c>
      <c r="D30" s="9" t="n">
        <v>317733</v>
      </c>
      <c r="E30" s="8" t="inlineStr">
        <is>
          <t xml:space="preserve">Ethernet-коммутатор MES2348B, 48 портов 10/100/1000 Base-T, </t>
        </is>
      </c>
      <c r="F30" s="12" t="inlineStr">
        <is>
          <t>цена собрана сложением без расшифровки, из чего она состоит (доставка? монтаж?). Проверить и вынести составляющие в примечание.</t>
        </is>
      </c>
    </row>
    <row r="31">
      <c r="A31" s="9" t="n">
        <v>1554</v>
      </c>
      <c r="B31" s="9" t="inlineStr">
        <is>
          <t>H</t>
        </is>
      </c>
      <c r="C31" s="9">
        <f>71144+35572</f>
        <v/>
      </c>
      <c r="D31" s="9" t="n">
        <v>106716</v>
      </c>
      <c r="E31" s="8" t="inlineStr">
        <is>
          <t>Сервисный контракт на коммутационное оборудование Eltex MES,</t>
        </is>
      </c>
      <c r="F31" s="12" t="inlineStr">
        <is>
          <t>цена собрана сложением без расшифровки, из чего она состоит (доставка? монтаж?). Проверить и вынести составляющие в примечание.</t>
        </is>
      </c>
    </row>
    <row r="32">
      <c r="A32" s="9" t="n">
        <v>1603</v>
      </c>
      <c r="B32" s="9" t="inlineStr">
        <is>
          <t>H</t>
        </is>
      </c>
      <c r="C32" s="9">
        <f>35572+71144</f>
        <v/>
      </c>
      <c r="D32" s="9" t="n">
        <v>106716</v>
      </c>
      <c r="E32" s="8" t="inlineStr">
        <is>
          <t>Сервисный контракт на коммутационное оборудование Eltex MES,</t>
        </is>
      </c>
      <c r="F32" s="12" t="inlineStr">
        <is>
          <t>цена собрана сложением без расшифровки, из чего она состоит (доставка? монтаж?). Проверить и вынести составляющие в примечание.</t>
        </is>
      </c>
    </row>
    <row r="33">
      <c r="A33" s="9" t="n">
        <v>1916</v>
      </c>
      <c r="B33" s="9" t="inlineStr">
        <is>
          <t>H</t>
        </is>
      </c>
      <c r="C33" s="9">
        <f>339436+33159+33159</f>
        <v/>
      </c>
      <c r="D33" s="9" t="n">
        <v>405754</v>
      </c>
      <c r="E33" s="8" t="inlineStr">
        <is>
          <t>Ethernet-коммутатор MES3316F, 12 портов 1000Base-X(SFP), 4 к</t>
        </is>
      </c>
      <c r="F33" s="12" t="inlineStr">
        <is>
          <t>цена собрана сложением без расшифровки, из чего она состоит (доставка? монтаж?). Проверить и вынести составляющие в примечание.</t>
        </is>
      </c>
    </row>
    <row r="34">
      <c r="A34" s="9" t="n">
        <v>1917</v>
      </c>
      <c r="B34" s="9" t="inlineStr">
        <is>
          <t>H</t>
        </is>
      </c>
      <c r="C34" s="9">
        <f>84859+42430</f>
        <v/>
      </c>
      <c r="D34" s="9" t="n">
        <v>127289</v>
      </c>
      <c r="E34" s="8" t="inlineStr">
        <is>
          <t>Сертификат на консультационные услуги по вопросам эксплуатац</t>
        </is>
      </c>
      <c r="F34" s="12" t="inlineStr">
        <is>
          <t>цена собрана сложением без расшифровки, из чего она состоит (доставка? монтаж?). Проверить и вынести составляющие в примечание.</t>
        </is>
      </c>
    </row>
    <row r="35">
      <c r="A35" s="9" t="n">
        <v>1920</v>
      </c>
      <c r="B35" s="9" t="inlineStr">
        <is>
          <t>H</t>
        </is>
      </c>
      <c r="C35" s="9">
        <f>574775+83690+83690</f>
        <v/>
      </c>
      <c r="D35" s="9" t="n">
        <v>742155</v>
      </c>
      <c r="E35" s="8" t="inlineStr">
        <is>
          <t>Ethernet-коммутатор MES2348P, 48 портов 10/100/1000 Base-T (</t>
        </is>
      </c>
      <c r="F35" s="12" t="inlineStr">
        <is>
          <t>цена собрана сложением без расшифровки, из чего она состоит (доставка? монтаж?). Проверить и вынести составляющие в примечание.</t>
        </is>
      </c>
    </row>
    <row r="36">
      <c r="A36" s="9" t="n">
        <v>1921</v>
      </c>
      <c r="B36" s="9" t="inlineStr">
        <is>
          <t>H</t>
        </is>
      </c>
      <c r="C36" s="9">
        <f>143694+71847</f>
        <v/>
      </c>
      <c r="D36" s="9" t="n">
        <v>215541</v>
      </c>
      <c r="E36" s="8" t="inlineStr">
        <is>
          <t>Сервисный контракт на коммутационное оборудование Eltex MES,</t>
        </is>
      </c>
      <c r="F36" s="12" t="inlineStr">
        <is>
          <t>цена собрана сложением без расшифровки, из чего она состоит (доставка? монтаж?). Проверить и вынести составляющие в примечание.</t>
        </is>
      </c>
    </row>
    <row r="37">
      <c r="A37" s="9" t="n">
        <v>1934</v>
      </c>
      <c r="B37" s="9" t="inlineStr">
        <is>
          <t>H</t>
        </is>
      </c>
      <c r="C37" s="9">
        <f>574775+83690+83690</f>
        <v/>
      </c>
      <c r="D37" s="9" t="n">
        <v>742155</v>
      </c>
      <c r="E37" s="8" t="inlineStr">
        <is>
          <t>Ethernet-коммутатор MES2348P, 48 портов 10/100/1000 Base-T (</t>
        </is>
      </c>
      <c r="F37" s="12" t="inlineStr">
        <is>
          <t>цена собрана сложением без расшифровки, из чего она состоит (доставка? монтаж?). Проверить и вынести составляющие в примечание.</t>
        </is>
      </c>
    </row>
    <row r="38">
      <c r="A38" s="9" t="n">
        <v>1935</v>
      </c>
      <c r="B38" s="9" t="inlineStr">
        <is>
          <t>H</t>
        </is>
      </c>
      <c r="C38" s="9">
        <f>143694+71847</f>
        <v/>
      </c>
      <c r="D38" s="9" t="n">
        <v>215541</v>
      </c>
      <c r="E38" s="8" t="inlineStr">
        <is>
          <t>Сервисный контракт на коммутационное оборудование Eltex MES,</t>
        </is>
      </c>
      <c r="F38" s="12" t="inlineStr">
        <is>
          <t>цена собрана сложением без расшифровки, из чего она состоит (доставка? монтаж?). Проверить и вынести составляющие в примечание.</t>
        </is>
      </c>
    </row>
    <row r="39">
      <c r="A39" s="9" t="n">
        <v>1952</v>
      </c>
      <c r="B39" s="9" t="inlineStr">
        <is>
          <t>H</t>
        </is>
      </c>
      <c r="C39" s="9">
        <f>56291+28145</f>
        <v/>
      </c>
      <c r="D39" s="9" t="n">
        <v>84436</v>
      </c>
      <c r="E39" s="8" t="inlineStr">
        <is>
          <t>Сервисный контракт на коммутационное оборудование Eltex MES,</t>
        </is>
      </c>
      <c r="F39" s="12" t="inlineStr">
        <is>
          <t>цена собрана сложением без расшифровки, из чего она состоит (доставка? монтаж?). Проверить и вынести составляющие в примечание.</t>
        </is>
      </c>
    </row>
    <row r="40">
      <c r="A40" s="9" t="n">
        <v>1955</v>
      </c>
      <c r="B40" s="9" t="inlineStr">
        <is>
          <t>H</t>
        </is>
      </c>
      <c r="C40" s="9">
        <f>690*100</f>
        <v/>
      </c>
      <c r="D40" s="9" t="n">
        <v>69000</v>
      </c>
      <c r="E40" s="8" t="inlineStr">
        <is>
          <t>ИБП онлайн двойного преобразования с встроенными аккумулятор</t>
        </is>
      </c>
      <c r="F40" s="21" t="inlineStr">
        <is>
          <t>цена = число × 100 без пояснения. Похоже на курс валюты, зашитый в формулу: если это так, при смене курса цена устареет молча.</t>
        </is>
      </c>
    </row>
    <row r="41">
      <c r="A41" s="9" t="n">
        <v>1968</v>
      </c>
      <c r="B41" s="9" t="inlineStr">
        <is>
          <t>H</t>
        </is>
      </c>
      <c r="C41" s="9">
        <f>1027*100</f>
        <v/>
      </c>
      <c r="D41" s="9" t="n">
        <v>102700</v>
      </c>
      <c r="E41" s="8" t="inlineStr">
        <is>
          <t>ИБП онлайн двойного преобразования с встроенными аккумулятор</t>
        </is>
      </c>
      <c r="F41" s="21" t="inlineStr">
        <is>
          <t>цена = число × 100 без пояснения. Похоже на курс валюты, зашитый в формулу: если это так, при смене курса цена устареет молча.</t>
        </is>
      </c>
    </row>
    <row r="42">
      <c r="A42" s="9" t="n">
        <v>1969</v>
      </c>
      <c r="B42" s="9" t="inlineStr">
        <is>
          <t>H</t>
        </is>
      </c>
      <c r="C42" s="9">
        <f>615*100</f>
        <v/>
      </c>
      <c r="D42" s="9" t="n">
        <v>61500</v>
      </c>
      <c r="E42" s="8" t="inlineStr">
        <is>
          <t>Батарейный модуль с установкой в стойку для ИБП СИПБ3КА.10-1</t>
        </is>
      </c>
      <c r="F42" s="21" t="inlineStr">
        <is>
          <t>цена = число × 100 без пояснения. Похоже на курс валюты, зашитый в формулу: если это так, при смене курса цена устареет молча.</t>
        </is>
      </c>
    </row>
    <row r="43">
      <c r="A43" s="9" t="n">
        <v>1997</v>
      </c>
      <c r="B43" s="9" t="inlineStr">
        <is>
          <t>H</t>
        </is>
      </c>
      <c r="C43" s="9">
        <f>851*100</f>
        <v/>
      </c>
      <c r="D43" s="9" t="n">
        <v>85100</v>
      </c>
      <c r="E43" s="8" t="inlineStr">
        <is>
          <t>ИБП онлайн двойного преобразования с встроенными аккумулятор</t>
        </is>
      </c>
      <c r="F43" s="21" t="inlineStr">
        <is>
          <t>цена = число × 100 без пояснения. Похоже на курс валюты, зашитый в формулу: если это так, при смене курса цена устареет молча.</t>
        </is>
      </c>
    </row>
    <row r="44">
      <c r="A44" s="9" t="n">
        <v>2317</v>
      </c>
      <c r="B44" s="9" t="inlineStr">
        <is>
          <t>H</t>
        </is>
      </c>
      <c r="C44" s="9">
        <f>4012.29*100</f>
        <v/>
      </c>
      <c r="D44" s="9" t="n">
        <v>401229</v>
      </c>
      <c r="E44" s="8" t="inlineStr">
        <is>
          <t>iROBO-2000-40i5TRHN-G3 Промышленный компьютер 4U/19"/C236/In</t>
        </is>
      </c>
      <c r="F44" s="21" t="inlineStr">
        <is>
          <t>цена = число × 100 без пояснения. Похоже на курс валюты, зашитый в формулу: если это так, при смене курса цена устареет молча.</t>
        </is>
      </c>
    </row>
    <row r="45">
      <c r="A45" s="9" t="n">
        <v>2318</v>
      </c>
      <c r="B45" s="9" t="inlineStr">
        <is>
          <t>H</t>
        </is>
      </c>
      <c r="C45" s="9">
        <f>1337.17*100</f>
        <v/>
      </c>
      <c r="D45" s="9" t="n">
        <v>133717</v>
      </c>
      <c r="E45" s="8" t="inlineStr">
        <is>
          <t>AMK808-17CBRU (AMK808-17CBRUS) 1U консоль для 19" стойки 17"</t>
        </is>
      </c>
      <c r="F45" s="21" t="inlineStr">
        <is>
          <t>цена = число × 100 без пояснения. Похоже на курс валюты, зашитый в формулу: если это так, при смене курса цена устареет молча.</t>
        </is>
      </c>
    </row>
    <row r="46">
      <c r="A46" s="9" t="n">
        <v>2320</v>
      </c>
      <c r="B46" s="9" t="inlineStr">
        <is>
          <t>H</t>
        </is>
      </c>
      <c r="C46" s="9">
        <f>2099.52*100</f>
        <v/>
      </c>
      <c r="D46" s="9" t="n">
        <v>209952</v>
      </c>
      <c r="E46" s="8" t="inlineStr">
        <is>
          <t>iROBO-3000-00i6-G3 Компактный промышленный компьютер/C236/In</t>
        </is>
      </c>
      <c r="F46" s="21" t="inlineStr">
        <is>
          <t>цена = число × 100 без пояснения. Похоже на курс валюты, зашитый в формулу: если это так, при смене курса цена устареет молча.</t>
        </is>
      </c>
    </row>
    <row r="47">
      <c r="A47" s="9" t="n">
        <v>2979</v>
      </c>
      <c r="B47" s="9" t="inlineStr">
        <is>
          <t>H</t>
        </is>
      </c>
      <c r="C47" s="9">
        <f>11790*1.22</f>
        <v/>
      </c>
      <c r="D47" s="9" t="n">
        <v>14383.8</v>
      </c>
      <c r="E47" s="8" t="inlineStr">
        <is>
          <t>Кресло медицинское винтовое Техсервис М101-01 с подлокотника</t>
        </is>
      </c>
      <c r="F47" s="8" t="inlineStr">
        <is>
          <t>формула-константа: считается как число, но выглядит как расчёт</t>
        </is>
      </c>
    </row>
    <row r="48">
      <c r="A48" s="9" t="n">
        <v>3005</v>
      </c>
      <c r="B48" s="9" t="inlineStr">
        <is>
          <t>H</t>
        </is>
      </c>
      <c r="C48" s="9">
        <f>11790*1.22</f>
        <v/>
      </c>
      <c r="D48" s="9" t="n">
        <v>14383.8</v>
      </c>
      <c r="E48" s="8" t="inlineStr">
        <is>
          <t>Кресло медицинское винтовое Техсервис М101-01 с подлокотника</t>
        </is>
      </c>
      <c r="F48" s="8" t="inlineStr">
        <is>
          <t>формула-константа: считается как число, но выглядит как расчёт</t>
        </is>
      </c>
    </row>
    <row r="49">
      <c r="A49" s="9" t="n">
        <v>3012</v>
      </c>
      <c r="B49" s="9" t="inlineStr">
        <is>
          <t>H</t>
        </is>
      </c>
      <c r="C49" s="9">
        <f>13990*1.22</f>
        <v/>
      </c>
      <c r="D49" s="9" t="n">
        <v>17067.8</v>
      </c>
      <c r="E49" s="8" t="inlineStr">
        <is>
          <t>Медицинский шкаф Hilfe МД 1 1650/SG Внешние размеры (В х Ш х</t>
        </is>
      </c>
      <c r="F49" s="8" t="inlineStr">
        <is>
          <t>формула-константа: считается как число, но выглядит как расчёт</t>
        </is>
      </c>
    </row>
    <row r="50">
      <c r="A50" s="9" t="n">
        <v>3013</v>
      </c>
      <c r="B50" s="9" t="inlineStr">
        <is>
          <t>H</t>
        </is>
      </c>
      <c r="C50" s="9">
        <f>19290*1.22</f>
        <v/>
      </c>
      <c r="D50" s="9" t="n">
        <v>23533.8</v>
      </c>
      <c r="E50" s="8" t="inlineStr">
        <is>
          <t>Медицинский шкаф Hilfe МД 2 1780/SG Внешние размеры (В х Ш х</t>
        </is>
      </c>
      <c r="F50" s="8" t="inlineStr">
        <is>
          <t>формула-константа: считается как число, но выглядит как расчёт</t>
        </is>
      </c>
    </row>
    <row r="51">
      <c r="A51" s="9" t="n">
        <v>3016</v>
      </c>
      <c r="B51" s="9" t="inlineStr">
        <is>
          <t>H</t>
        </is>
      </c>
      <c r="C51" s="9">
        <f>51500*1.22</f>
        <v/>
      </c>
      <c r="D51" s="9" t="n">
        <v>62830</v>
      </c>
      <c r="E51" s="8" t="inlineStr">
        <is>
          <t>Механические медицинские весы (встроенный ростомер) со шкало</t>
        </is>
      </c>
      <c r="F51" s="8" t="inlineStr">
        <is>
          <t>формула-константа: считается как число, но выглядит как расчёт</t>
        </is>
      </c>
    </row>
    <row r="52">
      <c r="A52" s="9" t="n">
        <v>3029</v>
      </c>
      <c r="B52" s="9" t="inlineStr">
        <is>
          <t>H</t>
        </is>
      </c>
      <c r="C52" s="9">
        <f>16990*1.22</f>
        <v/>
      </c>
      <c r="D52" s="9" t="n">
        <v>20727.8</v>
      </c>
      <c r="E52" s="8" t="inlineStr">
        <is>
          <t>Комплект пневматических травматологических шин и шейных воро</t>
        </is>
      </c>
      <c r="F52" s="8" t="inlineStr">
        <is>
          <t>формула-константа: считается как число, но выглядит как расчёт</t>
        </is>
      </c>
    </row>
    <row r="53">
      <c r="A53" s="9" t="n">
        <v>3030</v>
      </c>
      <c r="B53" s="9" t="inlineStr">
        <is>
          <t>H</t>
        </is>
      </c>
      <c r="C53" s="9">
        <f>69990*1.22</f>
        <v/>
      </c>
      <c r="D53" s="9" t="n">
        <v>85387.8</v>
      </c>
      <c r="E53" s="8" t="inlineStr">
        <is>
          <t>Укладка для оказания скорой медицинской помощи (общепрофильн</t>
        </is>
      </c>
      <c r="F53" s="8" t="inlineStr">
        <is>
          <t>формула-константа: считается как число, но выглядит как расчёт</t>
        </is>
      </c>
    </row>
    <row r="54">
      <c r="A54" s="9" t="n">
        <v>3040</v>
      </c>
      <c r="B54" s="9" t="inlineStr">
        <is>
          <t>H</t>
        </is>
      </c>
      <c r="C54" s="9">
        <f>19290*1.22</f>
        <v/>
      </c>
      <c r="D54" s="9" t="n">
        <v>23533.8</v>
      </c>
      <c r="E54" s="8" t="inlineStr">
        <is>
          <t>Медицинский шкаф Hilfe МД 2 1780/SG Внешние размеры (В х Ш х</t>
        </is>
      </c>
      <c r="F54" s="8" t="inlineStr">
        <is>
          <t>формула-константа: считается как число, но выглядит как расчёт</t>
        </is>
      </c>
    </row>
    <row r="55">
      <c r="A55" s="9" t="n">
        <v>3049</v>
      </c>
      <c r="B55" s="9" t="inlineStr">
        <is>
          <t>H</t>
        </is>
      </c>
      <c r="C55" s="9">
        <f>19290*1.22</f>
        <v/>
      </c>
      <c r="D55" s="9" t="n">
        <v>23533.8</v>
      </c>
      <c r="E55" s="8" t="inlineStr">
        <is>
          <t>Медицинский шкаф Hilfe МД 2 1780/SG Внешние размеры (В х Ш х</t>
        </is>
      </c>
      <c r="F55" s="8" t="inlineStr">
        <is>
          <t>формула-константа: считается как число, но выглядит как расчёт</t>
        </is>
      </c>
    </row>
    <row r="56">
      <c r="A56" s="9" t="n">
        <v>3061</v>
      </c>
      <c r="B56" s="9" t="inlineStr">
        <is>
          <t>H</t>
        </is>
      </c>
      <c r="C56" s="9">
        <f>129000*1.22</f>
        <v/>
      </c>
      <c r="D56" s="9" t="n">
        <v>157380</v>
      </c>
      <c r="E56" s="8" t="inlineStr">
        <is>
          <t>Станок ручной для заклепывания, расклепывания и выдавливания</t>
        </is>
      </c>
      <c r="F56" s="8" t="inlineStr">
        <is>
          <t>формула-константа: считается как число, но выглядит как расчёт</t>
        </is>
      </c>
    </row>
    <row r="57">
      <c r="A57" s="9" t="n">
        <v>3066</v>
      </c>
      <c r="B57" s="9" t="inlineStr">
        <is>
          <t>H</t>
        </is>
      </c>
      <c r="C57" s="9">
        <f>11790*1.22</f>
        <v/>
      </c>
      <c r="D57" s="9" t="n">
        <v>14383.8</v>
      </c>
      <c r="E57" s="8" t="inlineStr">
        <is>
          <t xml:space="preserve">Кресло винтовое Техсервис М101-01 с подлокотниками (черный, </t>
        </is>
      </c>
      <c r="F57" s="8" t="inlineStr">
        <is>
          <t>формула-константа: считается как число, но выглядит как расчёт</t>
        </is>
      </c>
    </row>
    <row r="58">
      <c r="A58" s="9" t="n">
        <v>3127</v>
      </c>
      <c r="B58" s="9" t="inlineStr">
        <is>
          <t>H</t>
        </is>
      </c>
      <c r="C58" s="9">
        <f>11790*1.22</f>
        <v/>
      </c>
      <c r="D58" s="9" t="n">
        <v>14383.8</v>
      </c>
      <c r="E58" s="8" t="inlineStr">
        <is>
          <t>Кресло медицинское винтовое Техсервис М101-01 с подлокотника</t>
        </is>
      </c>
      <c r="F58" s="8" t="inlineStr">
        <is>
          <t>формула-константа: считается как число, но выглядит как расчёт</t>
        </is>
      </c>
    </row>
    <row r="59">
      <c r="A59" s="9" t="n">
        <v>3131</v>
      </c>
      <c r="B59" s="9" t="inlineStr">
        <is>
          <t>H</t>
        </is>
      </c>
      <c r="C59" s="9">
        <f>6890*1.22</f>
        <v/>
      </c>
      <c r="D59" s="9" t="n">
        <v>8405.799999999999</v>
      </c>
      <c r="E59" s="8" t="inlineStr">
        <is>
          <t>Ширма медицинская двухсекционная мобильная; 1430х1600(h) мм</t>
        </is>
      </c>
      <c r="F59" s="8" t="inlineStr">
        <is>
          <t>формула-константа: считается как число, но выглядит как расчёт</t>
        </is>
      </c>
    </row>
    <row r="60">
      <c r="A60" s="9" t="n">
        <v>3132</v>
      </c>
      <c r="B60" s="9" t="inlineStr">
        <is>
          <t>H</t>
        </is>
      </c>
      <c r="C60" s="9">
        <f>13990*1.22</f>
        <v/>
      </c>
      <c r="D60" s="9" t="n">
        <v>17067.8</v>
      </c>
      <c r="E60" s="8" t="inlineStr">
        <is>
          <t>Медицинский шкаф Hilfe МД 1 1650/SG Внешние размеры (В х Ш х</t>
        </is>
      </c>
      <c r="F60" s="8" t="inlineStr">
        <is>
          <t>формула-константа: считается как число, но выглядит как расчёт</t>
        </is>
      </c>
    </row>
    <row r="61">
      <c r="A61" s="9" t="n">
        <v>3133</v>
      </c>
      <c r="B61" s="9" t="inlineStr">
        <is>
          <t>H</t>
        </is>
      </c>
      <c r="C61" s="9">
        <f>19290*1.22</f>
        <v/>
      </c>
      <c r="D61" s="9" t="n">
        <v>23533.8</v>
      </c>
      <c r="E61" s="8" t="inlineStr">
        <is>
          <t>Медицинский шкаф Hilfe МД 2 1780/SG Внешние размеры (В х Ш х</t>
        </is>
      </c>
      <c r="F61" s="8" t="inlineStr">
        <is>
          <t>формула-константа: считается как число, но выглядит как расчёт</t>
        </is>
      </c>
    </row>
    <row r="62">
      <c r="A62" s="9" t="n">
        <v>3137</v>
      </c>
      <c r="B62" s="9" t="inlineStr">
        <is>
          <t>H</t>
        </is>
      </c>
      <c r="C62" s="9">
        <f>51500*1.22</f>
        <v/>
      </c>
      <c r="D62" s="9" t="n">
        <v>62830</v>
      </c>
      <c r="E62" s="8" t="inlineStr">
        <is>
          <t>Механические медицинские весы (встроенный ростомер) со шкало</t>
        </is>
      </c>
      <c r="F62" s="8" t="inlineStr">
        <is>
          <t>формула-константа: считается как число, но выглядит как расчёт</t>
        </is>
      </c>
    </row>
    <row r="63">
      <c r="A63" s="9" t="n">
        <v>3149</v>
      </c>
      <c r="B63" s="9" t="inlineStr">
        <is>
          <t>H</t>
        </is>
      </c>
      <c r="C63" s="9">
        <f>16990*1.22</f>
        <v/>
      </c>
      <c r="D63" s="9" t="n">
        <v>20727.8</v>
      </c>
      <c r="E63" s="8" t="inlineStr">
        <is>
          <t>Комплект пневматических травматологических шин и шейных воро</t>
        </is>
      </c>
      <c r="F63" s="8" t="inlineStr">
        <is>
          <t>формула-константа: считается как число, но выглядит как расчёт</t>
        </is>
      </c>
    </row>
    <row r="64">
      <c r="A64" s="9" t="n">
        <v>3150</v>
      </c>
      <c r="B64" s="9" t="inlineStr">
        <is>
          <t>H</t>
        </is>
      </c>
      <c r="C64" s="9">
        <f>69990*1.22</f>
        <v/>
      </c>
      <c r="D64" s="9" t="n">
        <v>85387.8</v>
      </c>
      <c r="E64" s="8" t="inlineStr">
        <is>
          <t>Укладка для оказания скорой медицинской помощи (общепрофильн</t>
        </is>
      </c>
      <c r="F64" s="8" t="inlineStr">
        <is>
          <t>формула-константа: считается как число, но выглядит как расчёт</t>
        </is>
      </c>
    </row>
    <row r="65">
      <c r="A65" s="9" t="n">
        <v>4291</v>
      </c>
      <c r="B65" s="9" t="inlineStr">
        <is>
          <t>H</t>
        </is>
      </c>
      <c r="C65" s="9">
        <f>525100+45000</f>
        <v/>
      </c>
      <c r="D65" s="9" t="n">
        <v>570100</v>
      </c>
      <c r="E65" s="8" t="inlineStr">
        <is>
          <t xml:space="preserve">Навес теневой тип 5, Комплект со стенкой, скамейкой и урной </t>
        </is>
      </c>
      <c r="F65" s="12" t="inlineStr">
        <is>
          <t>цена собрана сложением без расшифровки, из чего она состоит (доставка? монтаж?). Проверить и вынести составляющие в примечание.</t>
        </is>
      </c>
    </row>
    <row r="66">
      <c r="A66" s="9" t="n">
        <v>4339</v>
      </c>
      <c r="B66" s="9" t="inlineStr">
        <is>
          <t>I</t>
        </is>
      </c>
      <c r="C66" s="9">
        <f>SUM(I2:I4337)</f>
        <v/>
      </c>
      <c r="D66" s="9" t="n">
        <v>1448528218.353141</v>
      </c>
      <c r="E66" s="8" t="inlineStr">
        <is>
          <t>ИТОГО, руб. с НДС:</t>
        </is>
      </c>
      <c r="F66" s="25" t="inlineStr">
        <is>
          <t>итоговая сумма по листу, диапазон I2:I4337 — корректный, все данные внутри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2026-08-05T09:29:45Z</dcterms:created>
  <dcterms:modified xsi:type="dcterms:W3CDTF">2026-08-05T09:39:06Z</dcterms:modified>
</cp:coreProperties>
</file>