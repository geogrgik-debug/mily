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дбор под 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;[Red](#,##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563C1"/>
      <sz val="9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52" customWidth="1" min="3" max="3"/>
    <col width="44" customWidth="1" min="4" max="4"/>
    <col width="30" customWidth="1" min="5" max="5"/>
    <col width="42" customWidth="1" min="6" max="6"/>
    <col width="13" customWidth="1" min="7" max="7"/>
    <col width="15" customWidth="1" min="8" max="8"/>
    <col width="58" customWidth="1" min="9" max="9"/>
    <col width="66" customWidth="1" min="10" max="10"/>
  </cols>
  <sheetData>
    <row r="1">
      <c r="A1" s="1" t="inlineStr">
        <is>
          <t>ПОДБОР КОМПЬЮТЕРНОЙ ТЕХНИКИ ПОД ЗАДАЧИ ПОМЕЩЕНИЙ</t>
        </is>
      </c>
    </row>
    <row r="2">
      <c r="A2" s="2" t="inlineStr">
        <is>
          <t>Модели подобраны по тому, кто и чем занят в помещении. Уровень — рабочий, не премиум. Цены — открытые прайсы, август 2026, не КП. Спецификация не изменялась.</t>
        </is>
      </c>
    </row>
    <row r="4" ht="32" customHeight="1">
      <c r="A4" s="3" t="inlineStr">
        <is>
          <t>Позиция</t>
        </is>
      </c>
      <c r="B4" s="3" t="inlineStr">
        <is>
          <t>Кол-во</t>
        </is>
      </c>
      <c r="C4" s="3" t="inlineStr">
        <is>
          <t>Где стоит</t>
        </is>
      </c>
      <c r="D4" s="3" t="inlineStr">
        <is>
          <t>Чем там занимаются</t>
        </is>
      </c>
      <c r="E4" s="3" t="inlineStr">
        <is>
          <t>Что брать</t>
        </is>
      </c>
      <c r="F4" s="3" t="inlineStr">
        <is>
          <t>Конфигурация</t>
        </is>
      </c>
      <c r="G4" s="3" t="inlineStr">
        <is>
          <t>Цена за шт, ₽</t>
        </is>
      </c>
      <c r="H4" s="3" t="inlineStr">
        <is>
          <t>Сумма, ₽</t>
        </is>
      </c>
      <c r="I4" s="3" t="inlineStr">
        <is>
          <t>Ссылка</t>
        </is>
      </c>
      <c r="J4" s="3" t="inlineStr">
        <is>
          <t>Комментарий</t>
        </is>
      </c>
    </row>
    <row r="5">
      <c r="A5" s="4" t="inlineStr">
        <is>
          <t>Моноблок — базовое рабочее место</t>
        </is>
      </c>
      <c r="B5" s="5" t="n">
        <v>29</v>
      </c>
      <c r="C5" s="6" t="inlineStr">
        <is>
          <t>Охрана и СБ (105.1, 107, 118, 119) — 7 · Кассы (109, 109.1) — 2 · Вестибюль/ресепшн (102) — 2 · Медицина (141, 146) — 2 · Судьи (134.2) — 1 · Распечатка результатов (162.2) — 2 · Админблок (178–182) — 5 · Техперсонал (183) — 3 · Тренеры (184) — 4 · Операторская (187.2) — 1</t>
        </is>
      </c>
      <c r="D5" s="6" t="inlineStr">
        <is>
          <t>Документы, 1С, почта, браузер, клиент СКУД, печать. Ничего тяжёлого.</t>
        </is>
      </c>
      <c r="E5" s="4" t="inlineStr">
        <is>
          <t>DEXP Aquilon AQ31HE 23.8"</t>
        </is>
      </c>
      <c r="F5" s="6" t="inlineStr">
        <is>
          <t>Intel N100, 8 ГБ, SSD 256 ГБ, IPS Full HD, Windows 11 Pro</t>
        </is>
      </c>
      <c r="G5" s="7" t="n">
        <v>29799</v>
      </c>
      <c r="H5" s="7">
        <f>B5*G5</f>
        <v/>
      </c>
      <c r="I5" s="8" t="inlineStr">
        <is>
          <t>https://www.dns-shop.ru/product/aad9638ba8bcea04/238-monoblok-dexp-aquilon-aq31he/</t>
        </is>
      </c>
      <c r="J5" s="9" t="inlineStr">
        <is>
          <t>Windows 11 Pro уже в комплекте — отдельно ОС покупать не надо. Клавиатура и мышь входят.</t>
        </is>
      </c>
    </row>
    <row r="6">
      <c r="A6" s="4" t="inlineStr">
        <is>
          <t>Моноблок — фото и трансляция</t>
        </is>
      </c>
      <c r="B6" s="5" t="n">
        <v>6</v>
      </c>
      <c r="C6" s="6" t="inlineStr">
        <is>
          <t>Фотографы (199.2, 199.3) — 4 · Комментаторская студия (193) — 2</t>
        </is>
      </c>
      <c r="D6" s="6" t="inlineStr">
        <is>
          <t>Обработка фотосъёмки, работа с видеопотоком. Здесь базовой машины мало.</t>
        </is>
      </c>
      <c r="E6" s="4" t="inlineStr">
        <is>
          <t>DEXP Aquilon AQ33HE 23.8" — минимум</t>
        </is>
      </c>
      <c r="F6" s="6" t="inlineStr">
        <is>
          <t>Intel N100, 16 ГБ, SSD 512 ГБ, IPS Full HD, Windows 11 Pro</t>
        </is>
      </c>
      <c r="G6" s="7" t="n">
        <v>37499</v>
      </c>
      <c r="H6" s="7">
        <f>B6*G6</f>
        <v/>
      </c>
      <c r="I6" s="8" t="inlineStr">
        <is>
          <t>https://www.dns-shop.ru/product/b3496feba1796483/238-monoblok-dexp-aquilon-aq33he/</t>
        </is>
      </c>
      <c r="J6" s="10" t="inlineStr">
        <is>
          <t>ЧЕСТНО: у AQ33HE больше памяти и диска, но процессор тот же слабый N100. Для Lightroom/Photoshop он будет тормозить. Если фотографы реально обрабатывают RAW — берите класс Core i5 / Ryzen 5, это 55–75 тыс. Каталог: https://www.dns-shop.ru/catalog/recipe/31262d1866ae2669/dla-ofisa/</t>
        </is>
      </c>
    </row>
    <row r="7">
      <c r="A7" s="4" t="inlineStr">
        <is>
          <t>МФУ монохромное А4 — вместо цветного А3</t>
        </is>
      </c>
      <c r="B7" s="5" t="n">
        <v>11</v>
      </c>
      <c r="C7" s="6" t="inlineStr">
        <is>
          <t>Охрана и СБ (105.1, 107, 118, 119) — 4 · Вестибюль (102) — 1 · Распечатка (162.2) — 1 · Кабинеты (178, 181, 182) — 3 · Техперсонал (183) — 1 · Комментаторская (193) — 1</t>
        </is>
      </c>
      <c r="D7" s="6" t="inlineStr">
        <is>
          <t>Пропуска, акты, служебки, распечатка списков. Цвет и А3 здесь не нужны.</t>
        </is>
      </c>
      <c r="E7" s="4" t="inlineStr">
        <is>
          <t>Pantum M6500</t>
        </is>
      </c>
      <c r="F7" s="6" t="inlineStr">
        <is>
          <t>ч/б лазерное 3-в-1, А4, 22 стр/мин, нагрузка 20 000 стр/мес</t>
        </is>
      </c>
      <c r="G7" s="7" t="n">
        <v>15578</v>
      </c>
      <c r="H7" s="7">
        <f>B7*G7</f>
        <v/>
      </c>
      <c r="I7" s="8" t="inlineStr">
        <is>
          <t>https://www.officemag.ru/catalog/goods/353812/</t>
        </is>
      </c>
      <c r="J7" s="11" t="inlineStr">
        <is>
          <t>ГЛАВНАЯ ЭКОНОМИЯ. В спецификации на все 13 точек заложено цветное лазерное А3 — это от 200 000 ₽ за штуку. Охране и кассе такое не нужно. Замена 11 из 13 на монохром А4 экономит ~2,0 млн ₽.</t>
        </is>
      </c>
    </row>
    <row r="8">
      <c r="A8" s="4" t="inlineStr">
        <is>
          <t>МФУ цветное лазерное А3 — там, где правда нужно</t>
        </is>
      </c>
      <c r="B8" s="5" t="n">
        <v>2</v>
      </c>
      <c r="C8" s="6" t="inlineStr">
        <is>
          <t>Приёмная (179) — 1 · Кабинет директора (180) — 1</t>
        </is>
      </c>
      <c r="D8" s="6" t="inlineStr">
        <is>
          <t>Афиши, схемы, презентации, цветные документы на подпись.</t>
        </is>
      </c>
      <c r="E8" s="4" t="inlineStr">
        <is>
          <t>Kyocera ECOSYS M8124cidn</t>
        </is>
      </c>
      <c r="F8" s="6" t="inlineStr">
        <is>
          <t>цветное лазерное МФУ А3, от 201 987 ₽</t>
        </is>
      </c>
      <c r="G8" s="7" t="n">
        <v>201987</v>
      </c>
      <c r="H8" s="7">
        <f>B8*G8</f>
        <v/>
      </c>
      <c r="I8" s="8" t="inlineStr">
        <is>
          <t>https://market.yandex.ru/category/tsvetnyye-lazernyye-mfu-dlya-ofisa-a3</t>
        </is>
      </c>
      <c r="J8" s="9" t="inlineStr">
        <is>
          <t>Оставить только в администрации. Каталоги: https://www.dns-shop.ru/catalog/recipe/38b13e633dec8dd4/cvetnye-a3/ и https://www.citilink.ru/catalog/mfu--mfu-lazernye-a3/</t>
        </is>
      </c>
    </row>
    <row r="9">
      <c r="A9" s="4" t="inlineStr">
        <is>
          <t>МФУ с фотопечатью А3</t>
        </is>
      </c>
      <c r="B9" s="5" t="n">
        <v>3</v>
      </c>
      <c r="C9" s="6" t="inlineStr">
        <is>
          <t>Помещения фотографа (199.2, 199.3)</t>
        </is>
      </c>
      <c r="D9" s="6" t="inlineStr">
        <is>
          <t>Печать фотографий, в т.ч. А3. В спецификации так и написано — «с возможностью печати фотографий».</t>
        </is>
      </c>
      <c r="E9" s="4" t="inlineStr">
        <is>
          <t>Epson L11050</t>
        </is>
      </c>
      <c r="F9" s="6" t="inlineStr">
        <is>
          <t>струйное А3+, СНПЧ (без картриджей), Wi-Fi, ~20 коп. за лист А4</t>
        </is>
      </c>
      <c r="G9" s="7" t="n">
        <v>50416</v>
      </c>
      <c r="H9" s="7">
        <f>B9*G9</f>
        <v/>
      </c>
      <c r="I9" s="8" t="inlineStr">
        <is>
          <t>https://www.marketvale.ru/product/c11ck39505-c11ck39503-printer-fabrika-pechati-epson-l11050</t>
        </is>
      </c>
      <c r="J9" s="9" t="inlineStr">
        <is>
          <t>СНПЧ принципиально: на фотопечати картриджи разорят. Расходники дешевле в разы.</t>
        </is>
      </c>
    </row>
    <row r="10">
      <c r="A10" s="4" t="inlineStr">
        <is>
          <t>Принтер А4 — билеты</t>
        </is>
      </c>
      <c r="B10" s="5" t="n">
        <v>2</v>
      </c>
      <c r="C10" s="6" t="inlineStr">
        <is>
          <t>Касса массового катания (109) · Помещение кассы (109.1)</t>
        </is>
      </c>
      <c r="D10" s="6" t="inlineStr">
        <is>
          <t>Печать билетов и чеков-корешков. Скорость и цвет не нужны, нужна надёжность и дешёвый тонер.</t>
        </is>
      </c>
      <c r="E10" s="4" t="inlineStr">
        <is>
          <t>Pantum P2500W</t>
        </is>
      </c>
      <c r="F10" s="6" t="inlineStr">
        <is>
          <t>ч/б лазерный, А4, 22 стр/мин, Wi-Fi, нагрузка 15 000 стр/мес</t>
        </is>
      </c>
      <c r="G10" s="7" t="n">
        <v>9967</v>
      </c>
      <c r="H10" s="7">
        <f>B10*G10</f>
        <v/>
      </c>
      <c r="I10" s="8" t="inlineStr">
        <is>
          <t>https://www.foroffice.ru/products/description/169837.html</t>
        </is>
      </c>
      <c r="J10" s="9" t="inlineStr">
        <is>
          <t>Есть версия без Wi-Fi (P2500) — практически те же деньги. Ситилинк: https://www.citilink.ru/product/printer-lazernyi-pantum-p2500w-lazernyi-cvet-chernyi-934242/</t>
        </is>
      </c>
    </row>
    <row r="11">
      <c r="A11" s="4" t="inlineStr">
        <is>
          <t>Ноутбук</t>
        </is>
      </c>
      <c r="B11" s="5" t="n">
        <v>1</v>
      </c>
      <c r="C11" s="6" t="inlineStr">
        <is>
          <t>Зал универсальный, гимнастики, аэробики ОФП (163)</t>
        </is>
      </c>
      <c r="D11" s="6" t="inlineStr">
        <is>
          <t>Музыка на занятиях, показ упражнений, расписание. Нагрузки никакой.</t>
        </is>
      </c>
      <c r="E11" s="4" t="inlineStr">
        <is>
          <t>Офисный 15.6", i3/Ryzen 3</t>
        </is>
      </c>
      <c r="F11" s="6" t="inlineStr">
        <is>
          <t>8 ГБ, SSD 512 ГБ, Full HD IPS</t>
        </is>
      </c>
      <c r="G11" s="7" t="n">
        <v>40000</v>
      </c>
      <c r="H11" s="7">
        <f>B11*G11</f>
        <v/>
      </c>
      <c r="I11" s="8" t="inlineStr">
        <is>
          <t>https://www.dns-shop.ru/catalog/recipe/5c830f6aca343a75/dla-ofisa/</t>
        </is>
      </c>
      <c r="J11" s="9" t="inlineStr">
        <is>
          <t>Конкретную модель не фиксирую — в этом классе они меняются каждый квартал. Берите любой из каталога в диапазоне 35–50 тыс. Ситилинк: https://www.citilink.ru/catalog/noutbuki--deshevyie-noutbuki/</t>
        </is>
      </c>
    </row>
    <row r="12">
      <c r="A12" s="4" t="inlineStr">
        <is>
          <t>Телевизор 43" на консоли</t>
        </is>
      </c>
      <c r="B12" s="5" t="n">
        <v>8</v>
      </c>
      <c r="C12" s="6" t="inlineStr">
        <is>
          <t>Кабинеты 178–184 — 7 · Комната отдыха техперсонала (197.4) — 1</t>
        </is>
      </c>
      <c r="D12" s="6" t="inlineStr">
        <is>
          <t>Информационный экран, совещания, новости. Смотрят с 2–3 метров.</t>
        </is>
      </c>
      <c r="E12" s="4" t="inlineStr">
        <is>
          <t>DEXP F431 43"</t>
        </is>
      </c>
      <c r="F12" s="6" t="inlineStr">
        <is>
          <t>Full HD 1920×1080, Direct LED, Wi-Fi, Smart TV, 3×HDMI</t>
        </is>
      </c>
      <c r="G12" s="7" t="n">
        <v>15799</v>
      </c>
      <c r="H12" s="7">
        <f>B12*G12</f>
        <v/>
      </c>
      <c r="I12" s="8" t="inlineStr">
        <is>
          <t>https://www.dns-shop.ru/product/787468582d2aed20/43-109-sm-led-televizor-dexp-f431-seryj/</t>
        </is>
      </c>
      <c r="J12" s="10" t="inlineStr">
        <is>
          <t>ВАЖНО: в спецификации «телевизор на консоли», но сама консоль (кронштейн) отдельной строкой не заложена. Заложить ~2 000 ₽ на кронштейн под каждый — это ещё 16 тыс.</t>
        </is>
      </c>
    </row>
    <row r="13">
      <c r="A13" s="4" t="inlineStr">
        <is>
          <t>ИТОГО</t>
        </is>
      </c>
      <c r="B13" s="12">
        <f>SUM(B5:B12)</f>
        <v/>
      </c>
      <c r="C13" s="6" t="n"/>
      <c r="D13" s="6" t="n"/>
      <c r="E13" s="6" t="n"/>
      <c r="F13" s="6" t="n"/>
      <c r="G13" s="7" t="n"/>
      <c r="H13" s="13">
        <f>SUM(H5:H12)</f>
        <v/>
      </c>
      <c r="I13" s="6" t="n"/>
      <c r="J13" s="6" t="n"/>
    </row>
    <row r="14">
      <c r="A14" s="6" t="n"/>
      <c r="B14" s="5" t="n"/>
      <c r="C14" s="6" t="n"/>
      <c r="D14" s="6" t="n"/>
      <c r="E14" s="6" t="n"/>
      <c r="F14" s="6" t="n"/>
      <c r="G14" s="7" t="n"/>
      <c r="H14" s="7" t="n"/>
      <c r="I14" s="6" t="n"/>
      <c r="J14" s="6" t="n"/>
    </row>
    <row r="15">
      <c r="A15" s="14" t="inlineStr">
        <is>
          <t>СРАВНЕНИЕ ПО МФУ</t>
        </is>
      </c>
      <c r="B15" s="5" t="n"/>
      <c r="C15" s="6" t="n"/>
      <c r="D15" s="6" t="n"/>
      <c r="E15" s="6" t="n"/>
      <c r="F15" s="6" t="n"/>
      <c r="G15" s="7" t="n"/>
      <c r="H15" s="7" t="n"/>
      <c r="I15" s="6" t="n"/>
      <c r="J15" s="6" t="n"/>
    </row>
    <row r="16">
      <c r="A16" s="6" t="inlineStr">
        <is>
          <t>Если брать как записано в спецификации: 13 × цветное лазерное А3</t>
        </is>
      </c>
      <c r="B16" s="5" t="n">
        <v>13</v>
      </c>
      <c r="C16" s="6" t="n"/>
      <c r="D16" s="6" t="n"/>
      <c r="E16" s="6" t="n"/>
      <c r="F16" s="6" t="n"/>
      <c r="G16" s="7" t="n">
        <v>201987</v>
      </c>
      <c r="H16" s="7">
        <f>B16*G16</f>
        <v/>
      </c>
      <c r="I16" s="6" t="n"/>
      <c r="J16" s="6" t="n"/>
    </row>
    <row r="17">
      <c r="A17" s="6" t="inlineStr">
        <is>
          <t>Предложение: 11 × монохром А4 (Pantum M6500)</t>
        </is>
      </c>
      <c r="B17" s="5" t="n">
        <v>11</v>
      </c>
      <c r="C17" s="6" t="n"/>
      <c r="D17" s="6" t="n"/>
      <c r="E17" s="6" t="n"/>
      <c r="F17" s="6" t="n"/>
      <c r="G17" s="7" t="n">
        <v>15578</v>
      </c>
      <c r="H17" s="7">
        <f>B17*G17</f>
        <v/>
      </c>
      <c r="I17" s="6" t="n"/>
      <c r="J17" s="6" t="n"/>
    </row>
    <row r="18">
      <c r="A18" s="6" t="inlineStr">
        <is>
          <t>плюс 2 × цветное А3 в администрацию</t>
        </is>
      </c>
      <c r="B18" s="5" t="n">
        <v>2</v>
      </c>
      <c r="C18" s="6" t="n"/>
      <c r="D18" s="6" t="n"/>
      <c r="E18" s="6" t="n"/>
      <c r="F18" s="6" t="n"/>
      <c r="G18" s="7" t="n">
        <v>201987</v>
      </c>
      <c r="H18" s="7">
        <f>B18*G18</f>
        <v/>
      </c>
      <c r="I18" s="6" t="n"/>
      <c r="J18" s="6" t="n"/>
    </row>
    <row r="19">
      <c r="A19" s="4" t="inlineStr">
        <is>
          <t>ЭКОНОМИЯ</t>
        </is>
      </c>
      <c r="B19" s="5" t="n"/>
      <c r="C19" s="6" t="n"/>
      <c r="D19" s="6" t="n"/>
      <c r="E19" s="6" t="n"/>
      <c r="F19" s="6" t="n"/>
      <c r="G19" s="7" t="n"/>
      <c r="H19" s="15">
        <f>H16-H17-H18</f>
        <v/>
      </c>
      <c r="I19" s="6" t="n"/>
      <c r="J1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2026-08-05T12:19:50Z</dcterms:created>
  <dcterms:modified xsi:type="dcterms:W3CDTF">2026-08-05T12:19:50Z</dcterms:modified>
</cp:coreProperties>
</file>