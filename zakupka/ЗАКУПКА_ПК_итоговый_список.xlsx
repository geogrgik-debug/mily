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вый спис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;[Red](#,##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563C1"/>
      <sz val="9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52" customWidth="1" min="4" max="4"/>
    <col width="14" customWidth="1" min="5" max="5"/>
    <col width="16" customWidth="1" min="6" max="6"/>
    <col width="13" customWidth="1" min="7" max="7"/>
    <col width="60" customWidth="1" min="8" max="8"/>
    <col width="74" customWidth="1" min="9" max="9"/>
  </cols>
  <sheetData>
    <row r="1">
      <c r="A1" s="1" t="inlineStr">
        <is>
          <t>ЗАКУПКА КОМПЬЮТЕРНОГО ОБОРУДОВАНИЯ — ИТОГОВЫЙ СПИСОК</t>
        </is>
      </c>
    </row>
    <row r="2">
      <c r="A2" s="2" t="inlineStr">
        <is>
          <t>Серверы DEPO Storm 1420Q1 и 3450Z1 в список не входят — заказаны отдельно. Цены — открытые прайсы, август 2026, не коммерческие предложения. Спецификация не изменялась.</t>
        </is>
      </c>
    </row>
    <row r="4" ht="32" customHeight="1">
      <c r="A4" s="3" t="inlineStr">
        <is>
          <t>Позиция</t>
        </is>
      </c>
      <c r="B4" s="3" t="inlineStr">
        <is>
          <t>Строки в «Спецификации»</t>
        </is>
      </c>
      <c r="C4" s="3" t="inlineStr">
        <is>
          <t>Кол-во</t>
        </is>
      </c>
      <c r="D4" s="3" t="inlineStr">
        <is>
          <t>Что брать</t>
        </is>
      </c>
      <c r="E4" s="3" t="inlineStr">
        <is>
          <t>Цена за шт, ₽</t>
        </is>
      </c>
      <c r="F4" s="3" t="inlineStr">
        <is>
          <t>Сумма, ₽</t>
        </is>
      </c>
      <c r="G4" s="3" t="inlineStr">
        <is>
          <t>Статус</t>
        </is>
      </c>
      <c r="H4" s="3" t="inlineStr">
        <is>
          <t>Ссылка</t>
        </is>
      </c>
      <c r="I4" s="3" t="inlineStr">
        <is>
          <t>Комментарий</t>
        </is>
      </c>
    </row>
    <row r="5">
      <c r="A5" s="4" t="inlineStr">
        <is>
          <t>Моноблок — базовое рабочее место</t>
        </is>
      </c>
      <c r="B5" s="5" t="inlineStr">
        <is>
          <t>2500, 2516, 2537, 2558, 2570, 2610, 2622, 2967, 3015, 3134, 3249, 3442, 3455, 3472, 3485, 3499, 3513, 3520, 3674</t>
        </is>
      </c>
      <c r="C5" s="6" t="n">
        <v>29</v>
      </c>
      <c r="D5" s="5" t="inlineStr">
        <is>
          <t>DEXP Aquilon AQ31HE 23.8" — N100, 8 ГБ, SSD 256, Win 11 Pro</t>
        </is>
      </c>
      <c r="E5" s="7" t="n">
        <v>29799</v>
      </c>
      <c r="F5" s="7">
        <f>C5*E5</f>
        <v/>
      </c>
      <c r="G5" s="6" t="inlineStr"/>
      <c r="H5" s="8" t="inlineStr">
        <is>
          <t>https://www.dns-shop.ru/product/aad9638ba8bcea04/238-monoblok-dexp-aquilon-aq31he/</t>
        </is>
      </c>
      <c r="I5" s="5" t="inlineStr">
        <is>
          <t>Охрана, кассы, вестибюль, медпункт, админблок, техперсонал, тренеры. Клавиатура и мышь в комплекте.</t>
        </is>
      </c>
    </row>
    <row r="6">
      <c r="A6" s="4" t="inlineStr">
        <is>
          <t>Моноблок — фото и трансляция</t>
        </is>
      </c>
      <c r="B6" s="5" t="inlineStr">
        <is>
          <t>3775, 3853, 3861</t>
        </is>
      </c>
      <c r="C6" s="6" t="n">
        <v>6</v>
      </c>
      <c r="D6" s="5" t="inlineStr">
        <is>
          <t>DEXP Aquilon AQ33HE 23.8" — N100, 16 ГБ, SSD 512, Win 11 Pro</t>
        </is>
      </c>
      <c r="E6" s="7" t="n">
        <v>37499</v>
      </c>
      <c r="F6" s="7">
        <f>C6*E6</f>
        <v/>
      </c>
      <c r="G6" s="9" t="inlineStr">
        <is>
          <t>ПРОВЕРИТЬ</t>
        </is>
      </c>
      <c r="H6" s="8" t="inlineStr">
        <is>
          <t>https://www.dns-shop.ru/product/b3496feba1796483/238-monoblok-dexp-aquilon-aq33he/</t>
        </is>
      </c>
      <c r="I6" s="10" t="inlineStr">
        <is>
          <t>Процессор тот же слабый N100. Если фотографы обрабатывают RAW — нужен класс i5/Ryzen 5, это +100–200 тыс. на 6 машин.</t>
        </is>
      </c>
    </row>
    <row r="7">
      <c r="A7" s="4" t="inlineStr">
        <is>
          <t>МФУ монохромное А4</t>
        </is>
      </c>
      <c r="B7" s="5" t="inlineStr">
        <is>
          <t>2501, 2517, 2538, 2611, 2623, 3250, 3441, 3484, 3498, 3512, 3776</t>
        </is>
      </c>
      <c r="C7" s="6" t="n">
        <v>11</v>
      </c>
      <c r="D7" s="5" t="inlineStr">
        <is>
          <t>Pantum M6500 — ч/б лазерное 3-в-1, А4, 22 стр/мин</t>
        </is>
      </c>
      <c r="E7" s="7" t="n">
        <v>15578</v>
      </c>
      <c r="F7" s="7">
        <f>C7*E7</f>
        <v/>
      </c>
      <c r="G7" s="11" t="inlineStr">
        <is>
          <t>ЭКОНОМИЯ</t>
        </is>
      </c>
      <c r="H7" s="8" t="inlineStr">
        <is>
          <t>https://www.officemag.ru/catalog/goods/353812/</t>
        </is>
      </c>
      <c r="I7" s="12" t="inlineStr">
        <is>
          <t>В спецификации на эти точки заложено цветное лазерное А3 по 201 987 ₽. Охране и кассе оно не нужно. Замена 11 точек экономит 2 050 499 ₽.</t>
        </is>
      </c>
    </row>
    <row r="8">
      <c r="A8" s="4" t="inlineStr">
        <is>
          <t>МФУ цветное лазерное А3</t>
        </is>
      </c>
      <c r="B8" s="5" t="inlineStr">
        <is>
          <t>3454, 3471</t>
        </is>
      </c>
      <c r="C8" s="6" t="n">
        <v>2</v>
      </c>
      <c r="D8" s="5" t="inlineStr">
        <is>
          <t>Kyocera ECOSYS M8124cidn или аналог</t>
        </is>
      </c>
      <c r="E8" s="7" t="n">
        <v>201987</v>
      </c>
      <c r="F8" s="7">
        <f>C8*E8</f>
        <v/>
      </c>
      <c r="G8" s="6" t="inlineStr"/>
      <c r="H8" s="8" t="inlineStr">
        <is>
          <t>https://market.yandex.ru/category/tsvetnyye-lazernyye-mfu-dlya-ofisa-a3</t>
        </is>
      </c>
      <c r="I8" s="5" t="inlineStr">
        <is>
          <t>Оставлено только в приёмной и кабинете директора — афиши, схемы, презентации.</t>
        </is>
      </c>
    </row>
    <row r="9">
      <c r="A9" s="4" t="inlineStr">
        <is>
          <t>МФУ с фотопечатью А3</t>
        </is>
      </c>
      <c r="B9" s="5" t="inlineStr">
        <is>
          <t>3854, 3862</t>
        </is>
      </c>
      <c r="C9" s="6" t="n">
        <v>3</v>
      </c>
      <c r="D9" s="5" t="inlineStr">
        <is>
          <t>Epson L11050 — струйное А3+, СНПЧ</t>
        </is>
      </c>
      <c r="E9" s="7" t="n">
        <v>50416</v>
      </c>
      <c r="F9" s="7">
        <f>C9*E9</f>
        <v/>
      </c>
      <c r="G9" s="6" t="inlineStr"/>
      <c r="H9" s="8" t="inlineStr">
        <is>
          <t>https://www.marketvale.ru/product/c11ck39505-c11ck39503-printer-fabrika-pechati-epson-l11050</t>
        </is>
      </c>
      <c r="I9" s="5" t="inlineStr">
        <is>
          <t>СНПЧ обязательно: на фотопечати картриджи разорят. ~20 коп. за лист А4.</t>
        </is>
      </c>
    </row>
    <row r="10">
      <c r="A10" s="4" t="inlineStr">
        <is>
          <t>Принтер А4 — билеты</t>
        </is>
      </c>
      <c r="B10" s="5" t="inlineStr">
        <is>
          <t>2560, 2572</t>
        </is>
      </c>
      <c r="C10" s="6" t="n">
        <v>2</v>
      </c>
      <c r="D10" s="5" t="inlineStr">
        <is>
          <t>Pantum P2500W — ч/б лазерный, А4</t>
        </is>
      </c>
      <c r="E10" s="7" t="n">
        <v>9967</v>
      </c>
      <c r="F10" s="7">
        <f>C10*E10</f>
        <v/>
      </c>
      <c r="G10" s="6" t="inlineStr"/>
      <c r="H10" s="8" t="inlineStr">
        <is>
          <t>https://www.foroffice.ru/products/description/169837.html</t>
        </is>
      </c>
      <c r="I10" s="5" t="inlineStr">
        <is>
          <t>Кассы. Печать билетов.</t>
        </is>
      </c>
    </row>
    <row r="11">
      <c r="A11" s="4" t="inlineStr">
        <is>
          <t>Принтер лазерный А4</t>
        </is>
      </c>
      <c r="B11" s="5" t="inlineStr">
        <is>
          <t>2322</t>
        </is>
      </c>
      <c r="C11" s="6" t="n">
        <v>1</v>
      </c>
      <c r="D11" s="5" t="inlineStr">
        <is>
          <t>Kyocera ECOSYS PA4500x — 45 стр/мин, ресурс 150 000 стр/мес</t>
        </is>
      </c>
      <c r="E11" s="7" t="n">
        <v>44200</v>
      </c>
      <c r="F11" s="7">
        <f>C11*E11</f>
        <v/>
      </c>
      <c r="G11" s="13" t="inlineStr">
        <is>
          <t>ЗАМЕНА</t>
        </is>
      </c>
      <c r="H11" s="8" t="inlineStr">
        <is>
          <t>https://www.dns-shop.ru/product/53066909103df2c6/printer-lazernyj-kyocera-pa4500x/</t>
        </is>
      </c>
      <c r="I11" s="14" t="inlineStr">
        <is>
          <t>В спецификации ECOSYS P3045dn — снят с производства. PA4500x его прямой преемник: тот же формат и скорость.</t>
        </is>
      </c>
    </row>
    <row r="12">
      <c r="A12" s="4" t="inlineStr">
        <is>
          <t>Ноутбук</t>
        </is>
      </c>
      <c r="B12" s="5" t="inlineStr">
        <is>
          <t>3278</t>
        </is>
      </c>
      <c r="C12" s="6" t="n">
        <v>1</v>
      </c>
      <c r="D12" s="5" t="inlineStr">
        <is>
          <t>Acer Aspire Lite AL15-61P / ASUS Vivobook Go 15 / Acer Extensa 15 — 15.6", IPS FHD, 16 ГБ, SSD 512</t>
        </is>
      </c>
      <c r="E12" s="7" t="n">
        <v>40000</v>
      </c>
      <c r="F12" s="7">
        <f>C12*E12</f>
        <v/>
      </c>
      <c r="G12" s="13" t="inlineStr">
        <is>
          <t>НАЛИЧИЕ</t>
        </is>
      </c>
      <c r="H12" s="8" t="inlineStr">
        <is>
          <t>https://www.citilink.ru/catalog/noutbuki--noutbuki-do-40-000/</t>
        </is>
      </c>
      <c r="I12" s="14" t="inlineStr">
        <is>
          <t>Зал ОФП, музыка на занятиях. Конкретную модель не фиксирую — наличие в этом классе скачет. Брать любой до 45 тыс. по указанным требованиям.</t>
        </is>
      </c>
    </row>
    <row r="13">
      <c r="A13" s="4" t="inlineStr">
        <is>
          <t>Телевизор 43"</t>
        </is>
      </c>
      <c r="B13" s="5" t="inlineStr">
        <is>
          <t>3443, 3452, 3469, 3483, 3497, 3511, 3519, 3839</t>
        </is>
      </c>
      <c r="C13" s="6" t="n">
        <v>8</v>
      </c>
      <c r="D13" s="5" t="inlineStr">
        <is>
          <t>DEXP F431 43" — Full HD, Direct LED, Smart TV</t>
        </is>
      </c>
      <c r="E13" s="7" t="n">
        <v>15799</v>
      </c>
      <c r="F13" s="7">
        <f>C13*E13</f>
        <v/>
      </c>
      <c r="G13" s="6" t="inlineStr"/>
      <c r="H13" s="8" t="inlineStr">
        <is>
          <t>https://www.dns-shop.ru/product/787468582d2aed20/43-109-sm-led-televizor-dexp-f431-seryj/</t>
        </is>
      </c>
      <c r="I13" s="5" t="inlineStr">
        <is>
          <t>Кабинеты 178–184 и комната отдыха техперсонала.</t>
        </is>
      </c>
    </row>
    <row r="14">
      <c r="A14" s="4" t="inlineStr">
        <is>
          <t>Кронштейны под телевизоры</t>
        </is>
      </c>
      <c r="B14" s="5" t="inlineStr">
        <is>
          <t>нет в спецификации</t>
        </is>
      </c>
      <c r="C14" s="6" t="n">
        <v>8</v>
      </c>
      <c r="D14" s="5" t="inlineStr">
        <is>
          <t>Настенный кронштейн под 43"</t>
        </is>
      </c>
      <c r="E14" s="7" t="n">
        <v>2000</v>
      </c>
      <c r="F14" s="7">
        <f>C14*E14</f>
        <v/>
      </c>
      <c r="G14" s="13" t="inlineStr">
        <is>
          <t>ДОБАВЛЕНО</t>
        </is>
      </c>
      <c r="H14" s="8" t="inlineStr">
        <is>
          <t>https://market.yandex.ru/category/kronshteyny-dlya-televizorov</t>
        </is>
      </c>
      <c r="I14" s="14" t="inlineStr">
        <is>
          <t>В спецификации написано «телевизор на консоли», но сама консоль отдельной строкой не заложена.</t>
        </is>
      </c>
    </row>
    <row r="15">
      <c r="A15" s="4" t="inlineStr">
        <is>
          <t>Монитор 27" для АРМ видеонаблюдения</t>
        </is>
      </c>
      <c r="B15" s="5" t="inlineStr">
        <is>
          <t>1989</t>
        </is>
      </c>
      <c r="C15" s="6" t="n">
        <v>8</v>
      </c>
      <c r="D15" s="5" t="inlineStr">
        <is>
          <t>Hikvision DS-D5027FN01 — 27", 1920×1080, 24/7</t>
        </is>
      </c>
      <c r="E15" s="7" t="n">
        <v>13673</v>
      </c>
      <c r="F15" s="7">
        <f>C15*E15</f>
        <v/>
      </c>
      <c r="G15" s="13" t="inlineStr">
        <is>
          <t>ЗАМЕНА</t>
        </is>
      </c>
      <c r="H15" s="8" t="inlineStr">
        <is>
          <t>https://www.nix.ru/autocatalog/lcd_hikvision/27-ZHK-monitor-Hikvision-DS-D5027FN01-LCD-1920x1080-D-Sub-HDMI_704844.html</t>
        </is>
      </c>
      <c r="I15" s="14" t="inlineStr">
        <is>
          <t>Артикул DS-D5027FN сменился на FN01 — это тот же монитор. Запасные точки: Тинко, Регард, Минимакс, DSSL. Если нет — DS-D5027UC (4K). Бытовой монитор не брать: экран работает круглосуточно.</t>
        </is>
      </c>
    </row>
    <row r="16">
      <c r="A16" s="4" t="inlineStr">
        <is>
          <t>Монитор 31.5"</t>
        </is>
      </c>
      <c r="B16" s="5" t="inlineStr">
        <is>
          <t>1987</t>
        </is>
      </c>
      <c r="C16" s="6" t="n">
        <v>6</v>
      </c>
      <c r="D16" s="5" t="inlineStr">
        <is>
          <t>Hikvision DS-D5032QE — 31.5", 1920×1080, 24/7</t>
        </is>
      </c>
      <c r="E16" s="7" t="n">
        <v>25439</v>
      </c>
      <c r="F16" s="7">
        <f>C16*E16</f>
        <v/>
      </c>
      <c r="G16" s="6" t="inlineStr"/>
      <c r="H16" s="8" t="inlineStr">
        <is>
          <t>https://www.telecamera.ru/catalog/Domofony/Videodomofony/Monitory/HIKVISION/DS_D5032QE.htm</t>
        </is>
      </c>
      <c r="I16" s="5" t="inlineStr"/>
    </row>
    <row r="17">
      <c r="A17" s="4" t="inlineStr">
        <is>
          <t>Монитор 21.5"</t>
        </is>
      </c>
      <c r="B17" s="5" t="inlineStr">
        <is>
          <t>2047</t>
        </is>
      </c>
      <c r="C17" s="6" t="n">
        <v>2</v>
      </c>
      <c r="D17" s="5" t="inlineStr">
        <is>
          <t>Hikvision DS-D5022QE-B — 21.5", 1920×1080</t>
        </is>
      </c>
      <c r="E17" s="7" t="n">
        <v>17853</v>
      </c>
      <c r="F17" s="7">
        <f>C17*E17</f>
        <v/>
      </c>
      <c r="G17" s="6" t="inlineStr"/>
      <c r="H17" s="8" t="inlineStr">
        <is>
          <t>https://hikvision24.ru/aksessuary/monitory/monitor-ds-d5022qe-b/</t>
        </is>
      </c>
      <c r="I17" s="5" t="inlineStr"/>
    </row>
    <row r="18">
      <c r="A18" s="4" t="inlineStr">
        <is>
          <t>Монитор 23.8"</t>
        </is>
      </c>
      <c r="B18" s="5" t="inlineStr">
        <is>
          <t>2321</t>
        </is>
      </c>
      <c r="C18" s="6" t="n">
        <v>2</v>
      </c>
      <c r="D18" s="5" t="inlineStr">
        <is>
          <t>Xiaomi G24i 2026 / AOC 24B36X / MSI PRO MP243X — 23.8", IPS, FHD, HDMI+DP</t>
        </is>
      </c>
      <c r="E18" s="7" t="n">
        <v>11999</v>
      </c>
      <c r="F18" s="7">
        <f>C18*E18</f>
        <v/>
      </c>
      <c r="G18" s="13" t="inlineStr">
        <is>
          <t>ЗАМЕНА</t>
        </is>
      </c>
      <c r="H18" s="8" t="inlineStr">
        <is>
          <t>https://www.dns-shop.ru/catalog/recipe/9d63f2d6341c1b88/24/</t>
        </is>
      </c>
      <c r="I18" s="14" t="inlineStr">
        <is>
          <t>В спецификации Dell P2419H. Dell ушёл из России, модель 2019 года, в наличии нет.</t>
        </is>
      </c>
    </row>
    <row r="19">
      <c r="A19" s="4" t="inlineStr">
        <is>
          <t>Кронштейн для мониторов</t>
        </is>
      </c>
      <c r="B19" s="5" t="inlineStr">
        <is>
          <t>1988</t>
        </is>
      </c>
      <c r="C19" s="6" t="n">
        <v>6</v>
      </c>
      <c r="D19" s="5" t="inlineStr">
        <is>
          <t>Kromax TECHNO-11 BLACK</t>
        </is>
      </c>
      <c r="E19" s="7" t="n">
        <v>2500</v>
      </c>
      <c r="F19" s="7">
        <f>C19*E19</f>
        <v/>
      </c>
      <c r="G19" s="9" t="inlineStr">
        <is>
          <t>ПРОВЕРИТЬ</t>
        </is>
      </c>
      <c r="H19" s="8" t="inlineStr">
        <is>
          <t>https://www.kns.ru/product/kronshtein-kromax-techno-11-black/</t>
        </is>
      </c>
      <c r="I19" s="10" t="inlineStr">
        <is>
          <t>Рассчитан на 10–32" и до 15 кг. Мониторы DS-D5032QE — 31.5", на самой границе. Проверить вес.</t>
        </is>
      </c>
    </row>
    <row r="20">
      <c r="A20" s="4" t="inlineStr">
        <is>
          <t>Жёсткий диск 14 ТБ</t>
        </is>
      </c>
      <c r="B20" s="5" t="inlineStr">
        <is>
          <t>1926</t>
        </is>
      </c>
      <c r="C20" s="6" t="n">
        <v>10</v>
      </c>
      <c r="D20" s="5" t="inlineStr">
        <is>
          <t>WD Purple Pro WD141PURP — под видеонаблюдение</t>
        </is>
      </c>
      <c r="E20" s="7" t="n">
        <v>50618</v>
      </c>
      <c r="F20" s="7">
        <f>C20*E20</f>
        <v/>
      </c>
      <c r="G20" s="6" t="inlineStr"/>
      <c r="H20" s="8" t="inlineStr">
        <is>
          <t>https://www.dns-shop.ru/product/db9b6068eb79ed20/14-tb-zestkij-disk-wd-purple-pro-wd141purp/</t>
        </is>
      </c>
      <c r="I20" s="5" t="inlineStr">
        <is>
          <t>Есть более новый WD142PURP — уточнить, чем комплектовать.</t>
        </is>
      </c>
    </row>
    <row r="21">
      <c r="A21" s="4" t="inlineStr">
        <is>
          <t>Проектор</t>
        </is>
      </c>
      <c r="B21" s="5" t="inlineStr">
        <is>
          <t>3665</t>
        </is>
      </c>
      <c r="C21" s="6" t="n">
        <v>1</v>
      </c>
      <c r="D21" s="5" t="inlineStr">
        <is>
          <t>Acer X1328WHn</t>
        </is>
      </c>
      <c r="E21" s="7" t="n">
        <v>54890</v>
      </c>
      <c r="F21" s="7">
        <f>C21*E21</f>
        <v/>
      </c>
      <c r="G21" s="6" t="inlineStr"/>
      <c r="H21" s="8" t="inlineStr">
        <is>
          <t>https://www.regard.ru/product/710326/proektor-acer-x1328whn</t>
        </is>
      </c>
      <c r="I21" s="5" t="inlineStr">
        <is>
          <t>Зал для пресс-конференций / методический кабинет.</t>
        </is>
      </c>
    </row>
    <row r="22">
      <c r="A22" s="4" t="inlineStr">
        <is>
          <t>Карт-принтер</t>
        </is>
      </c>
      <c r="B22" s="5" t="inlineStr">
        <is>
          <t>2146</t>
        </is>
      </c>
      <c r="C22" s="6" t="n">
        <v>1</v>
      </c>
      <c r="D22" s="5" t="inlineStr">
        <is>
          <t>Evolis Zenius 2 Classic — односторонняя печать</t>
        </is>
      </c>
      <c r="E22" s="7" t="n">
        <v>130452</v>
      </c>
      <c r="F22" s="7">
        <f>C22*E22</f>
        <v/>
      </c>
      <c r="G22" s="11" t="inlineStr">
        <is>
          <t>ЭКОНОМИЯ</t>
        </is>
      </c>
      <c r="H22" s="8" t="inlineStr">
        <is>
          <t>https://spb.xcom-shop.ru/evolis_zenius_2_classic_1320687.html</t>
        </is>
      </c>
      <c r="I22" s="12" t="inlineStr">
        <is>
          <t>В спецификации Fargo C50 — снят. Прямой преемник Fargo DTC1250e стоит 335 894 ₽. Он не нужен: карты по спецификации идут уже номерные с чипом Em Marine (стр. 2149), кодировать нечего, принтер только печатает. Evolis дешевле на 205 442 ₽.</t>
        </is>
      </c>
    </row>
    <row r="23">
      <c r="A23" s="4" t="inlineStr">
        <is>
          <t>Карты пластиковые</t>
        </is>
      </c>
      <c r="B23" s="5" t="inlineStr">
        <is>
          <t>2149</t>
        </is>
      </c>
      <c r="C23" s="6" t="n">
        <v>500</v>
      </c>
      <c r="D23" s="5" t="inlineStr">
        <is>
          <t>EM-Marine TK4100 ISO, 125 кГц, номерные</t>
        </is>
      </c>
      <c r="E23" s="7" t="n">
        <v>14</v>
      </c>
      <c r="F23" s="7">
        <f>C23*E23</f>
        <v/>
      </c>
      <c r="G23" s="6" t="inlineStr"/>
      <c r="H23" s="8" t="inlineStr">
        <is>
          <t>https://zkteco-store.ru/shop/rfid-karta-em-marine-iso-125-kgc-s-nomerom/</t>
        </is>
      </c>
      <c r="I23" s="5" t="inlineStr">
        <is>
          <t>Продаются упаковками по 200 шт.</t>
        </is>
      </c>
    </row>
    <row r="24">
      <c r="A24" s="4" t="inlineStr">
        <is>
          <t>ИБП 19" 2U</t>
        </is>
      </c>
      <c r="B24" s="5" t="inlineStr">
        <is>
          <t>1699</t>
        </is>
      </c>
      <c r="C24" s="6" t="n">
        <v>1</v>
      </c>
      <c r="D24" s="5" t="inlineStr">
        <is>
          <t>SKAT-UPS 1000 RACK — 1 кВА / 0,9 кВт</t>
        </is>
      </c>
      <c r="E24" s="7" t="n">
        <v>71760</v>
      </c>
      <c r="F24" s="7">
        <f>C24*E24</f>
        <v/>
      </c>
      <c r="G24" s="6" t="inlineStr"/>
      <c r="H24" s="8" t="inlineStr">
        <is>
          <t>https://satro-paladin.com/catalog/product/11230/</t>
        </is>
      </c>
      <c r="I24" s="5" t="inlineStr"/>
    </row>
    <row r="25">
      <c r="A25" s="4" t="inlineStr">
        <is>
          <t>ИТОГО</t>
        </is>
      </c>
      <c r="B25" s="5" t="n"/>
      <c r="C25" s="15">
        <f>SUM(C5:C24)</f>
        <v/>
      </c>
      <c r="D25" s="5" t="n"/>
      <c r="E25" s="7" t="n"/>
      <c r="F25" s="16">
        <f>SUM(F5:F24)</f>
        <v/>
      </c>
      <c r="G25" s="6" t="n"/>
      <c r="H25" s="5" t="n"/>
      <c r="I25" s="5" t="n"/>
    </row>
    <row r="26">
      <c r="A26" s="5" t="n"/>
      <c r="B26" s="5" t="n"/>
      <c r="C26" s="6" t="n"/>
      <c r="D26" s="5" t="n"/>
      <c r="E26" s="7" t="n"/>
      <c r="F26" s="7" t="n"/>
      <c r="G26" s="6" t="n"/>
      <c r="H26" s="5" t="n"/>
      <c r="I26" s="5" t="n"/>
    </row>
    <row r="27">
      <c r="A27" s="17" t="inlineStr">
        <is>
          <t>ГДЕ СИДЯТ ЭКОНОМИИ</t>
        </is>
      </c>
      <c r="B27" s="5" t="n"/>
      <c r="C27" s="6" t="n"/>
      <c r="D27" s="5" t="n"/>
      <c r="E27" s="7" t="n"/>
      <c r="F27" s="7" t="n"/>
      <c r="G27" s="6" t="n"/>
      <c r="H27" s="5" t="n"/>
      <c r="I27" s="5" t="n"/>
    </row>
    <row r="28">
      <c r="A28" s="5" t="inlineStr">
        <is>
          <t>МФУ: 13 × цветной А3 по спецификации  →  11 × монохром А4 + 2 × цветной А3</t>
        </is>
      </c>
      <c r="B28" s="5" t="n"/>
      <c r="C28" s="6" t="n"/>
      <c r="D28" s="5" t="n"/>
      <c r="E28" s="7" t="n">
        <v>2625831</v>
      </c>
      <c r="F28" s="7" t="n">
        <v>575332</v>
      </c>
      <c r="G28" s="18" t="n">
        <v>2050499</v>
      </c>
      <c r="H28" s="5" t="n"/>
      <c r="I28" s="5" t="n"/>
    </row>
    <row r="29">
      <c r="A29" s="5" t="inlineStr">
        <is>
          <t>Карт-принтер: Fargo DTC1250e  →  Evolis Zenius 2 Classic</t>
        </is>
      </c>
      <c r="B29" s="5" t="n"/>
      <c r="C29" s="6" t="n"/>
      <c r="D29" s="5" t="n"/>
      <c r="E29" s="7" t="n">
        <v>335894</v>
      </c>
      <c r="F29" s="7" t="n">
        <v>130452</v>
      </c>
      <c r="G29" s="18" t="n">
        <v>205442</v>
      </c>
      <c r="H29" s="5" t="n"/>
      <c r="I29" s="5" t="n"/>
    </row>
    <row r="30">
      <c r="A30" s="4" t="inlineStr">
        <is>
          <t>ИТОГО экономия</t>
        </is>
      </c>
      <c r="B30" s="5" t="n"/>
      <c r="C30" s="6" t="n"/>
      <c r="D30" s="5" t="n"/>
      <c r="E30" s="7" t="n"/>
      <c r="F30" s="7" t="n"/>
      <c r="G30" s="19">
        <f>SUM(G28:G29)</f>
        <v/>
      </c>
      <c r="H30" s="5" t="n"/>
      <c r="I3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2026-08-07T08:52:40Z</dcterms:created>
  <dcterms:modified xsi:type="dcterms:W3CDTF">2026-08-07T08:52:40Z</dcterms:modified>
</cp:coreProperties>
</file>