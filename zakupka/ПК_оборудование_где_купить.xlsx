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К-оборудов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;[Red](#,##0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563C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" customWidth="1" min="3" max="3"/>
    <col width="26" customWidth="1" min="4" max="4"/>
    <col width="12" customWidth="1" min="5" max="5"/>
    <col width="12" customWidth="1" min="6" max="6"/>
    <col width="15" customWidth="1" min="7" max="7"/>
    <col width="15" customWidth="1" min="8" max="8"/>
    <col width="72" customWidth="1" min="9" max="9"/>
    <col width="60" customWidth="1" min="10" max="10"/>
  </cols>
  <sheetData>
    <row r="1">
      <c r="A1" s="1" t="inlineStr">
        <is>
          <t>КОМПЬЮТЕРНОЕ ОБОРУДОВАНИЕ ИЗ СПЕЦИФИКАЦИИ — ГДЕ КУПИТЬ В РОССИИ</t>
        </is>
      </c>
    </row>
    <row r="2">
      <c r="A2" s="2" t="inlineStr">
        <is>
          <t>Цены — ориентир на август 2026 по открытым прайсам магазинов. Это НЕ коммерческие предложения: перед закупкой запрашивать КП. Исходная спецификация не изменялась.</t>
        </is>
      </c>
    </row>
    <row r="4" ht="32" customHeight="1">
      <c r="A4" s="3" t="inlineStr">
        <is>
          <t>№</t>
        </is>
      </c>
      <c r="B4" s="3" t="inlineStr">
        <is>
          <t>Позиция</t>
        </is>
      </c>
      <c r="C4" s="3" t="inlineStr">
        <is>
          <t>Кол-во</t>
        </is>
      </c>
      <c r="D4" s="3" t="inlineStr">
        <is>
          <t>Строки в «Спецификации»</t>
        </is>
      </c>
      <c r="E4" s="3" t="inlineStr">
        <is>
          <t>Цена от, ₽</t>
        </is>
      </c>
      <c r="F4" s="3" t="inlineStr">
        <is>
          <t>Цена до, ₽</t>
        </is>
      </c>
      <c r="G4" s="3" t="inlineStr">
        <is>
          <t>Сумма от, ₽</t>
        </is>
      </c>
      <c r="H4" s="3" t="inlineStr">
        <is>
          <t>Сумма до, ₽</t>
        </is>
      </c>
      <c r="I4" s="3" t="inlineStr">
        <is>
          <t>Где купить</t>
        </is>
      </c>
      <c r="J4" s="3" t="inlineStr">
        <is>
          <t>На что обратить внимание</t>
        </is>
      </c>
    </row>
    <row r="5">
      <c r="A5" s="4" t="n">
        <v>1</v>
      </c>
      <c r="B5" s="5" t="inlineStr">
        <is>
          <t>Персональный компьютер (моноблок) с периферией, ИБП, сетевой фильтр</t>
        </is>
      </c>
      <c r="C5" s="4" t="n">
        <v>35</v>
      </c>
      <c r="D5" s="5" t="inlineStr">
        <is>
          <t>2500, 2516, 2537, 2558, 2570, 2610, 2622, 2967, 3015, 3134, 3249, 3442, 3455, 3472 …</t>
        </is>
      </c>
      <c r="E5" s="6" t="n">
        <v>45000</v>
      </c>
      <c r="F5" s="6" t="n">
        <v>120000</v>
      </c>
      <c r="G5" s="6">
        <f>IF(E5="","",C5*E5)</f>
        <v/>
      </c>
      <c r="H5" s="6">
        <f>IF(F5="","",C5*F5)</f>
        <v/>
      </c>
      <c r="I5" s="7" t="inlineStr">
        <is>
          <t>DNS — моноблоки для офиса: https://www.dns-shop.ru/catalog/recipe/31262d1866ae2669/dla-ofisa/
DNS — моноблоки для бизнеса: https://www.dns-shop.ru/catalog/recipe/b38129eae9da6653/dla-biznesa/
DNS — весь каталог моноблоков: https://www.dns-shop.ru/catalog/17a8936316404e77/monobloki/</t>
        </is>
      </c>
      <c r="J5" s="8" t="inlineStr">
        <is>
          <t>Модель в спецификации НЕ ЗАДАНА — только «моноблок с периферией». Периферия (клавиатура, мышь) в отдельные строки не вынесена, идёт в составе. Нужно выбрать модель и зафиксировать её в спецификации, иначе цена не защищается.</t>
        </is>
      </c>
    </row>
    <row r="6">
      <c r="A6" s="4" t="n">
        <v>2</v>
      </c>
      <c r="B6" s="5" t="inlineStr">
        <is>
          <t>МФУ (копир/сканер/принтер), цветная печать, А4 и А3</t>
        </is>
      </c>
      <c r="C6" s="4" t="n">
        <v>13</v>
      </c>
      <c r="D6" s="5" t="inlineStr">
        <is>
          <t>2501, 2517, 2538, 2611, 2623, 3250, 3441, 3454, 3471, 3484, 3498, 3512, 3776</t>
        </is>
      </c>
      <c r="E6" s="6" t="n">
        <v>90000</v>
      </c>
      <c r="F6" s="6" t="n">
        <v>350000</v>
      </c>
      <c r="G6" s="6">
        <f>IF(E6="","",C6*E6)</f>
        <v/>
      </c>
      <c r="H6" s="6">
        <f>IF(F6="","",C6*F6)</f>
        <v/>
      </c>
      <c r="I6" s="7" t="inlineStr">
        <is>
          <t>DNS — цветные лазерные МФУ А3: https://www.dns-shop.ru/catalog/recipe/38b13e633dec8dd4/cvetnye-a3/
Ситилинк — лазерные МФУ А3: https://www.citilink.ru/catalog/mfu--mfu-lazernye-a3/
DNS — все лазерные МФУ: https://www.dns-shop.ru/catalog/17a8df6816404e77/lazernye-mfu/</t>
        </is>
      </c>
      <c r="J6" s="8" t="inlineStr">
        <is>
          <t>Модель не задана. Цветной лазерный А3 — самая дорогая категория МФУ, разброс огромный.</t>
        </is>
      </c>
    </row>
    <row r="7">
      <c r="A7" s="4" t="n">
        <v>3</v>
      </c>
      <c r="B7" s="5" t="inlineStr">
        <is>
          <t>МФУ (копир/сканер/принтер), А4 и А3, с печатью фотографий</t>
        </is>
      </c>
      <c r="C7" s="4" t="n">
        <v>3</v>
      </c>
      <c r="D7" s="5" t="inlineStr">
        <is>
          <t>3854, 3862</t>
        </is>
      </c>
      <c r="E7" s="6" t="n">
        <v>90000</v>
      </c>
      <c r="F7" s="6" t="n">
        <v>350000</v>
      </c>
      <c r="G7" s="6">
        <f>IF(E7="","",C7*E7)</f>
        <v/>
      </c>
      <c r="H7" s="6">
        <f>IF(F7="","",C7*F7)</f>
        <v/>
      </c>
      <c r="I7" s="7" t="inlineStr">
        <is>
          <t>DNS — цветные лазерные МФУ А3: https://www.dns-shop.ru/catalog/recipe/38b13e633dec8dd4/cvetnye-a3/
Ситилинк — МФУ: https://www.citilink.ru/catalog/computers_and_notebooks/monitors_and_office/mfu/</t>
        </is>
      </c>
      <c r="J7" s="8" t="inlineStr">
        <is>
          <t>Модель не задана. «Печать фотографий» обычно означает струйный или цветной лазерный с фотокачеством — уточнить требование.</t>
        </is>
      </c>
    </row>
    <row r="8">
      <c r="A8" s="4" t="n">
        <v>4</v>
      </c>
      <c r="B8" s="5" t="inlineStr">
        <is>
          <t>Принтер, формат А4</t>
        </is>
      </c>
      <c r="C8" s="4" t="n">
        <v>2</v>
      </c>
      <c r="D8" s="5" t="inlineStr">
        <is>
          <t>2560, 2572</t>
        </is>
      </c>
      <c r="E8" s="6" t="n">
        <v>8000</v>
      </c>
      <c r="F8" s="6" t="n">
        <v>40000</v>
      </c>
      <c r="G8" s="6">
        <f>IF(E8="","",C8*E8)</f>
        <v/>
      </c>
      <c r="H8" s="6">
        <f>IF(F8="","",C8*F8)</f>
        <v/>
      </c>
      <c r="I8" s="7" t="inlineStr">
        <is>
          <t>Ситилинк — принтеры лазерные: https://www.citilink.ru/catalog/printery-lazernye/
DNS — принтеры: https://www.dns-shop.ru/catalog/17a89aec16404e77/printery/</t>
        </is>
      </c>
      <c r="J8" s="8" t="inlineStr">
        <is>
          <t>Модель не задана.</t>
        </is>
      </c>
    </row>
    <row r="9">
      <c r="A9" s="4" t="n">
        <v>5</v>
      </c>
      <c r="B9" s="5" t="inlineStr">
        <is>
          <t>Принтер лазерный Kyocera ECOSYS P3045dn</t>
        </is>
      </c>
      <c r="C9" s="4" t="n">
        <v>1</v>
      </c>
      <c r="D9" s="5" t="inlineStr">
        <is>
          <t>2322</t>
        </is>
      </c>
      <c r="E9" s="6" t="n">
        <v>23048</v>
      </c>
      <c r="F9" s="6" t="n">
        <v>115000</v>
      </c>
      <c r="G9" s="6">
        <f>IF(E9="","",C9*E9)</f>
        <v/>
      </c>
      <c r="H9" s="6">
        <f>IF(F9="","",C9*F9)</f>
        <v/>
      </c>
      <c r="I9" s="7" t="inlineStr">
        <is>
          <t>ForOffice — 23 048 ₽: https://www.foroffice.ru/products/description/130591.html
NIX: https://www.nix.ru/autocatalog/printers_mfu_kyocera/Kyocera-Ecosys-P3045dn-A4-45-str-min-512Mb-LCD-USB20-setevoj-dvust-pechat_291857.html
OfiTrade: https://www.ofitrade.ru/cat/printers/laser/kyocera-ecosys-p3045dn-1102t93nl0/</t>
        </is>
      </c>
      <c r="J9" s="9" t="inlineStr">
        <is>
          <t>ВНИМАНИЕ: у части поставщиков помечен как снятый с производства. Перед закупкой проверить наличие или подобрать замену.</t>
        </is>
      </c>
    </row>
    <row r="10">
      <c r="A10" s="4" t="n">
        <v>6</v>
      </c>
      <c r="B10" s="5" t="inlineStr">
        <is>
          <t>Монитор Hikvision DS-D5027FN, 27"</t>
        </is>
      </c>
      <c r="C10" s="4" t="n">
        <v>8</v>
      </c>
      <c r="D10" s="5" t="inlineStr">
        <is>
          <t>1989</t>
        </is>
      </c>
      <c r="E10" s="6" t="n">
        <v>13673</v>
      </c>
      <c r="F10" s="6" t="n">
        <v>57690</v>
      </c>
      <c r="G10" s="6">
        <f>IF(E10="","",C10*E10)</f>
        <v/>
      </c>
      <c r="H10" s="6">
        <f>IF(F10="","",C10*F10)</f>
        <v/>
      </c>
      <c r="I10" s="7" t="inlineStr">
        <is>
          <t>Hikvision24 — 13 673 ₽: https://hikvision24.ru/aksessuary/monitory/monitor-ds-d5027fn/
ИНФОТЕХ — 9 907 ₽: https://i-teh.com/catalog/monitory/ds_d5027fn/
DSSL — 17 330 ₽: https://www.dssl.ru/products/ds-d5027fn-monitor-dlya-videonablyudeniya/
ВИДЕОГЛАЗ: https://videoglaz.ru/kompyuternye-monitory-lcd-tft/hikvision/hikvision-ds-d5027fn</t>
        </is>
      </c>
      <c r="J10" s="8" t="inlineStr">
        <is>
          <t>Разброс цен в 4 раза между магазинами на одну и ту же модель — обязательно сравнивать.</t>
        </is>
      </c>
    </row>
    <row r="11">
      <c r="A11" s="4" t="n">
        <v>7</v>
      </c>
      <c r="B11" s="5" t="inlineStr">
        <is>
          <t>Монитор Hikvision DS-D5032QE, 31.5"</t>
        </is>
      </c>
      <c r="C11" s="4" t="n">
        <v>6</v>
      </c>
      <c r="D11" s="5" t="inlineStr">
        <is>
          <t>1987</t>
        </is>
      </c>
      <c r="E11" s="6" t="n">
        <v>25439</v>
      </c>
      <c r="F11" s="6" t="n">
        <v>35090</v>
      </c>
      <c r="G11" s="6">
        <f>IF(E11="","",C11*E11)</f>
        <v/>
      </c>
      <c r="H11" s="6">
        <f>IF(F11="","",C11*F11)</f>
        <v/>
      </c>
      <c r="I11" s="7" t="inlineStr">
        <is>
          <t>Telecamera — 25 439 ₽: https://www.telecamera.ru/catalog/Domofony/Videodomofony/Monitory/HIKVISION/DS_D5032QE.htm
Регард: https://www.regard.ru/product/440318/monitor-hikvision-32-ds-d5032qe
DSSL: https://www.dssl.ru/products/ds-d5032qe-monitor-dlya-videonablyudeniya/</t>
        </is>
      </c>
      <c r="J11" s="8" t="inlineStr">
        <is>
          <t>В спецификации написано 32", по факту диагональ 31.5".</t>
        </is>
      </c>
    </row>
    <row r="12">
      <c r="A12" s="4" t="n">
        <v>8</v>
      </c>
      <c r="B12" s="5" t="inlineStr">
        <is>
          <t>Монитор Hikvision DS-D5022QE-B, 21.5"</t>
        </is>
      </c>
      <c r="C12" s="4" t="n">
        <v>2</v>
      </c>
      <c r="D12" s="5" t="inlineStr">
        <is>
          <t>2047</t>
        </is>
      </c>
      <c r="E12" s="6" t="n">
        <v>17853</v>
      </c>
      <c r="F12" s="6" t="n">
        <v>25485</v>
      </c>
      <c r="G12" s="6">
        <f>IF(E12="","",C12*E12)</f>
        <v/>
      </c>
      <c r="H12" s="6">
        <f>IF(F12="","",C12*F12)</f>
        <v/>
      </c>
      <c r="I12" s="7" t="inlineStr">
        <is>
          <t>Hikvision24 — 17 993 ₽: https://hikvision24.ru/aksessuary/monitory/monitor-ds-d5022qe-b/
Интемс — 22 790 ₽: https://securityrussia.com/cctv/monitory/67407
ЭТМ iPRO: https://www.etm.ru/cat/nn/4121465
DSSL: https://www.dssl.ru/products/ds-d5022qe-b/</t>
        </is>
      </c>
      <c r="J12" s="5" t="inlineStr"/>
    </row>
    <row r="13">
      <c r="A13" s="4" t="n">
        <v>9</v>
      </c>
      <c r="B13" s="5" t="inlineStr">
        <is>
          <t>Монитор Dell P2419H, 23.8"</t>
        </is>
      </c>
      <c r="C13" s="4" t="n">
        <v>2</v>
      </c>
      <c r="D13" s="5" t="inlineStr">
        <is>
          <t>2321</t>
        </is>
      </c>
      <c r="E13" s="10" t="inlineStr">
        <is>
          <t>по запросу</t>
        </is>
      </c>
      <c r="F13" s="10" t="inlineStr">
        <is>
          <t>по запросу</t>
        </is>
      </c>
      <c r="G13" s="6">
        <f>IF(E13="","",C13*E13)</f>
        <v/>
      </c>
      <c r="H13" s="6">
        <f>IF(F13="","",C13*F13)</f>
        <v/>
      </c>
      <c r="I13" s="7" t="inlineStr">
        <is>
          <t>DNS: https://www.dns-shop.ru/product/c9ab866093973330/238-monitor-dell-p2419h-cernyj/
Ситилинк: https://www.citilink.ru/product/monitor-dell-p2419h-23-8-chernyi-2419-2392-1074862/
KNS: https://www.kns.ru/product/monitor-dell-p2419h/</t>
        </is>
      </c>
      <c r="J13" s="9" t="inlineStr">
        <is>
          <t>ВНИМАНИЕ: Dell ушёл из России, модель старая (2019 г.). В наличии почти нигде нет, цены сильно скачут. Заложить замену на актуальную модель.</t>
        </is>
      </c>
    </row>
    <row r="14">
      <c r="A14" s="4" t="n">
        <v>10</v>
      </c>
      <c r="B14" s="5" t="inlineStr">
        <is>
          <t>Кронштейн настенный Kromax TECHNO-11 BLACK для мониторов 32"</t>
        </is>
      </c>
      <c r="C14" s="4" t="n">
        <v>6</v>
      </c>
      <c r="D14" s="5" t="inlineStr">
        <is>
          <t>1988</t>
        </is>
      </c>
      <c r="E14" s="6" t="n">
        <v>1500</v>
      </c>
      <c r="F14" s="6" t="n">
        <v>3500</v>
      </c>
      <c r="G14" s="6">
        <f>IF(E14="","",C14*E14)</f>
        <v/>
      </c>
      <c r="H14" s="6">
        <f>IF(F14="","",C14*F14)</f>
        <v/>
      </c>
      <c r="I14" s="7" t="inlineStr">
        <is>
          <t>Kromax (производитель): https://www.kromax.ru/produce/plasma/5103/
KNS: https://www.kns.ru/product/kronshtein-kromax-techno-11-black/
Яндекс.Маркет — кронштейны: https://market.yandex.ru/category/kronshteyny-dlya-monitorov</t>
        </is>
      </c>
      <c r="J14" s="9" t="inlineStr">
        <is>
          <t>ВАЖНО: TECHNO-11 рассчитан на экраны 10"–32" и до 15 кг. Мониторы в спецификации — 31.5", то есть на самой границе. Проверить вес монитора DS-D5032QE.</t>
        </is>
      </c>
    </row>
    <row r="15">
      <c r="A15" s="4" t="n">
        <v>11</v>
      </c>
      <c r="B15" s="5" t="inlineStr">
        <is>
          <t>Жёсткий диск WD Purple Pro WD141PURP, 14 ТБ</t>
        </is>
      </c>
      <c r="C15" s="4" t="n">
        <v>10</v>
      </c>
      <c r="D15" s="5" t="inlineStr">
        <is>
          <t>1926</t>
        </is>
      </c>
      <c r="E15" s="6" t="n">
        <v>50618</v>
      </c>
      <c r="F15" s="6" t="n">
        <v>50618</v>
      </c>
      <c r="G15" s="6">
        <f>IF(E15="","",C15*E15)</f>
        <v/>
      </c>
      <c r="H15" s="6">
        <f>IF(F15="","",C15*F15)</f>
        <v/>
      </c>
      <c r="I15" s="7" t="inlineStr">
        <is>
          <t>DNS: https://www.dns-shop.ru/product/db9b6068eb79ed20/14-tb-zestkij-disk-wd-purple-pro-wd141purp/
Ситилинк: https://www.citilink.ru/product/zhestkii-disk-wd-purple-pro-wd141purp-14tb-hdd-sata-iii-3-5-1744120/
NIX — 50 618 ₽: https://www.nix.ru/autocatalog/hdd_western_digital/HDD-14-Tb-SATA-6Gb-s-Western-Digital-Purple-Pro-WD141PURP-35_547628.html
Тинко: https://www.tinko.ru/catalog/product/301644/</t>
        </is>
      </c>
      <c r="J15" s="8" t="inlineStr">
        <is>
          <t>Диск под видеонаблюдение. Есть более новый аналог WD142PURP — уточнить, чем комплектовать.</t>
        </is>
      </c>
    </row>
    <row r="16">
      <c r="A16" s="4" t="n">
        <v>12</v>
      </c>
      <c r="B16" s="5" t="inlineStr">
        <is>
          <t>Сервер DEPO Storm 1420Q1</t>
        </is>
      </c>
      <c r="C16" s="4" t="n">
        <v>1</v>
      </c>
      <c r="D16" s="5" t="inlineStr">
        <is>
          <t>1562</t>
        </is>
      </c>
      <c r="E16" s="10" t="inlineStr">
        <is>
          <t>по запросу</t>
        </is>
      </c>
      <c r="F16" s="10" t="inlineStr">
        <is>
          <t>по запросу</t>
        </is>
      </c>
      <c r="G16" s="6">
        <f>IF(E16="","",C16*E16)</f>
        <v/>
      </c>
      <c r="H16" s="6">
        <f>IF(F16="","",C16*F16)</f>
        <v/>
      </c>
      <c r="I16" s="7" t="inlineStr">
        <is>
          <t>ДЕПО Компьютерс (производитель, конфигуратор): https://www.depo.ru/catalog/servery/
РуИТС: https://ruits.ru/catalog/servernoe-oborudovanie/servery-depo/server-depo-storm-1420q1
CSV: http://www.c-s-v.ru/products/110/1790/
ГК Хайтек: https://gk-ht.ru/catalog/servery/rossiyskie-servery/servery-depo/</t>
        </is>
      </c>
      <c r="J16" s="8" t="inlineStr">
        <is>
          <t>Открытых цен нет — только по запросу у дилера. Конфигурация в спецификации расписана полностью, отправлять её в конфигуратор ДЕПО как есть.</t>
        </is>
      </c>
    </row>
    <row r="17">
      <c r="A17" s="4" t="n">
        <v>13</v>
      </c>
      <c r="B17" s="5" t="inlineStr">
        <is>
          <t>Сервер DEPO Storm 3450Z1</t>
        </is>
      </c>
      <c r="C17" s="4" t="n">
        <v>1</v>
      </c>
      <c r="D17" s="5" t="inlineStr">
        <is>
          <t>1576</t>
        </is>
      </c>
      <c r="E17" s="10" t="inlineStr">
        <is>
          <t>по запросу</t>
        </is>
      </c>
      <c r="F17" s="10" t="inlineStr">
        <is>
          <t>по запросу</t>
        </is>
      </c>
      <c r="G17" s="6">
        <f>IF(E17="","",C17*E17)</f>
        <v/>
      </c>
      <c r="H17" s="6">
        <f>IF(F17="","",C17*F17)</f>
        <v/>
      </c>
      <c r="I17" s="7" t="inlineStr">
        <is>
          <t>ДЕПО Компьютерс (конфигуратор): https://www.depo.ru/catalog/servery/
ГК Хайтек: https://gk-ht.ru/catalog/servery/rossiyskie-servery/servery-depo/
ServerMall: https://servermall.ru/special/statecompany/servernoe-oborudovanie-depo/</t>
        </is>
      </c>
      <c r="J17" s="8" t="inlineStr">
        <is>
          <t>Только по запросу. Конфигурация тяжёлая: 2× Xeon Silver 4208, 128 ГБ, Windows Server 2019 Std — это самая дорогая ИТ-позиция из непроценённых.</t>
        </is>
      </c>
    </row>
    <row r="18">
      <c r="A18" s="4" t="n">
        <v>14</v>
      </c>
      <c r="B18" s="5" t="inlineStr">
        <is>
          <t>Ноутбук</t>
        </is>
      </c>
      <c r="C18" s="4" t="n">
        <v>1</v>
      </c>
      <c r="D18" s="5" t="inlineStr">
        <is>
          <t>3278</t>
        </is>
      </c>
      <c r="E18" s="6" t="n">
        <v>40000</v>
      </c>
      <c r="F18" s="6" t="n">
        <v>150000</v>
      </c>
      <c r="G18" s="6">
        <f>IF(E18="","",C18*E18)</f>
        <v/>
      </c>
      <c r="H18" s="6">
        <f>IF(F18="","",C18*F18)</f>
        <v/>
      </c>
      <c r="I18" s="7" t="inlineStr">
        <is>
          <t>DNS — ноутбуки: https://www.dns-shop.ru/catalog/17a892f816404e77/noutbuki/
Ситилинк — ноутбуки: https://www.citilink.ru/catalog/noutbuki/</t>
        </is>
      </c>
      <c r="J18" s="8" t="inlineStr">
        <is>
          <t>В спецификации только «Ноутбук Р=0,5 кВт, 220 В» — ни модели, ни характеристик. Требует уточнения.</t>
        </is>
      </c>
    </row>
    <row r="19">
      <c r="A19" s="4" t="n">
        <v>15</v>
      </c>
      <c r="B19" s="5" t="inlineStr">
        <is>
          <t>Проектор Acer X1328WHn</t>
        </is>
      </c>
      <c r="C19" s="4" t="n">
        <v>1</v>
      </c>
      <c r="D19" s="5" t="inlineStr">
        <is>
          <t>3665</t>
        </is>
      </c>
      <c r="E19" s="6" t="n">
        <v>54890</v>
      </c>
      <c r="F19" s="6" t="n">
        <v>75590</v>
      </c>
      <c r="G19" s="6">
        <f>IF(E19="","",C19*E19)</f>
        <v/>
      </c>
      <c r="H19" s="6">
        <f>IF(F19="","",C19*F19)</f>
        <v/>
      </c>
      <c r="I19" s="7" t="inlineStr">
        <is>
          <t>Регард — 55 540 ₽: https://www.regard.ru/product/710326/proektor-acer-x1328whn
Ситилинк — 62 790 ₽: https://www.citilink.ru/product/proektor-acer-x1328whn-dlp-5000lm-ls-20000-1-6000chas-1xhdmi-2-7kg-2023983/
Pult.ru: https://www.pult.ru/product/proektor-acer-x1328whn</t>
        </is>
      </c>
      <c r="J19" s="5" t="inlineStr"/>
    </row>
    <row r="20">
      <c r="A20" s="4" t="n">
        <v>16</v>
      </c>
      <c r="B20" s="5" t="inlineStr">
        <is>
          <t>Карт-принтер HID Fargo C50</t>
        </is>
      </c>
      <c r="C20" s="4" t="n">
        <v>1</v>
      </c>
      <c r="D20" s="5" t="inlineStr">
        <is>
          <t>2146</t>
        </is>
      </c>
      <c r="E20" s="6" t="n">
        <v>104595</v>
      </c>
      <c r="F20" s="6" t="n">
        <v>159286</v>
      </c>
      <c r="G20" s="6">
        <f>IF(E20="","",C20*E20)</f>
        <v/>
      </c>
      <c r="H20" s="6">
        <f>IF(F20="","",C20*F20)</f>
        <v/>
      </c>
      <c r="I20" s="7" t="inlineStr">
        <is>
          <t>Элайтс/Смарткод — 104 595 ₽: https://smartcode.ru/shtrihkodirovanie_i_identifikatsiya/printery_pechati_plastikovyh_kart/fargo_c50_51712
ForOffice: https://www.foroffice.ru/products/description/71773.html
Fargo.ru (офиц.): https://fargo.ru/products/product/fargo-51981-printer-plastikovykh-kart-c50
Баргас — 159 286 ₽ (с лентой YMCKO): https://www.bargas.ru/catalog/printery_dlya_pechati_plastikovykh_kart/printery_fargo/1781/</t>
        </is>
      </c>
      <c r="J20" s="8" t="inlineStr">
        <is>
          <t>Цена сильно зависит от комплекта: с лентой YMCKO дороже на ~55 тыс. Уточнить, входит ли лента.</t>
        </is>
      </c>
    </row>
    <row r="21">
      <c r="A21" s="4" t="n">
        <v>17</v>
      </c>
      <c r="B21" s="5" t="inlineStr">
        <is>
          <t>Пластиковые карты EM-Marine TK4100 ISO, 125 кГц, номерные</t>
        </is>
      </c>
      <c r="C21" s="4" t="n">
        <v>500</v>
      </c>
      <c r="D21" s="5" t="inlineStr">
        <is>
          <t>2149</t>
        </is>
      </c>
      <c r="E21" s="6" t="n">
        <v>14</v>
      </c>
      <c r="F21" s="6" t="n">
        <v>20</v>
      </c>
      <c r="G21" s="6">
        <f>IF(E21="","",C21*E21)</f>
        <v/>
      </c>
      <c r="H21" s="6">
        <f>IF(F21="","",C21*F21)</f>
        <v/>
      </c>
      <c r="I21" s="7" t="inlineStr">
        <is>
          <t>ЗКТeco-store — от 14 ₽/шт: https://zkteco-store.ru/shop/rfid-karta-em-marine-iso-125-kgc-s-nomerom/
US-PLAST: https://us-plast.ru/product/proximity-karta-em-marine-tk4100-pod-pechat/
SmartCardShop: https://smartcardshop.ru/catalog/smart-karty-em-marine/karta-tonkaya-em-marine-tk4100-iso/
СтранаКарт: https://stranakart.com/katalog/rfid-karty-s-chipom/plastikovye-rfid-karty-s-chipom-em-marine-iso-em4200-tk4100</t>
        </is>
      </c>
      <c r="J21" s="8" t="inlineStr">
        <is>
          <t>Цена за штуку, продаются упаковками по 200. 500 шт = 3 упаковки.</t>
        </is>
      </c>
    </row>
    <row r="22">
      <c r="A22" s="4" t="n">
        <v>18</v>
      </c>
      <c r="B22" s="5" t="inlineStr">
        <is>
          <t>Телевизор на консоли</t>
        </is>
      </c>
      <c r="C22" s="4" t="n">
        <v>8</v>
      </c>
      <c r="D22" s="5" t="inlineStr">
        <is>
          <t>3443, 3452, 3469, 3483, 3497, 3511, 3519, 3839</t>
        </is>
      </c>
      <c r="E22" s="6" t="n">
        <v>30000</v>
      </c>
      <c r="F22" s="6" t="n">
        <v>90000</v>
      </c>
      <c r="G22" s="6">
        <f>IF(E22="","",C22*E22)</f>
        <v/>
      </c>
      <c r="H22" s="6">
        <f>IF(F22="","",C22*F22)</f>
        <v/>
      </c>
      <c r="I22" s="7" t="inlineStr">
        <is>
          <t>DNS — телевизоры: https://www.dns-shop.ru/catalog/17a8ac0f16404e77/televizory/
Ситилинк — телевизоры: https://www.citilink.ru/catalog/televizory/</t>
        </is>
      </c>
      <c r="J22" s="8" t="inlineStr">
        <is>
          <t>Модель не задана, только мощность 0,2 кВт. Консоль (кронштейн) в отдельную строку не вынесена — уточнить, входит ли.</t>
        </is>
      </c>
    </row>
    <row r="23">
      <c r="A23" s="4" t="n">
        <v>19</v>
      </c>
      <c r="B23" s="5" t="inlineStr">
        <is>
          <t>ИБП SKAT-UPS 1000 RACK, 1 кВА / 0,9 кВт, 2U</t>
        </is>
      </c>
      <c r="C23" s="4" t="n">
        <v>1</v>
      </c>
      <c r="D23" s="5" t="inlineStr">
        <is>
          <t>1699</t>
        </is>
      </c>
      <c r="E23" s="6" t="n">
        <v>71760</v>
      </c>
      <c r="F23" s="6" t="n">
        <v>76591</v>
      </c>
      <c r="G23" s="6">
        <f>IF(E23="","",C23*E23)</f>
        <v/>
      </c>
      <c r="H23" s="6">
        <f>IF(F23="","",C23*F23)</f>
        <v/>
      </c>
      <c r="I23" s="7" t="inlineStr">
        <is>
          <t>СКАТ (производитель): https://skat-ups.ru/catalog/ups/skat-ups-1000-rack/
UPS-Mag: https://www.ups-mag.ru/catalog/ups/bastion/skat-ups-1000-rack
Сатро-Паладин — 73 000 ₽: https://satro-paladin.com/catalog/product/11230/
Ритм-ИТ — 76 591 ₽: https://www.ritm-it.ru/ups/bastion/sistemi-besperebojnogo-elektropitaniya-92701/istochniki-besperebojnogo-pitaniya-104909/SKAT-UPS-1000-VAR-V-RACK-401037.htm</t>
        </is>
      </c>
      <c r="J23" s="5" t="inlineStr"/>
    </row>
    <row r="24">
      <c r="A24" s="4" t="n"/>
      <c r="B24" s="11" t="inlineStr">
        <is>
          <t>ИТОГО ориентировочно</t>
        </is>
      </c>
      <c r="C24" s="12">
        <f>SUM(C5:C23)</f>
        <v/>
      </c>
      <c r="D24" s="5" t="n"/>
      <c r="E24" s="4" t="n"/>
      <c r="F24" s="4" t="n"/>
      <c r="G24" s="13">
        <f>SUM(G5:G23)</f>
        <v/>
      </c>
      <c r="H24" s="13">
        <f>SUM(H5:H23)</f>
        <v/>
      </c>
      <c r="I24" s="5" t="n"/>
      <c r="J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2026-08-05T11:53:26Z</dcterms:created>
  <dcterms:modified xsi:type="dcterms:W3CDTF">2026-08-05T11:53:27Z</dcterms:modified>
</cp:coreProperties>
</file>